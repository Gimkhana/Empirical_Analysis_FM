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Volumes/T7 1TB SSD/Empirical_Analysis_FM/Applied_Research_Framework_Git/Applied_projects/Crude_oil_market_analysis/"/>
    </mc:Choice>
  </mc:AlternateContent>
  <xr:revisionPtr revIDLastSave="0" documentId="13_ncr:1_{94A98B06-D166-9D45-B616-06765A6DC568}" xr6:coauthVersionLast="47" xr6:coauthVersionMax="47" xr10:uidLastSave="{00000000-0000-0000-0000-000000000000}"/>
  <bookViews>
    <workbookView xWindow="4720" yWindow="500" windowWidth="28800" windowHeight="17500" xr2:uid="{8D5D574D-AAE8-4C25-B094-D54ABCA00037}"/>
  </bookViews>
  <sheets>
    <sheet name="Data" sheetId="10" r:id="rId1"/>
    <sheet name="plots_reg" sheetId="2" r:id="rId2"/>
    <sheet name="plots_analysis" sheetId="9" r:id="rId3"/>
    <sheet name="Regression" sheetId="1" r:id="rId4"/>
    <sheet name="Loadings_timeseries" sheetId="3" state="hidden" r:id="rId5"/>
    <sheet name="Expanded_regression" sheetId="4" r:id="rId6"/>
    <sheet name="Filtered_data_expand_reg" sheetId="7" r:id="rId7"/>
    <sheet name="Matrix_analysis" sheetId="8" r:id="rId8"/>
  </sheets>
  <externalReferences>
    <externalReference r:id="rId9"/>
  </externalReferences>
  <definedNames>
    <definedName name="_xlnm._FilterDatabase" localSheetId="5" hidden="1">Expanded_regression!$C$3:$T$258</definedName>
    <definedName name="_xlnm._FilterDatabase" localSheetId="3" hidden="1">Regression!$C$3:$E$42</definedName>
    <definedName name="_xlnm.Print_Area" localSheetId="1">plots_reg!$A$1:$Q$85</definedName>
    <definedName name="solver_eng" localSheetId="5" hidden="1">1</definedName>
    <definedName name="solver_eng" localSheetId="3" hidden="1">1</definedName>
    <definedName name="solver_neg" localSheetId="5" hidden="1">1</definedName>
    <definedName name="solver_neg" localSheetId="3" hidden="1">1</definedName>
    <definedName name="solver_num" localSheetId="5" hidden="1">0</definedName>
    <definedName name="solver_num" localSheetId="3" hidden="1">0</definedName>
    <definedName name="solver_opt" localSheetId="5" hidden="1">Expanded_regression!$O$3</definedName>
    <definedName name="solver_opt" localSheetId="3" hidden="1">Regression!$J$4</definedName>
    <definedName name="solver_typ" localSheetId="5" hidden="1">1</definedName>
    <definedName name="solver_typ" localSheetId="3" hidden="1">1</definedName>
    <definedName name="solver_val" localSheetId="5" hidden="1">0</definedName>
    <definedName name="solver_val" localSheetId="3" hidden="1">0</definedName>
    <definedName name="solver_ver" localSheetId="5" hidden="1">3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0" i="4" l="1"/>
  <c r="L260" i="4"/>
  <c r="M260" i="4"/>
  <c r="N260" i="4"/>
  <c r="O260" i="4"/>
  <c r="K261" i="4"/>
  <c r="L261" i="4"/>
  <c r="M261" i="4"/>
  <c r="N261" i="4"/>
  <c r="O261" i="4"/>
  <c r="K262" i="4"/>
  <c r="L262" i="4"/>
  <c r="M262" i="4"/>
  <c r="N262" i="4"/>
  <c r="O262" i="4"/>
  <c r="K263" i="4"/>
  <c r="L263" i="4"/>
  <c r="M263" i="4"/>
  <c r="N263" i="4"/>
  <c r="O263" i="4"/>
  <c r="K264" i="4"/>
  <c r="L264" i="4"/>
  <c r="M264" i="4"/>
  <c r="N264" i="4"/>
  <c r="O264" i="4"/>
  <c r="J264" i="4"/>
  <c r="J262" i="4"/>
  <c r="J261" i="4"/>
  <c r="J263" i="4"/>
  <c r="J260" i="4"/>
  <c r="T258" i="4"/>
  <c r="S258" i="4"/>
  <c r="R258" i="4"/>
  <c r="Q258" i="4"/>
  <c r="P258" i="4"/>
  <c r="O258" i="4"/>
  <c r="T257" i="4"/>
  <c r="S257" i="4"/>
  <c r="R257" i="4"/>
  <c r="Q257" i="4"/>
  <c r="P257" i="4"/>
  <c r="O257" i="4"/>
  <c r="T256" i="4"/>
  <c r="S256" i="4"/>
  <c r="R256" i="4"/>
  <c r="Q256" i="4"/>
  <c r="P256" i="4"/>
  <c r="O256" i="4"/>
  <c r="T255" i="4"/>
  <c r="S255" i="4"/>
  <c r="R255" i="4"/>
  <c r="Q255" i="4"/>
  <c r="P255" i="4"/>
  <c r="O255" i="4"/>
  <c r="T254" i="4"/>
  <c r="S254" i="4"/>
  <c r="R254" i="4"/>
  <c r="Q254" i="4"/>
  <c r="P254" i="4"/>
  <c r="O254" i="4"/>
  <c r="T253" i="4"/>
  <c r="S253" i="4"/>
  <c r="R253" i="4"/>
  <c r="Q253" i="4"/>
  <c r="P253" i="4"/>
  <c r="O253" i="4"/>
  <c r="T252" i="4"/>
  <c r="S252" i="4"/>
  <c r="R252" i="4"/>
  <c r="Q252" i="4"/>
  <c r="P252" i="4"/>
  <c r="O252" i="4"/>
  <c r="T251" i="4"/>
  <c r="S251" i="4"/>
  <c r="R251" i="4"/>
  <c r="Q251" i="4"/>
  <c r="P251" i="4"/>
  <c r="O251" i="4"/>
  <c r="T250" i="4"/>
  <c r="S250" i="4"/>
  <c r="R250" i="4"/>
  <c r="Q250" i="4"/>
  <c r="P250" i="4"/>
  <c r="O250" i="4"/>
  <c r="T249" i="4"/>
  <c r="S249" i="4"/>
  <c r="R249" i="4"/>
  <c r="Q249" i="4"/>
  <c r="P249" i="4"/>
  <c r="O249" i="4"/>
  <c r="T248" i="4"/>
  <c r="S248" i="4"/>
  <c r="R248" i="4"/>
  <c r="Q248" i="4"/>
  <c r="P248" i="4"/>
  <c r="O248" i="4"/>
  <c r="T247" i="4"/>
  <c r="S247" i="4"/>
  <c r="R247" i="4"/>
  <c r="Q247" i="4"/>
  <c r="P247" i="4"/>
  <c r="O247" i="4"/>
  <c r="T246" i="4"/>
  <c r="S246" i="4"/>
  <c r="R246" i="4"/>
  <c r="Q246" i="4"/>
  <c r="P246" i="4"/>
  <c r="O246" i="4"/>
  <c r="T245" i="4"/>
  <c r="S245" i="4"/>
  <c r="R245" i="4"/>
  <c r="Q245" i="4"/>
  <c r="P245" i="4"/>
  <c r="O245" i="4"/>
  <c r="T244" i="4"/>
  <c r="S244" i="4"/>
  <c r="R244" i="4"/>
  <c r="Q244" i="4"/>
  <c r="P244" i="4"/>
  <c r="O244" i="4"/>
  <c r="T243" i="4"/>
  <c r="S243" i="4"/>
  <c r="R243" i="4"/>
  <c r="Q243" i="4"/>
  <c r="P243" i="4"/>
  <c r="O243" i="4"/>
  <c r="T242" i="4"/>
  <c r="S242" i="4"/>
  <c r="R242" i="4"/>
  <c r="Q242" i="4"/>
  <c r="P242" i="4"/>
  <c r="O242" i="4"/>
  <c r="T241" i="4"/>
  <c r="S241" i="4"/>
  <c r="R241" i="4"/>
  <c r="Q241" i="4"/>
  <c r="P241" i="4"/>
  <c r="O241" i="4"/>
  <c r="T240" i="4"/>
  <c r="S240" i="4"/>
  <c r="R240" i="4"/>
  <c r="Q240" i="4"/>
  <c r="P240" i="4"/>
  <c r="O240" i="4"/>
  <c r="T239" i="4"/>
  <c r="S239" i="4"/>
  <c r="R239" i="4"/>
  <c r="Q239" i="4"/>
  <c r="P239" i="4"/>
  <c r="O239" i="4"/>
  <c r="T238" i="4"/>
  <c r="S238" i="4"/>
  <c r="R238" i="4"/>
  <c r="Q238" i="4"/>
  <c r="P238" i="4"/>
  <c r="O238" i="4"/>
  <c r="T237" i="4"/>
  <c r="S237" i="4"/>
  <c r="R237" i="4"/>
  <c r="Q237" i="4"/>
  <c r="P237" i="4"/>
  <c r="O237" i="4"/>
  <c r="T236" i="4"/>
  <c r="S236" i="4"/>
  <c r="R236" i="4"/>
  <c r="Q236" i="4"/>
  <c r="P236" i="4"/>
  <c r="O236" i="4"/>
  <c r="T235" i="4"/>
  <c r="S235" i="4"/>
  <c r="R235" i="4"/>
  <c r="Q235" i="4"/>
  <c r="P235" i="4"/>
  <c r="O235" i="4"/>
  <c r="T234" i="4"/>
  <c r="S234" i="4"/>
  <c r="R234" i="4"/>
  <c r="Q234" i="4"/>
  <c r="P234" i="4"/>
  <c r="O234" i="4"/>
  <c r="T233" i="4"/>
  <c r="S233" i="4"/>
  <c r="R233" i="4"/>
  <c r="Q233" i="4"/>
  <c r="P233" i="4"/>
  <c r="O233" i="4"/>
  <c r="T232" i="4"/>
  <c r="S232" i="4"/>
  <c r="R232" i="4"/>
  <c r="Q232" i="4"/>
  <c r="P232" i="4"/>
  <c r="O232" i="4"/>
  <c r="T231" i="4"/>
  <c r="S231" i="4"/>
  <c r="R231" i="4"/>
  <c r="Q231" i="4"/>
  <c r="P231" i="4"/>
  <c r="O231" i="4"/>
  <c r="T230" i="4"/>
  <c r="S230" i="4"/>
  <c r="R230" i="4"/>
  <c r="Q230" i="4"/>
  <c r="P230" i="4"/>
  <c r="O230" i="4"/>
  <c r="T229" i="4"/>
  <c r="S229" i="4"/>
  <c r="R229" i="4"/>
  <c r="Q229" i="4"/>
  <c r="P229" i="4"/>
  <c r="O229" i="4"/>
  <c r="T228" i="4"/>
  <c r="S228" i="4"/>
  <c r="R228" i="4"/>
  <c r="Q228" i="4"/>
  <c r="P228" i="4"/>
  <c r="O228" i="4"/>
  <c r="T227" i="4"/>
  <c r="S227" i="4"/>
  <c r="R227" i="4"/>
  <c r="Q227" i="4"/>
  <c r="P227" i="4"/>
  <c r="O227" i="4"/>
  <c r="T226" i="4"/>
  <c r="S226" i="4"/>
  <c r="R226" i="4"/>
  <c r="Q226" i="4"/>
  <c r="P226" i="4"/>
  <c r="O226" i="4"/>
  <c r="T224" i="4"/>
  <c r="S224" i="4"/>
  <c r="R224" i="4"/>
  <c r="Q224" i="4"/>
  <c r="P224" i="4"/>
  <c r="O224" i="4"/>
  <c r="T223" i="4"/>
  <c r="S223" i="4"/>
  <c r="R223" i="4"/>
  <c r="Q223" i="4"/>
  <c r="P223" i="4"/>
  <c r="O223" i="4"/>
  <c r="T222" i="4"/>
  <c r="S222" i="4"/>
  <c r="R222" i="4"/>
  <c r="Q222" i="4"/>
  <c r="P222" i="4"/>
  <c r="O222" i="4"/>
  <c r="T221" i="4"/>
  <c r="S221" i="4"/>
  <c r="R221" i="4"/>
  <c r="Q221" i="4"/>
  <c r="P221" i="4"/>
  <c r="O221" i="4"/>
  <c r="T220" i="4"/>
  <c r="S220" i="4"/>
  <c r="R220" i="4"/>
  <c r="Q220" i="4"/>
  <c r="P220" i="4"/>
  <c r="O220" i="4"/>
  <c r="T219" i="4"/>
  <c r="S219" i="4"/>
  <c r="R219" i="4"/>
  <c r="Q219" i="4"/>
  <c r="P219" i="4"/>
  <c r="O219" i="4"/>
  <c r="T218" i="4"/>
  <c r="S218" i="4"/>
  <c r="R218" i="4"/>
  <c r="Q218" i="4"/>
  <c r="P218" i="4"/>
  <c r="O218" i="4"/>
  <c r="T217" i="4"/>
  <c r="S217" i="4"/>
  <c r="R217" i="4"/>
  <c r="Q217" i="4"/>
  <c r="P217" i="4"/>
  <c r="O217" i="4"/>
  <c r="T216" i="4"/>
  <c r="S216" i="4"/>
  <c r="R216" i="4"/>
  <c r="Q216" i="4"/>
  <c r="P216" i="4"/>
  <c r="O216" i="4"/>
  <c r="T215" i="4"/>
  <c r="S215" i="4"/>
  <c r="R215" i="4"/>
  <c r="Q215" i="4"/>
  <c r="P215" i="4"/>
  <c r="O215" i="4"/>
  <c r="T214" i="4"/>
  <c r="S214" i="4"/>
  <c r="R214" i="4"/>
  <c r="Q214" i="4"/>
  <c r="P214" i="4"/>
  <c r="O214" i="4"/>
  <c r="T213" i="4"/>
  <c r="S213" i="4"/>
  <c r="R213" i="4"/>
  <c r="Q213" i="4"/>
  <c r="P213" i="4"/>
  <c r="O213" i="4"/>
  <c r="T210" i="4"/>
  <c r="S210" i="4"/>
  <c r="R210" i="4"/>
  <c r="Q210" i="4"/>
  <c r="P210" i="4"/>
  <c r="O210" i="4"/>
  <c r="T209" i="4"/>
  <c r="S209" i="4"/>
  <c r="R209" i="4"/>
  <c r="Q209" i="4"/>
  <c r="P209" i="4"/>
  <c r="O209" i="4"/>
  <c r="T208" i="4"/>
  <c r="S208" i="4"/>
  <c r="R208" i="4"/>
  <c r="Q208" i="4"/>
  <c r="P208" i="4"/>
  <c r="O208" i="4"/>
  <c r="T207" i="4"/>
  <c r="S207" i="4"/>
  <c r="R207" i="4"/>
  <c r="Q207" i="4"/>
  <c r="P207" i="4"/>
  <c r="O207" i="4"/>
  <c r="T206" i="4"/>
  <c r="S206" i="4"/>
  <c r="R206" i="4"/>
  <c r="Q206" i="4"/>
  <c r="P206" i="4"/>
  <c r="O206" i="4"/>
  <c r="T205" i="4"/>
  <c r="S205" i="4"/>
  <c r="R205" i="4"/>
  <c r="Q205" i="4"/>
  <c r="P205" i="4"/>
  <c r="O205" i="4"/>
  <c r="T204" i="4"/>
  <c r="S204" i="4"/>
  <c r="R204" i="4"/>
  <c r="Q204" i="4"/>
  <c r="P204" i="4"/>
  <c r="O204" i="4"/>
  <c r="T203" i="4"/>
  <c r="S203" i="4"/>
  <c r="R203" i="4"/>
  <c r="Q203" i="4"/>
  <c r="P203" i="4"/>
  <c r="O203" i="4"/>
  <c r="T202" i="4"/>
  <c r="S202" i="4"/>
  <c r="R202" i="4"/>
  <c r="Q202" i="4"/>
  <c r="P202" i="4"/>
  <c r="O202" i="4"/>
  <c r="T201" i="4"/>
  <c r="S201" i="4"/>
  <c r="R201" i="4"/>
  <c r="Q201" i="4"/>
  <c r="P201" i="4"/>
  <c r="O201" i="4"/>
  <c r="T200" i="4"/>
  <c r="S200" i="4"/>
  <c r="R200" i="4"/>
  <c r="Q200" i="4"/>
  <c r="P200" i="4"/>
  <c r="O200" i="4"/>
  <c r="T199" i="4"/>
  <c r="S199" i="4"/>
  <c r="R199" i="4"/>
  <c r="Q199" i="4"/>
  <c r="P199" i="4"/>
  <c r="O199" i="4"/>
  <c r="T198" i="4"/>
  <c r="S198" i="4"/>
  <c r="R198" i="4"/>
  <c r="Q198" i="4"/>
  <c r="P198" i="4"/>
  <c r="O198" i="4"/>
  <c r="T197" i="4"/>
  <c r="S197" i="4"/>
  <c r="R197" i="4"/>
  <c r="Q197" i="4"/>
  <c r="P197" i="4"/>
  <c r="O197" i="4"/>
  <c r="T196" i="4"/>
  <c r="S196" i="4"/>
  <c r="R196" i="4"/>
  <c r="Q196" i="4"/>
  <c r="P196" i="4"/>
  <c r="O196" i="4"/>
  <c r="T195" i="4"/>
  <c r="S195" i="4"/>
  <c r="R195" i="4"/>
  <c r="Q195" i="4"/>
  <c r="P195" i="4"/>
  <c r="O195" i="4"/>
  <c r="T194" i="4"/>
  <c r="S194" i="4"/>
  <c r="R194" i="4"/>
  <c r="Q194" i="4"/>
  <c r="P194" i="4"/>
  <c r="O194" i="4"/>
  <c r="T193" i="4"/>
  <c r="S193" i="4"/>
  <c r="R193" i="4"/>
  <c r="Q193" i="4"/>
  <c r="P193" i="4"/>
  <c r="O193" i="4"/>
  <c r="T192" i="4"/>
  <c r="S192" i="4"/>
  <c r="R192" i="4"/>
  <c r="Q192" i="4"/>
  <c r="P192" i="4"/>
  <c r="O192" i="4"/>
  <c r="T191" i="4"/>
  <c r="S191" i="4"/>
  <c r="R191" i="4"/>
  <c r="Q191" i="4"/>
  <c r="P191" i="4"/>
  <c r="O191" i="4"/>
  <c r="T190" i="4"/>
  <c r="S190" i="4"/>
  <c r="R190" i="4"/>
  <c r="Q190" i="4"/>
  <c r="P190" i="4"/>
  <c r="O190" i="4"/>
  <c r="T189" i="4"/>
  <c r="S189" i="4"/>
  <c r="R189" i="4"/>
  <c r="Q189" i="4"/>
  <c r="P189" i="4"/>
  <c r="O189" i="4"/>
  <c r="T188" i="4"/>
  <c r="S188" i="4"/>
  <c r="R188" i="4"/>
  <c r="Q188" i="4"/>
  <c r="P188" i="4"/>
  <c r="O188" i="4"/>
  <c r="T187" i="4"/>
  <c r="S187" i="4"/>
  <c r="R187" i="4"/>
  <c r="Q187" i="4"/>
  <c r="P187" i="4"/>
  <c r="O187" i="4"/>
  <c r="T185" i="4"/>
  <c r="S185" i="4"/>
  <c r="R185" i="4"/>
  <c r="Q185" i="4"/>
  <c r="P185" i="4"/>
  <c r="O185" i="4"/>
  <c r="T184" i="4"/>
  <c r="S184" i="4"/>
  <c r="R184" i="4"/>
  <c r="Q184" i="4"/>
  <c r="P184" i="4"/>
  <c r="O184" i="4"/>
  <c r="T182" i="4"/>
  <c r="S182" i="4"/>
  <c r="R182" i="4"/>
  <c r="Q182" i="4"/>
  <c r="P182" i="4"/>
  <c r="O182" i="4"/>
  <c r="T181" i="4"/>
  <c r="S181" i="4"/>
  <c r="R181" i="4"/>
  <c r="Q181" i="4"/>
  <c r="P181" i="4"/>
  <c r="O181" i="4"/>
  <c r="T180" i="4"/>
  <c r="S180" i="4"/>
  <c r="R180" i="4"/>
  <c r="Q180" i="4"/>
  <c r="P180" i="4"/>
  <c r="O180" i="4"/>
  <c r="T179" i="4"/>
  <c r="S179" i="4"/>
  <c r="R179" i="4"/>
  <c r="Q179" i="4"/>
  <c r="P179" i="4"/>
  <c r="O179" i="4"/>
  <c r="T176" i="4"/>
  <c r="S176" i="4"/>
  <c r="R176" i="4"/>
  <c r="Q176" i="4"/>
  <c r="P176" i="4"/>
  <c r="O176" i="4"/>
  <c r="T175" i="4"/>
  <c r="S175" i="4"/>
  <c r="R175" i="4"/>
  <c r="Q175" i="4"/>
  <c r="P175" i="4"/>
  <c r="O175" i="4"/>
  <c r="T173" i="4"/>
  <c r="S173" i="4"/>
  <c r="R173" i="4"/>
  <c r="Q173" i="4"/>
  <c r="P173" i="4"/>
  <c r="O173" i="4"/>
  <c r="T172" i="4"/>
  <c r="S172" i="4"/>
  <c r="R172" i="4"/>
  <c r="Q172" i="4"/>
  <c r="P172" i="4"/>
  <c r="O172" i="4"/>
  <c r="T171" i="4"/>
  <c r="S171" i="4"/>
  <c r="R171" i="4"/>
  <c r="Q171" i="4"/>
  <c r="P171" i="4"/>
  <c r="O171" i="4"/>
  <c r="T170" i="4"/>
  <c r="S170" i="4"/>
  <c r="R170" i="4"/>
  <c r="Q170" i="4"/>
  <c r="P170" i="4"/>
  <c r="O170" i="4"/>
  <c r="T169" i="4"/>
  <c r="S169" i="4"/>
  <c r="R169" i="4"/>
  <c r="Q169" i="4"/>
  <c r="P169" i="4"/>
  <c r="O169" i="4"/>
  <c r="T168" i="4"/>
  <c r="S168" i="4"/>
  <c r="R168" i="4"/>
  <c r="Q168" i="4"/>
  <c r="P168" i="4"/>
  <c r="O168" i="4"/>
  <c r="T167" i="4"/>
  <c r="S167" i="4"/>
  <c r="R167" i="4"/>
  <c r="Q167" i="4"/>
  <c r="P167" i="4"/>
  <c r="O167" i="4"/>
  <c r="T166" i="4"/>
  <c r="S166" i="4"/>
  <c r="R166" i="4"/>
  <c r="Q166" i="4"/>
  <c r="P166" i="4"/>
  <c r="O166" i="4"/>
  <c r="T165" i="4"/>
  <c r="S165" i="4"/>
  <c r="R165" i="4"/>
  <c r="Q165" i="4"/>
  <c r="P165" i="4"/>
  <c r="O165" i="4"/>
  <c r="T164" i="4"/>
  <c r="S164" i="4"/>
  <c r="R164" i="4"/>
  <c r="Q164" i="4"/>
  <c r="P164" i="4"/>
  <c r="O164" i="4"/>
  <c r="T163" i="4"/>
  <c r="S163" i="4"/>
  <c r="R163" i="4"/>
  <c r="Q163" i="4"/>
  <c r="P163" i="4"/>
  <c r="O163" i="4"/>
  <c r="T162" i="4"/>
  <c r="S162" i="4"/>
  <c r="R162" i="4"/>
  <c r="Q162" i="4"/>
  <c r="P162" i="4"/>
  <c r="O162" i="4"/>
  <c r="T161" i="4"/>
  <c r="S161" i="4"/>
  <c r="R161" i="4"/>
  <c r="Q161" i="4"/>
  <c r="P161" i="4"/>
  <c r="O161" i="4"/>
  <c r="T160" i="4"/>
  <c r="S160" i="4"/>
  <c r="R160" i="4"/>
  <c r="Q160" i="4"/>
  <c r="P160" i="4"/>
  <c r="O160" i="4"/>
  <c r="T159" i="4"/>
  <c r="S159" i="4"/>
  <c r="R159" i="4"/>
  <c r="Q159" i="4"/>
  <c r="P159" i="4"/>
  <c r="O159" i="4"/>
  <c r="T158" i="4"/>
  <c r="S158" i="4"/>
  <c r="R158" i="4"/>
  <c r="Q158" i="4"/>
  <c r="P158" i="4"/>
  <c r="O158" i="4"/>
  <c r="T157" i="4"/>
  <c r="S157" i="4"/>
  <c r="R157" i="4"/>
  <c r="Q157" i="4"/>
  <c r="P157" i="4"/>
  <c r="O157" i="4"/>
  <c r="T156" i="4"/>
  <c r="S156" i="4"/>
  <c r="R156" i="4"/>
  <c r="Q156" i="4"/>
  <c r="P156" i="4"/>
  <c r="O156" i="4"/>
  <c r="T154" i="4"/>
  <c r="S154" i="4"/>
  <c r="R154" i="4"/>
  <c r="Q154" i="4"/>
  <c r="P154" i="4"/>
  <c r="O154" i="4"/>
  <c r="T153" i="4"/>
  <c r="S153" i="4"/>
  <c r="R153" i="4"/>
  <c r="Q153" i="4"/>
  <c r="P153" i="4"/>
  <c r="O153" i="4"/>
  <c r="T152" i="4"/>
  <c r="S152" i="4"/>
  <c r="R152" i="4"/>
  <c r="Q152" i="4"/>
  <c r="P152" i="4"/>
  <c r="O152" i="4"/>
  <c r="T151" i="4"/>
  <c r="S151" i="4"/>
  <c r="R151" i="4"/>
  <c r="Q151" i="4"/>
  <c r="P151" i="4"/>
  <c r="O151" i="4"/>
  <c r="T150" i="4"/>
  <c r="S150" i="4"/>
  <c r="R150" i="4"/>
  <c r="Q150" i="4"/>
  <c r="P150" i="4"/>
  <c r="O150" i="4"/>
  <c r="T149" i="4"/>
  <c r="S149" i="4"/>
  <c r="R149" i="4"/>
  <c r="Q149" i="4"/>
  <c r="P149" i="4"/>
  <c r="O149" i="4"/>
  <c r="T148" i="4"/>
  <c r="S148" i="4"/>
  <c r="R148" i="4"/>
  <c r="Q148" i="4"/>
  <c r="P148" i="4"/>
  <c r="O148" i="4"/>
  <c r="T147" i="4"/>
  <c r="S147" i="4"/>
  <c r="R147" i="4"/>
  <c r="Q147" i="4"/>
  <c r="P147" i="4"/>
  <c r="O147" i="4"/>
  <c r="T146" i="4"/>
  <c r="S146" i="4"/>
  <c r="R146" i="4"/>
  <c r="Q146" i="4"/>
  <c r="P146" i="4"/>
  <c r="O146" i="4"/>
  <c r="T145" i="4"/>
  <c r="S145" i="4"/>
  <c r="R145" i="4"/>
  <c r="Q145" i="4"/>
  <c r="P145" i="4"/>
  <c r="O145" i="4"/>
  <c r="T144" i="4"/>
  <c r="S144" i="4"/>
  <c r="R144" i="4"/>
  <c r="Q144" i="4"/>
  <c r="P144" i="4"/>
  <c r="O144" i="4"/>
  <c r="T143" i="4"/>
  <c r="S143" i="4"/>
  <c r="R143" i="4"/>
  <c r="Q143" i="4"/>
  <c r="P143" i="4"/>
  <c r="O143" i="4"/>
  <c r="T142" i="4"/>
  <c r="S142" i="4"/>
  <c r="R142" i="4"/>
  <c r="Q142" i="4"/>
  <c r="P142" i="4"/>
  <c r="O142" i="4"/>
  <c r="T141" i="4"/>
  <c r="S141" i="4"/>
  <c r="R141" i="4"/>
  <c r="Q141" i="4"/>
  <c r="P141" i="4"/>
  <c r="O141" i="4"/>
  <c r="T140" i="4"/>
  <c r="S140" i="4"/>
  <c r="R140" i="4"/>
  <c r="Q140" i="4"/>
  <c r="P140" i="4"/>
  <c r="O140" i="4"/>
  <c r="T139" i="4"/>
  <c r="S139" i="4"/>
  <c r="R139" i="4"/>
  <c r="Q139" i="4"/>
  <c r="P139" i="4"/>
  <c r="O139" i="4"/>
  <c r="T138" i="4"/>
  <c r="S138" i="4"/>
  <c r="R138" i="4"/>
  <c r="Q138" i="4"/>
  <c r="P138" i="4"/>
  <c r="O138" i="4"/>
  <c r="T137" i="4"/>
  <c r="S137" i="4"/>
  <c r="R137" i="4"/>
  <c r="Q137" i="4"/>
  <c r="P137" i="4"/>
  <c r="O137" i="4"/>
  <c r="T136" i="4"/>
  <c r="S136" i="4"/>
  <c r="R136" i="4"/>
  <c r="Q136" i="4"/>
  <c r="P136" i="4"/>
  <c r="O136" i="4"/>
  <c r="T135" i="4"/>
  <c r="S135" i="4"/>
  <c r="R135" i="4"/>
  <c r="Q135" i="4"/>
  <c r="P135" i="4"/>
  <c r="O135" i="4"/>
  <c r="T134" i="4"/>
  <c r="S134" i="4"/>
  <c r="R134" i="4"/>
  <c r="Q134" i="4"/>
  <c r="P134" i="4"/>
  <c r="O134" i="4"/>
  <c r="T133" i="4"/>
  <c r="S133" i="4"/>
  <c r="R133" i="4"/>
  <c r="Q133" i="4"/>
  <c r="P133" i="4"/>
  <c r="O133" i="4"/>
  <c r="T132" i="4"/>
  <c r="S132" i="4"/>
  <c r="R132" i="4"/>
  <c r="Q132" i="4"/>
  <c r="P132" i="4"/>
  <c r="O132" i="4"/>
  <c r="T131" i="4"/>
  <c r="S131" i="4"/>
  <c r="R131" i="4"/>
  <c r="Q131" i="4"/>
  <c r="P131" i="4"/>
  <c r="O131" i="4"/>
  <c r="T130" i="4"/>
  <c r="S130" i="4"/>
  <c r="R130" i="4"/>
  <c r="Q130" i="4"/>
  <c r="P130" i="4"/>
  <c r="O130" i="4"/>
  <c r="T129" i="4"/>
  <c r="S129" i="4"/>
  <c r="R129" i="4"/>
  <c r="Q129" i="4"/>
  <c r="P129" i="4"/>
  <c r="O129" i="4"/>
  <c r="T127" i="4"/>
  <c r="S127" i="4"/>
  <c r="R127" i="4"/>
  <c r="Q127" i="4"/>
  <c r="P127" i="4"/>
  <c r="O127" i="4"/>
  <c r="T125" i="4"/>
  <c r="S125" i="4"/>
  <c r="R125" i="4"/>
  <c r="Q125" i="4"/>
  <c r="P125" i="4"/>
  <c r="O125" i="4"/>
  <c r="T124" i="4"/>
  <c r="S124" i="4"/>
  <c r="R124" i="4"/>
  <c r="Q124" i="4"/>
  <c r="P124" i="4"/>
  <c r="O124" i="4"/>
  <c r="T122" i="4"/>
  <c r="S122" i="4"/>
  <c r="R122" i="4"/>
  <c r="Q122" i="4"/>
  <c r="P122" i="4"/>
  <c r="O122" i="4"/>
  <c r="T121" i="4"/>
  <c r="S121" i="4"/>
  <c r="R121" i="4"/>
  <c r="Q121" i="4"/>
  <c r="P121" i="4"/>
  <c r="O121" i="4"/>
  <c r="T120" i="4"/>
  <c r="S120" i="4"/>
  <c r="R120" i="4"/>
  <c r="Q120" i="4"/>
  <c r="P120" i="4"/>
  <c r="O120" i="4"/>
  <c r="T119" i="4"/>
  <c r="S119" i="4"/>
  <c r="R119" i="4"/>
  <c r="Q119" i="4"/>
  <c r="P119" i="4"/>
  <c r="O119" i="4"/>
  <c r="T118" i="4"/>
  <c r="S118" i="4"/>
  <c r="R118" i="4"/>
  <c r="Q118" i="4"/>
  <c r="P118" i="4"/>
  <c r="O118" i="4"/>
  <c r="T116" i="4"/>
  <c r="S116" i="4"/>
  <c r="R116" i="4"/>
  <c r="Q116" i="4"/>
  <c r="P116" i="4"/>
  <c r="O116" i="4"/>
  <c r="T115" i="4"/>
  <c r="S115" i="4"/>
  <c r="R115" i="4"/>
  <c r="Q115" i="4"/>
  <c r="P115" i="4"/>
  <c r="O115" i="4"/>
  <c r="T114" i="4"/>
  <c r="S114" i="4"/>
  <c r="R114" i="4"/>
  <c r="Q114" i="4"/>
  <c r="P114" i="4"/>
  <c r="O114" i="4"/>
  <c r="T113" i="4"/>
  <c r="S113" i="4"/>
  <c r="R113" i="4"/>
  <c r="Q113" i="4"/>
  <c r="P113" i="4"/>
  <c r="O113" i="4"/>
  <c r="T112" i="4"/>
  <c r="S112" i="4"/>
  <c r="R112" i="4"/>
  <c r="Q112" i="4"/>
  <c r="P112" i="4"/>
  <c r="O112" i="4"/>
  <c r="T111" i="4"/>
  <c r="S111" i="4"/>
  <c r="R111" i="4"/>
  <c r="Q111" i="4"/>
  <c r="P111" i="4"/>
  <c r="O111" i="4"/>
  <c r="T110" i="4"/>
  <c r="S110" i="4"/>
  <c r="R110" i="4"/>
  <c r="Q110" i="4"/>
  <c r="P110" i="4"/>
  <c r="O110" i="4"/>
  <c r="T109" i="4"/>
  <c r="S109" i="4"/>
  <c r="R109" i="4"/>
  <c r="Q109" i="4"/>
  <c r="P109" i="4"/>
  <c r="O109" i="4"/>
  <c r="T108" i="4"/>
  <c r="S108" i="4"/>
  <c r="R108" i="4"/>
  <c r="Q108" i="4"/>
  <c r="P108" i="4"/>
  <c r="O108" i="4"/>
  <c r="T106" i="4"/>
  <c r="S106" i="4"/>
  <c r="R106" i="4"/>
  <c r="Q106" i="4"/>
  <c r="P106" i="4"/>
  <c r="O106" i="4"/>
  <c r="T105" i="4"/>
  <c r="S105" i="4"/>
  <c r="R105" i="4"/>
  <c r="Q105" i="4"/>
  <c r="P105" i="4"/>
  <c r="O105" i="4"/>
  <c r="T104" i="4"/>
  <c r="S104" i="4"/>
  <c r="R104" i="4"/>
  <c r="Q104" i="4"/>
  <c r="P104" i="4"/>
  <c r="O104" i="4"/>
  <c r="T103" i="4"/>
  <c r="S103" i="4"/>
  <c r="R103" i="4"/>
  <c r="Q103" i="4"/>
  <c r="P103" i="4"/>
  <c r="O103" i="4"/>
  <c r="T102" i="4"/>
  <c r="S102" i="4"/>
  <c r="R102" i="4"/>
  <c r="Q102" i="4"/>
  <c r="P102" i="4"/>
  <c r="O102" i="4"/>
  <c r="T101" i="4"/>
  <c r="S101" i="4"/>
  <c r="R101" i="4"/>
  <c r="Q101" i="4"/>
  <c r="P101" i="4"/>
  <c r="O101" i="4"/>
  <c r="T100" i="4"/>
  <c r="S100" i="4"/>
  <c r="R100" i="4"/>
  <c r="Q100" i="4"/>
  <c r="P100" i="4"/>
  <c r="O100" i="4"/>
  <c r="T98" i="4"/>
  <c r="S98" i="4"/>
  <c r="R98" i="4"/>
  <c r="Q98" i="4"/>
  <c r="P98" i="4"/>
  <c r="O98" i="4"/>
  <c r="T97" i="4"/>
  <c r="S97" i="4"/>
  <c r="R97" i="4"/>
  <c r="Q97" i="4"/>
  <c r="P97" i="4"/>
  <c r="O97" i="4"/>
  <c r="T96" i="4"/>
  <c r="S96" i="4"/>
  <c r="R96" i="4"/>
  <c r="Q96" i="4"/>
  <c r="P96" i="4"/>
  <c r="O96" i="4"/>
  <c r="T95" i="4"/>
  <c r="S95" i="4"/>
  <c r="R95" i="4"/>
  <c r="Q95" i="4"/>
  <c r="P95" i="4"/>
  <c r="O95" i="4"/>
  <c r="T94" i="4"/>
  <c r="S94" i="4"/>
  <c r="R94" i="4"/>
  <c r="Q94" i="4"/>
  <c r="P94" i="4"/>
  <c r="O94" i="4"/>
  <c r="T93" i="4"/>
  <c r="S93" i="4"/>
  <c r="R93" i="4"/>
  <c r="Q93" i="4"/>
  <c r="P93" i="4"/>
  <c r="O93" i="4"/>
  <c r="T92" i="4"/>
  <c r="S92" i="4"/>
  <c r="R92" i="4"/>
  <c r="Q92" i="4"/>
  <c r="P92" i="4"/>
  <c r="O92" i="4"/>
  <c r="T91" i="4"/>
  <c r="S91" i="4"/>
  <c r="R91" i="4"/>
  <c r="Q91" i="4"/>
  <c r="P91" i="4"/>
  <c r="O91" i="4"/>
  <c r="T90" i="4"/>
  <c r="S90" i="4"/>
  <c r="R90" i="4"/>
  <c r="Q90" i="4"/>
  <c r="P90" i="4"/>
  <c r="O90" i="4"/>
  <c r="T89" i="4"/>
  <c r="S89" i="4"/>
  <c r="R89" i="4"/>
  <c r="Q89" i="4"/>
  <c r="P89" i="4"/>
  <c r="O89" i="4"/>
  <c r="T88" i="4"/>
  <c r="S88" i="4"/>
  <c r="R88" i="4"/>
  <c r="Q88" i="4"/>
  <c r="P88" i="4"/>
  <c r="O88" i="4"/>
  <c r="T87" i="4"/>
  <c r="S87" i="4"/>
  <c r="R87" i="4"/>
  <c r="Q87" i="4"/>
  <c r="P87" i="4"/>
  <c r="O87" i="4"/>
  <c r="T85" i="4"/>
  <c r="S85" i="4"/>
  <c r="R85" i="4"/>
  <c r="Q85" i="4"/>
  <c r="P85" i="4"/>
  <c r="O85" i="4"/>
  <c r="T84" i="4"/>
  <c r="S84" i="4"/>
  <c r="R84" i="4"/>
  <c r="Q84" i="4"/>
  <c r="P84" i="4"/>
  <c r="O84" i="4"/>
  <c r="T83" i="4"/>
  <c r="S83" i="4"/>
  <c r="R83" i="4"/>
  <c r="Q83" i="4"/>
  <c r="P83" i="4"/>
  <c r="O83" i="4"/>
  <c r="T82" i="4"/>
  <c r="S82" i="4"/>
  <c r="R82" i="4"/>
  <c r="Q82" i="4"/>
  <c r="P82" i="4"/>
  <c r="O82" i="4"/>
  <c r="T81" i="4"/>
  <c r="S81" i="4"/>
  <c r="R81" i="4"/>
  <c r="Q81" i="4"/>
  <c r="P81" i="4"/>
  <c r="O81" i="4"/>
  <c r="T80" i="4"/>
  <c r="S80" i="4"/>
  <c r="R80" i="4"/>
  <c r="Q80" i="4"/>
  <c r="P80" i="4"/>
  <c r="O80" i="4"/>
  <c r="T79" i="4"/>
  <c r="S79" i="4"/>
  <c r="R79" i="4"/>
  <c r="Q79" i="4"/>
  <c r="P79" i="4"/>
  <c r="O79" i="4"/>
  <c r="T78" i="4"/>
  <c r="S78" i="4"/>
  <c r="R78" i="4"/>
  <c r="Q78" i="4"/>
  <c r="P78" i="4"/>
  <c r="O78" i="4"/>
  <c r="T77" i="4"/>
  <c r="S77" i="4"/>
  <c r="R77" i="4"/>
  <c r="Q77" i="4"/>
  <c r="P77" i="4"/>
  <c r="O77" i="4"/>
  <c r="T76" i="4"/>
  <c r="S76" i="4"/>
  <c r="R76" i="4"/>
  <c r="Q76" i="4"/>
  <c r="P76" i="4"/>
  <c r="O76" i="4"/>
  <c r="T75" i="4"/>
  <c r="S75" i="4"/>
  <c r="R75" i="4"/>
  <c r="Q75" i="4"/>
  <c r="P75" i="4"/>
  <c r="O75" i="4"/>
  <c r="T74" i="4"/>
  <c r="S74" i="4"/>
  <c r="R74" i="4"/>
  <c r="Q74" i="4"/>
  <c r="P74" i="4"/>
  <c r="O74" i="4"/>
  <c r="T73" i="4"/>
  <c r="S73" i="4"/>
  <c r="R73" i="4"/>
  <c r="Q73" i="4"/>
  <c r="P73" i="4"/>
  <c r="O73" i="4"/>
  <c r="T72" i="4"/>
  <c r="S72" i="4"/>
  <c r="R72" i="4"/>
  <c r="Q72" i="4"/>
  <c r="P72" i="4"/>
  <c r="O72" i="4"/>
  <c r="T71" i="4"/>
  <c r="S71" i="4"/>
  <c r="R71" i="4"/>
  <c r="Q71" i="4"/>
  <c r="P71" i="4"/>
  <c r="O71" i="4"/>
  <c r="T70" i="4"/>
  <c r="S70" i="4"/>
  <c r="R70" i="4"/>
  <c r="Q70" i="4"/>
  <c r="P70" i="4"/>
  <c r="O70" i="4"/>
  <c r="T69" i="4"/>
  <c r="S69" i="4"/>
  <c r="R69" i="4"/>
  <c r="Q69" i="4"/>
  <c r="P69" i="4"/>
  <c r="O69" i="4"/>
  <c r="T67" i="4"/>
  <c r="S67" i="4"/>
  <c r="R67" i="4"/>
  <c r="Q67" i="4"/>
  <c r="P67" i="4"/>
  <c r="O67" i="4"/>
  <c r="T66" i="4"/>
  <c r="S66" i="4"/>
  <c r="R66" i="4"/>
  <c r="Q66" i="4"/>
  <c r="P66" i="4"/>
  <c r="O66" i="4"/>
  <c r="T65" i="4"/>
  <c r="S65" i="4"/>
  <c r="R65" i="4"/>
  <c r="Q65" i="4"/>
  <c r="P65" i="4"/>
  <c r="O65" i="4"/>
  <c r="T64" i="4"/>
  <c r="S64" i="4"/>
  <c r="R64" i="4"/>
  <c r="Q64" i="4"/>
  <c r="P64" i="4"/>
  <c r="O64" i="4"/>
  <c r="T62" i="4"/>
  <c r="S62" i="4"/>
  <c r="R62" i="4"/>
  <c r="Q62" i="4"/>
  <c r="P62" i="4"/>
  <c r="O62" i="4"/>
  <c r="T61" i="4"/>
  <c r="S61" i="4"/>
  <c r="R61" i="4"/>
  <c r="Q61" i="4"/>
  <c r="P61" i="4"/>
  <c r="O61" i="4"/>
  <c r="T60" i="4"/>
  <c r="S60" i="4"/>
  <c r="R60" i="4"/>
  <c r="Q60" i="4"/>
  <c r="P60" i="4"/>
  <c r="O60" i="4"/>
  <c r="T59" i="4"/>
  <c r="S59" i="4"/>
  <c r="R59" i="4"/>
  <c r="Q59" i="4"/>
  <c r="P59" i="4"/>
  <c r="O59" i="4"/>
  <c r="T58" i="4"/>
  <c r="S58" i="4"/>
  <c r="R58" i="4"/>
  <c r="Q58" i="4"/>
  <c r="P58" i="4"/>
  <c r="O58" i="4"/>
  <c r="T57" i="4"/>
  <c r="S57" i="4"/>
  <c r="R57" i="4"/>
  <c r="Q57" i="4"/>
  <c r="P57" i="4"/>
  <c r="O57" i="4"/>
  <c r="T56" i="4"/>
  <c r="S56" i="4"/>
  <c r="R56" i="4"/>
  <c r="Q56" i="4"/>
  <c r="P56" i="4"/>
  <c r="O56" i="4"/>
  <c r="T55" i="4"/>
  <c r="S55" i="4"/>
  <c r="R55" i="4"/>
  <c r="Q55" i="4"/>
  <c r="P55" i="4"/>
  <c r="O55" i="4"/>
  <c r="T54" i="4"/>
  <c r="S54" i="4"/>
  <c r="R54" i="4"/>
  <c r="Q54" i="4"/>
  <c r="P54" i="4"/>
  <c r="O54" i="4"/>
  <c r="T53" i="4"/>
  <c r="S53" i="4"/>
  <c r="R53" i="4"/>
  <c r="Q53" i="4"/>
  <c r="P53" i="4"/>
  <c r="O53" i="4"/>
  <c r="T52" i="4"/>
  <c r="S52" i="4"/>
  <c r="R52" i="4"/>
  <c r="Q52" i="4"/>
  <c r="P52" i="4"/>
  <c r="O52" i="4"/>
  <c r="T51" i="4"/>
  <c r="S51" i="4"/>
  <c r="R51" i="4"/>
  <c r="Q51" i="4"/>
  <c r="P51" i="4"/>
  <c r="O51" i="4"/>
  <c r="T50" i="4"/>
  <c r="S50" i="4"/>
  <c r="R50" i="4"/>
  <c r="Q50" i="4"/>
  <c r="P50" i="4"/>
  <c r="O50" i="4"/>
  <c r="T49" i="4"/>
  <c r="S49" i="4"/>
  <c r="R49" i="4"/>
  <c r="Q49" i="4"/>
  <c r="P49" i="4"/>
  <c r="O49" i="4"/>
  <c r="T48" i="4"/>
  <c r="S48" i="4"/>
  <c r="R48" i="4"/>
  <c r="Q48" i="4"/>
  <c r="P48" i="4"/>
  <c r="O48" i="4"/>
  <c r="T47" i="4"/>
  <c r="S47" i="4"/>
  <c r="R47" i="4"/>
  <c r="Q47" i="4"/>
  <c r="P47" i="4"/>
  <c r="O47" i="4"/>
  <c r="T46" i="4"/>
  <c r="S46" i="4"/>
  <c r="R46" i="4"/>
  <c r="Q46" i="4"/>
  <c r="P46" i="4"/>
  <c r="O46" i="4"/>
  <c r="T44" i="4"/>
  <c r="S44" i="4"/>
  <c r="R44" i="4"/>
  <c r="Q44" i="4"/>
  <c r="P44" i="4"/>
  <c r="O44" i="4"/>
  <c r="T43" i="4"/>
  <c r="S43" i="4"/>
  <c r="R43" i="4"/>
  <c r="Q43" i="4"/>
  <c r="P43" i="4"/>
  <c r="O43" i="4"/>
  <c r="T42" i="4"/>
  <c r="S42" i="4"/>
  <c r="R42" i="4"/>
  <c r="Q42" i="4"/>
  <c r="P42" i="4"/>
  <c r="O42" i="4"/>
  <c r="T41" i="4"/>
  <c r="S41" i="4"/>
  <c r="R41" i="4"/>
  <c r="Q41" i="4"/>
  <c r="P41" i="4"/>
  <c r="O41" i="4"/>
  <c r="T40" i="4"/>
  <c r="S40" i="4"/>
  <c r="R40" i="4"/>
  <c r="Q40" i="4"/>
  <c r="P40" i="4"/>
  <c r="O40" i="4"/>
  <c r="T39" i="4"/>
  <c r="S39" i="4"/>
  <c r="R39" i="4"/>
  <c r="Q39" i="4"/>
  <c r="P39" i="4"/>
  <c r="O39" i="4"/>
  <c r="T38" i="4"/>
  <c r="S38" i="4"/>
  <c r="R38" i="4"/>
  <c r="Q38" i="4"/>
  <c r="P38" i="4"/>
  <c r="O38" i="4"/>
  <c r="T37" i="4"/>
  <c r="S37" i="4"/>
  <c r="R37" i="4"/>
  <c r="Q37" i="4"/>
  <c r="P37" i="4"/>
  <c r="O37" i="4"/>
  <c r="T36" i="4"/>
  <c r="S36" i="4"/>
  <c r="R36" i="4"/>
  <c r="Q36" i="4"/>
  <c r="P36" i="4"/>
  <c r="O36" i="4"/>
  <c r="T35" i="4"/>
  <c r="S35" i="4"/>
  <c r="R35" i="4"/>
  <c r="Q35" i="4"/>
  <c r="P35" i="4"/>
  <c r="O35" i="4"/>
  <c r="T34" i="4"/>
  <c r="S34" i="4"/>
  <c r="R34" i="4"/>
  <c r="Q34" i="4"/>
  <c r="P34" i="4"/>
  <c r="O34" i="4"/>
  <c r="T33" i="4"/>
  <c r="S33" i="4"/>
  <c r="R33" i="4"/>
  <c r="Q33" i="4"/>
  <c r="P33" i="4"/>
  <c r="O33" i="4"/>
  <c r="T32" i="4"/>
  <c r="S32" i="4"/>
  <c r="R32" i="4"/>
  <c r="Q32" i="4"/>
  <c r="P32" i="4"/>
  <c r="O32" i="4"/>
  <c r="T31" i="4"/>
  <c r="S31" i="4"/>
  <c r="R31" i="4"/>
  <c r="Q31" i="4"/>
  <c r="P31" i="4"/>
  <c r="O31" i="4"/>
  <c r="T30" i="4"/>
  <c r="S30" i="4"/>
  <c r="R30" i="4"/>
  <c r="Q30" i="4"/>
  <c r="P30" i="4"/>
  <c r="O30" i="4"/>
  <c r="T29" i="4"/>
  <c r="S29" i="4"/>
  <c r="R29" i="4"/>
  <c r="Q29" i="4"/>
  <c r="P29" i="4"/>
  <c r="O29" i="4"/>
  <c r="T28" i="4"/>
  <c r="S28" i="4"/>
  <c r="R28" i="4"/>
  <c r="Q28" i="4"/>
  <c r="P28" i="4"/>
  <c r="O28" i="4"/>
  <c r="T27" i="4"/>
  <c r="S27" i="4"/>
  <c r="R27" i="4"/>
  <c r="Q27" i="4"/>
  <c r="P27" i="4"/>
  <c r="O27" i="4"/>
  <c r="T26" i="4"/>
  <c r="S26" i="4"/>
  <c r="R26" i="4"/>
  <c r="Q26" i="4"/>
  <c r="P26" i="4"/>
  <c r="O26" i="4"/>
  <c r="T25" i="4"/>
  <c r="S25" i="4"/>
  <c r="R25" i="4"/>
  <c r="Q25" i="4"/>
  <c r="P25" i="4"/>
  <c r="O25" i="4"/>
  <c r="T24" i="4"/>
  <c r="S24" i="4"/>
  <c r="R24" i="4"/>
  <c r="Q24" i="4"/>
  <c r="P24" i="4"/>
  <c r="O24" i="4"/>
  <c r="T23" i="4"/>
  <c r="S23" i="4"/>
  <c r="R23" i="4"/>
  <c r="Q23" i="4"/>
  <c r="P23" i="4"/>
  <c r="O23" i="4"/>
  <c r="T22" i="4"/>
  <c r="S22" i="4"/>
  <c r="R22" i="4"/>
  <c r="Q22" i="4"/>
  <c r="P22" i="4"/>
  <c r="O22" i="4"/>
  <c r="T21" i="4"/>
  <c r="S21" i="4"/>
  <c r="R21" i="4"/>
  <c r="Q21" i="4"/>
  <c r="P21" i="4"/>
  <c r="O21" i="4"/>
  <c r="T20" i="4"/>
  <c r="S20" i="4"/>
  <c r="R20" i="4"/>
  <c r="Q20" i="4"/>
  <c r="P20" i="4"/>
  <c r="O20" i="4"/>
  <c r="T19" i="4"/>
  <c r="S19" i="4"/>
  <c r="R19" i="4"/>
  <c r="Q19" i="4"/>
  <c r="P19" i="4"/>
  <c r="O19" i="4"/>
  <c r="T17" i="4"/>
  <c r="S17" i="4"/>
  <c r="R17" i="4"/>
  <c r="Q17" i="4"/>
  <c r="P17" i="4"/>
  <c r="O17" i="4"/>
  <c r="T16" i="4"/>
  <c r="S16" i="4"/>
  <c r="R16" i="4"/>
  <c r="Q16" i="4"/>
  <c r="P16" i="4"/>
  <c r="O16" i="4"/>
  <c r="T15" i="4"/>
  <c r="S15" i="4"/>
  <c r="R15" i="4"/>
  <c r="Q15" i="4"/>
  <c r="P15" i="4"/>
  <c r="O15" i="4"/>
  <c r="T14" i="4"/>
  <c r="S14" i="4"/>
  <c r="R14" i="4"/>
  <c r="Q14" i="4"/>
  <c r="P14" i="4"/>
  <c r="O14" i="4"/>
  <c r="T13" i="4"/>
  <c r="S13" i="4"/>
  <c r="R13" i="4"/>
  <c r="Q13" i="4"/>
  <c r="P13" i="4"/>
  <c r="O13" i="4"/>
  <c r="T12" i="4"/>
  <c r="S12" i="4"/>
  <c r="R12" i="4"/>
  <c r="Q12" i="4"/>
  <c r="P12" i="4"/>
  <c r="O12" i="4"/>
  <c r="T11" i="4"/>
  <c r="S11" i="4"/>
  <c r="R11" i="4"/>
  <c r="Q11" i="4"/>
  <c r="P11" i="4"/>
  <c r="O11" i="4"/>
  <c r="T10" i="4"/>
  <c r="S10" i="4"/>
  <c r="R10" i="4"/>
  <c r="Q10" i="4"/>
  <c r="P10" i="4"/>
  <c r="O10" i="4"/>
  <c r="T9" i="4"/>
  <c r="S9" i="4"/>
  <c r="R9" i="4"/>
  <c r="Q9" i="4"/>
  <c r="P9" i="4"/>
  <c r="O9" i="4"/>
  <c r="T8" i="4"/>
  <c r="S8" i="4"/>
  <c r="R8" i="4"/>
  <c r="Q8" i="4"/>
  <c r="P8" i="4"/>
  <c r="O8" i="4"/>
  <c r="T7" i="4"/>
  <c r="S7" i="4"/>
  <c r="R7" i="4"/>
  <c r="Q7" i="4"/>
  <c r="P7" i="4"/>
  <c r="O7" i="4"/>
  <c r="T6" i="4"/>
  <c r="S6" i="4"/>
  <c r="R6" i="4"/>
  <c r="Q6" i="4"/>
  <c r="P6" i="4"/>
  <c r="O6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5" i="4"/>
  <c r="N184" i="4"/>
  <c r="N182" i="4"/>
  <c r="N181" i="4"/>
  <c r="N180" i="4"/>
  <c r="N179" i="4"/>
  <c r="N176" i="4"/>
  <c r="N175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7" i="4"/>
  <c r="N125" i="4"/>
  <c r="N124" i="4"/>
  <c r="N122" i="4"/>
  <c r="N121" i="4"/>
  <c r="N120" i="4"/>
  <c r="N119" i="4"/>
  <c r="N118" i="4"/>
  <c r="N116" i="4"/>
  <c r="N115" i="4"/>
  <c r="N114" i="4"/>
  <c r="N113" i="4"/>
  <c r="N112" i="4"/>
  <c r="N111" i="4"/>
  <c r="N110" i="4"/>
  <c r="N109" i="4"/>
  <c r="N108" i="4"/>
  <c r="N106" i="4"/>
  <c r="N105" i="4"/>
  <c r="N104" i="4"/>
  <c r="N103" i="4"/>
  <c r="N102" i="4"/>
  <c r="N101" i="4"/>
  <c r="N100" i="4"/>
  <c r="N98" i="4"/>
  <c r="N97" i="4"/>
  <c r="N96" i="4"/>
  <c r="N95" i="4"/>
  <c r="N94" i="4"/>
  <c r="N93" i="4"/>
  <c r="N92" i="4"/>
  <c r="N91" i="4"/>
  <c r="N90" i="4"/>
  <c r="N89" i="4"/>
  <c r="N88" i="4"/>
  <c r="N87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7" i="4"/>
  <c r="N66" i="4"/>
  <c r="N65" i="4"/>
  <c r="N64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7" i="4"/>
  <c r="N16" i="4"/>
  <c r="N15" i="4"/>
  <c r="N14" i="4"/>
  <c r="N13" i="4"/>
  <c r="N12" i="4"/>
  <c r="N11" i="4"/>
  <c r="N10" i="4"/>
  <c r="N9" i="4"/>
  <c r="M258" i="4"/>
  <c r="L258" i="4"/>
  <c r="K258" i="4"/>
  <c r="J258" i="4"/>
  <c r="I258" i="4"/>
  <c r="M257" i="4"/>
  <c r="L257" i="4"/>
  <c r="K257" i="4"/>
  <c r="J257" i="4"/>
  <c r="I257" i="4"/>
  <c r="M256" i="4"/>
  <c r="L256" i="4"/>
  <c r="K256" i="4"/>
  <c r="J256" i="4"/>
  <c r="I256" i="4"/>
  <c r="M255" i="4"/>
  <c r="L255" i="4"/>
  <c r="K255" i="4"/>
  <c r="J255" i="4"/>
  <c r="I255" i="4"/>
  <c r="M254" i="4"/>
  <c r="L254" i="4"/>
  <c r="K254" i="4"/>
  <c r="J254" i="4"/>
  <c r="I254" i="4"/>
  <c r="M253" i="4"/>
  <c r="L253" i="4"/>
  <c r="K253" i="4"/>
  <c r="J253" i="4"/>
  <c r="I253" i="4"/>
  <c r="M252" i="4"/>
  <c r="L252" i="4"/>
  <c r="K252" i="4"/>
  <c r="J252" i="4"/>
  <c r="I252" i="4"/>
  <c r="M251" i="4"/>
  <c r="L251" i="4"/>
  <c r="K251" i="4"/>
  <c r="J251" i="4"/>
  <c r="I251" i="4"/>
  <c r="M250" i="4"/>
  <c r="L250" i="4"/>
  <c r="K250" i="4"/>
  <c r="J250" i="4"/>
  <c r="I250" i="4"/>
  <c r="M249" i="4"/>
  <c r="L249" i="4"/>
  <c r="K249" i="4"/>
  <c r="J249" i="4"/>
  <c r="I249" i="4"/>
  <c r="M248" i="4"/>
  <c r="L248" i="4"/>
  <c r="K248" i="4"/>
  <c r="J248" i="4"/>
  <c r="I248" i="4"/>
  <c r="M247" i="4"/>
  <c r="L247" i="4"/>
  <c r="K247" i="4"/>
  <c r="J247" i="4"/>
  <c r="I247" i="4"/>
  <c r="M246" i="4"/>
  <c r="L246" i="4"/>
  <c r="K246" i="4"/>
  <c r="J246" i="4"/>
  <c r="I246" i="4"/>
  <c r="M245" i="4"/>
  <c r="L245" i="4"/>
  <c r="K245" i="4"/>
  <c r="J245" i="4"/>
  <c r="I245" i="4"/>
  <c r="M244" i="4"/>
  <c r="L244" i="4"/>
  <c r="K244" i="4"/>
  <c r="J244" i="4"/>
  <c r="I244" i="4"/>
  <c r="M243" i="4"/>
  <c r="L243" i="4"/>
  <c r="K243" i="4"/>
  <c r="J243" i="4"/>
  <c r="I243" i="4"/>
  <c r="M242" i="4"/>
  <c r="L242" i="4"/>
  <c r="K242" i="4"/>
  <c r="J242" i="4"/>
  <c r="I242" i="4"/>
  <c r="M241" i="4"/>
  <c r="L241" i="4"/>
  <c r="K241" i="4"/>
  <c r="J241" i="4"/>
  <c r="I241" i="4"/>
  <c r="M240" i="4"/>
  <c r="L240" i="4"/>
  <c r="K240" i="4"/>
  <c r="J240" i="4"/>
  <c r="I240" i="4"/>
  <c r="M239" i="4"/>
  <c r="L239" i="4"/>
  <c r="K239" i="4"/>
  <c r="J239" i="4"/>
  <c r="I239" i="4"/>
  <c r="M238" i="4"/>
  <c r="L238" i="4"/>
  <c r="K238" i="4"/>
  <c r="J238" i="4"/>
  <c r="I238" i="4"/>
  <c r="M237" i="4"/>
  <c r="L237" i="4"/>
  <c r="K237" i="4"/>
  <c r="J237" i="4"/>
  <c r="I237" i="4"/>
  <c r="M236" i="4"/>
  <c r="L236" i="4"/>
  <c r="K236" i="4"/>
  <c r="J236" i="4"/>
  <c r="I236" i="4"/>
  <c r="M235" i="4"/>
  <c r="L235" i="4"/>
  <c r="K235" i="4"/>
  <c r="J235" i="4"/>
  <c r="I235" i="4"/>
  <c r="M234" i="4"/>
  <c r="L234" i="4"/>
  <c r="K234" i="4"/>
  <c r="J234" i="4"/>
  <c r="I234" i="4"/>
  <c r="M233" i="4"/>
  <c r="L233" i="4"/>
  <c r="K233" i="4"/>
  <c r="J233" i="4"/>
  <c r="I233" i="4"/>
  <c r="M232" i="4"/>
  <c r="L232" i="4"/>
  <c r="K232" i="4"/>
  <c r="J232" i="4"/>
  <c r="I232" i="4"/>
  <c r="M231" i="4"/>
  <c r="L231" i="4"/>
  <c r="K231" i="4"/>
  <c r="J231" i="4"/>
  <c r="I231" i="4"/>
  <c r="M230" i="4"/>
  <c r="L230" i="4"/>
  <c r="K230" i="4"/>
  <c r="J230" i="4"/>
  <c r="I230" i="4"/>
  <c r="M229" i="4"/>
  <c r="L229" i="4"/>
  <c r="K229" i="4"/>
  <c r="J229" i="4"/>
  <c r="I229" i="4"/>
  <c r="M228" i="4"/>
  <c r="L228" i="4"/>
  <c r="K228" i="4"/>
  <c r="J228" i="4"/>
  <c r="I228" i="4"/>
  <c r="M227" i="4"/>
  <c r="L227" i="4"/>
  <c r="K227" i="4"/>
  <c r="J227" i="4"/>
  <c r="I227" i="4"/>
  <c r="M226" i="4"/>
  <c r="L226" i="4"/>
  <c r="K226" i="4"/>
  <c r="J226" i="4"/>
  <c r="I226" i="4"/>
  <c r="M224" i="4"/>
  <c r="L224" i="4"/>
  <c r="K224" i="4"/>
  <c r="J224" i="4"/>
  <c r="I224" i="4"/>
  <c r="M223" i="4"/>
  <c r="L223" i="4"/>
  <c r="K223" i="4"/>
  <c r="J223" i="4"/>
  <c r="I223" i="4"/>
  <c r="M222" i="4"/>
  <c r="L222" i="4"/>
  <c r="K222" i="4"/>
  <c r="J222" i="4"/>
  <c r="I222" i="4"/>
  <c r="M221" i="4"/>
  <c r="L221" i="4"/>
  <c r="K221" i="4"/>
  <c r="J221" i="4"/>
  <c r="I221" i="4"/>
  <c r="M220" i="4"/>
  <c r="L220" i="4"/>
  <c r="K220" i="4"/>
  <c r="J220" i="4"/>
  <c r="I220" i="4"/>
  <c r="M219" i="4"/>
  <c r="L219" i="4"/>
  <c r="K219" i="4"/>
  <c r="J219" i="4"/>
  <c r="I219" i="4"/>
  <c r="M218" i="4"/>
  <c r="L218" i="4"/>
  <c r="K218" i="4"/>
  <c r="J218" i="4"/>
  <c r="I218" i="4"/>
  <c r="M217" i="4"/>
  <c r="L217" i="4"/>
  <c r="K217" i="4"/>
  <c r="J217" i="4"/>
  <c r="I217" i="4"/>
  <c r="M216" i="4"/>
  <c r="L216" i="4"/>
  <c r="K216" i="4"/>
  <c r="J216" i="4"/>
  <c r="I216" i="4"/>
  <c r="M215" i="4"/>
  <c r="L215" i="4"/>
  <c r="K215" i="4"/>
  <c r="J215" i="4"/>
  <c r="I215" i="4"/>
  <c r="M214" i="4"/>
  <c r="L214" i="4"/>
  <c r="K214" i="4"/>
  <c r="J214" i="4"/>
  <c r="I214" i="4"/>
  <c r="M213" i="4"/>
  <c r="L213" i="4"/>
  <c r="K213" i="4"/>
  <c r="J213" i="4"/>
  <c r="I213" i="4"/>
  <c r="M210" i="4"/>
  <c r="L210" i="4"/>
  <c r="K210" i="4"/>
  <c r="J210" i="4"/>
  <c r="I210" i="4"/>
  <c r="M209" i="4"/>
  <c r="L209" i="4"/>
  <c r="K209" i="4"/>
  <c r="J209" i="4"/>
  <c r="I209" i="4"/>
  <c r="M208" i="4"/>
  <c r="L208" i="4"/>
  <c r="K208" i="4"/>
  <c r="J208" i="4"/>
  <c r="I208" i="4"/>
  <c r="M207" i="4"/>
  <c r="L207" i="4"/>
  <c r="K207" i="4"/>
  <c r="J207" i="4"/>
  <c r="I207" i="4"/>
  <c r="M206" i="4"/>
  <c r="L206" i="4"/>
  <c r="K206" i="4"/>
  <c r="J206" i="4"/>
  <c r="I206" i="4"/>
  <c r="M205" i="4"/>
  <c r="L205" i="4"/>
  <c r="K205" i="4"/>
  <c r="J205" i="4"/>
  <c r="I205" i="4"/>
  <c r="M204" i="4"/>
  <c r="L204" i="4"/>
  <c r="K204" i="4"/>
  <c r="J204" i="4"/>
  <c r="I204" i="4"/>
  <c r="M203" i="4"/>
  <c r="L203" i="4"/>
  <c r="K203" i="4"/>
  <c r="J203" i="4"/>
  <c r="I203" i="4"/>
  <c r="M202" i="4"/>
  <c r="L202" i="4"/>
  <c r="K202" i="4"/>
  <c r="J202" i="4"/>
  <c r="I202" i="4"/>
  <c r="M201" i="4"/>
  <c r="L201" i="4"/>
  <c r="K201" i="4"/>
  <c r="J201" i="4"/>
  <c r="I201" i="4"/>
  <c r="M200" i="4"/>
  <c r="L200" i="4"/>
  <c r="K200" i="4"/>
  <c r="J200" i="4"/>
  <c r="I200" i="4"/>
  <c r="M199" i="4"/>
  <c r="L199" i="4"/>
  <c r="K199" i="4"/>
  <c r="J199" i="4"/>
  <c r="I199" i="4"/>
  <c r="M198" i="4"/>
  <c r="L198" i="4"/>
  <c r="K198" i="4"/>
  <c r="J198" i="4"/>
  <c r="I198" i="4"/>
  <c r="M197" i="4"/>
  <c r="L197" i="4"/>
  <c r="K197" i="4"/>
  <c r="J197" i="4"/>
  <c r="I197" i="4"/>
  <c r="M196" i="4"/>
  <c r="L196" i="4"/>
  <c r="K196" i="4"/>
  <c r="J196" i="4"/>
  <c r="I196" i="4"/>
  <c r="M195" i="4"/>
  <c r="L195" i="4"/>
  <c r="K195" i="4"/>
  <c r="J195" i="4"/>
  <c r="I195" i="4"/>
  <c r="M194" i="4"/>
  <c r="L194" i="4"/>
  <c r="K194" i="4"/>
  <c r="J194" i="4"/>
  <c r="I194" i="4"/>
  <c r="M193" i="4"/>
  <c r="L193" i="4"/>
  <c r="K193" i="4"/>
  <c r="J193" i="4"/>
  <c r="I193" i="4"/>
  <c r="M192" i="4"/>
  <c r="L192" i="4"/>
  <c r="K192" i="4"/>
  <c r="J192" i="4"/>
  <c r="I192" i="4"/>
  <c r="M191" i="4"/>
  <c r="L191" i="4"/>
  <c r="K191" i="4"/>
  <c r="J191" i="4"/>
  <c r="I191" i="4"/>
  <c r="M190" i="4"/>
  <c r="L190" i="4"/>
  <c r="K190" i="4"/>
  <c r="J190" i="4"/>
  <c r="I190" i="4"/>
  <c r="M189" i="4"/>
  <c r="L189" i="4"/>
  <c r="K189" i="4"/>
  <c r="J189" i="4"/>
  <c r="I189" i="4"/>
  <c r="M188" i="4"/>
  <c r="L188" i="4"/>
  <c r="K188" i="4"/>
  <c r="J188" i="4"/>
  <c r="I188" i="4"/>
  <c r="M187" i="4"/>
  <c r="L187" i="4"/>
  <c r="K187" i="4"/>
  <c r="J187" i="4"/>
  <c r="I187" i="4"/>
  <c r="M185" i="4"/>
  <c r="L185" i="4"/>
  <c r="K185" i="4"/>
  <c r="J185" i="4"/>
  <c r="I185" i="4"/>
  <c r="M184" i="4"/>
  <c r="L184" i="4"/>
  <c r="K184" i="4"/>
  <c r="J184" i="4"/>
  <c r="I184" i="4"/>
  <c r="M182" i="4"/>
  <c r="L182" i="4"/>
  <c r="K182" i="4"/>
  <c r="J182" i="4"/>
  <c r="I182" i="4"/>
  <c r="M181" i="4"/>
  <c r="L181" i="4"/>
  <c r="K181" i="4"/>
  <c r="J181" i="4"/>
  <c r="I181" i="4"/>
  <c r="M180" i="4"/>
  <c r="L180" i="4"/>
  <c r="K180" i="4"/>
  <c r="J180" i="4"/>
  <c r="I180" i="4"/>
  <c r="M179" i="4"/>
  <c r="L179" i="4"/>
  <c r="K179" i="4"/>
  <c r="J179" i="4"/>
  <c r="I179" i="4"/>
  <c r="M176" i="4"/>
  <c r="L176" i="4"/>
  <c r="K176" i="4"/>
  <c r="J176" i="4"/>
  <c r="I176" i="4"/>
  <c r="M175" i="4"/>
  <c r="L175" i="4"/>
  <c r="K175" i="4"/>
  <c r="J175" i="4"/>
  <c r="I175" i="4"/>
  <c r="M173" i="4"/>
  <c r="L173" i="4"/>
  <c r="K173" i="4"/>
  <c r="J173" i="4"/>
  <c r="I173" i="4"/>
  <c r="M172" i="4"/>
  <c r="L172" i="4"/>
  <c r="K172" i="4"/>
  <c r="J172" i="4"/>
  <c r="I172" i="4"/>
  <c r="M171" i="4"/>
  <c r="L171" i="4"/>
  <c r="K171" i="4"/>
  <c r="J171" i="4"/>
  <c r="I171" i="4"/>
  <c r="M170" i="4"/>
  <c r="L170" i="4"/>
  <c r="K170" i="4"/>
  <c r="J170" i="4"/>
  <c r="I170" i="4"/>
  <c r="M169" i="4"/>
  <c r="L169" i="4"/>
  <c r="K169" i="4"/>
  <c r="J169" i="4"/>
  <c r="I169" i="4"/>
  <c r="M168" i="4"/>
  <c r="L168" i="4"/>
  <c r="K168" i="4"/>
  <c r="J168" i="4"/>
  <c r="I168" i="4"/>
  <c r="M167" i="4"/>
  <c r="L167" i="4"/>
  <c r="K167" i="4"/>
  <c r="J167" i="4"/>
  <c r="I167" i="4"/>
  <c r="M166" i="4"/>
  <c r="L166" i="4"/>
  <c r="K166" i="4"/>
  <c r="J166" i="4"/>
  <c r="I166" i="4"/>
  <c r="M165" i="4"/>
  <c r="L165" i="4"/>
  <c r="K165" i="4"/>
  <c r="J165" i="4"/>
  <c r="I165" i="4"/>
  <c r="M164" i="4"/>
  <c r="L164" i="4"/>
  <c r="K164" i="4"/>
  <c r="J164" i="4"/>
  <c r="I164" i="4"/>
  <c r="M163" i="4"/>
  <c r="L163" i="4"/>
  <c r="K163" i="4"/>
  <c r="J163" i="4"/>
  <c r="I163" i="4"/>
  <c r="M162" i="4"/>
  <c r="L162" i="4"/>
  <c r="K162" i="4"/>
  <c r="J162" i="4"/>
  <c r="I162" i="4"/>
  <c r="M161" i="4"/>
  <c r="L161" i="4"/>
  <c r="K161" i="4"/>
  <c r="J161" i="4"/>
  <c r="I161" i="4"/>
  <c r="M160" i="4"/>
  <c r="L160" i="4"/>
  <c r="K160" i="4"/>
  <c r="J160" i="4"/>
  <c r="I160" i="4"/>
  <c r="M159" i="4"/>
  <c r="L159" i="4"/>
  <c r="K159" i="4"/>
  <c r="J159" i="4"/>
  <c r="I159" i="4"/>
  <c r="M158" i="4"/>
  <c r="L158" i="4"/>
  <c r="K158" i="4"/>
  <c r="J158" i="4"/>
  <c r="I158" i="4"/>
  <c r="M157" i="4"/>
  <c r="L157" i="4"/>
  <c r="K157" i="4"/>
  <c r="J157" i="4"/>
  <c r="I157" i="4"/>
  <c r="M156" i="4"/>
  <c r="L156" i="4"/>
  <c r="K156" i="4"/>
  <c r="J156" i="4"/>
  <c r="I156" i="4"/>
  <c r="M154" i="4"/>
  <c r="L154" i="4"/>
  <c r="K154" i="4"/>
  <c r="J154" i="4"/>
  <c r="I154" i="4"/>
  <c r="M153" i="4"/>
  <c r="L153" i="4"/>
  <c r="K153" i="4"/>
  <c r="J153" i="4"/>
  <c r="I153" i="4"/>
  <c r="M152" i="4"/>
  <c r="L152" i="4"/>
  <c r="K152" i="4"/>
  <c r="J152" i="4"/>
  <c r="I152" i="4"/>
  <c r="M151" i="4"/>
  <c r="L151" i="4"/>
  <c r="K151" i="4"/>
  <c r="J151" i="4"/>
  <c r="I151" i="4"/>
  <c r="M150" i="4"/>
  <c r="L150" i="4"/>
  <c r="K150" i="4"/>
  <c r="J150" i="4"/>
  <c r="I150" i="4"/>
  <c r="M149" i="4"/>
  <c r="L149" i="4"/>
  <c r="K149" i="4"/>
  <c r="J149" i="4"/>
  <c r="I149" i="4"/>
  <c r="M148" i="4"/>
  <c r="L148" i="4"/>
  <c r="K148" i="4"/>
  <c r="J148" i="4"/>
  <c r="I148" i="4"/>
  <c r="M147" i="4"/>
  <c r="L147" i="4"/>
  <c r="K147" i="4"/>
  <c r="J147" i="4"/>
  <c r="I147" i="4"/>
  <c r="M146" i="4"/>
  <c r="L146" i="4"/>
  <c r="K146" i="4"/>
  <c r="J146" i="4"/>
  <c r="I146" i="4"/>
  <c r="M145" i="4"/>
  <c r="L145" i="4"/>
  <c r="K145" i="4"/>
  <c r="J145" i="4"/>
  <c r="I145" i="4"/>
  <c r="M144" i="4"/>
  <c r="L144" i="4"/>
  <c r="K144" i="4"/>
  <c r="J144" i="4"/>
  <c r="I144" i="4"/>
  <c r="M143" i="4"/>
  <c r="L143" i="4"/>
  <c r="K143" i="4"/>
  <c r="J143" i="4"/>
  <c r="I143" i="4"/>
  <c r="M142" i="4"/>
  <c r="L142" i="4"/>
  <c r="K142" i="4"/>
  <c r="J142" i="4"/>
  <c r="I142" i="4"/>
  <c r="M141" i="4"/>
  <c r="L141" i="4"/>
  <c r="K141" i="4"/>
  <c r="J141" i="4"/>
  <c r="I141" i="4"/>
  <c r="M140" i="4"/>
  <c r="L140" i="4"/>
  <c r="K140" i="4"/>
  <c r="J140" i="4"/>
  <c r="I140" i="4"/>
  <c r="M139" i="4"/>
  <c r="L139" i="4"/>
  <c r="K139" i="4"/>
  <c r="J139" i="4"/>
  <c r="I139" i="4"/>
  <c r="M138" i="4"/>
  <c r="L138" i="4"/>
  <c r="K138" i="4"/>
  <c r="J138" i="4"/>
  <c r="I138" i="4"/>
  <c r="M137" i="4"/>
  <c r="L137" i="4"/>
  <c r="K137" i="4"/>
  <c r="J137" i="4"/>
  <c r="I137" i="4"/>
  <c r="M136" i="4"/>
  <c r="L136" i="4"/>
  <c r="K136" i="4"/>
  <c r="J136" i="4"/>
  <c r="I136" i="4"/>
  <c r="M135" i="4"/>
  <c r="L135" i="4"/>
  <c r="K135" i="4"/>
  <c r="J135" i="4"/>
  <c r="I135" i="4"/>
  <c r="M134" i="4"/>
  <c r="L134" i="4"/>
  <c r="K134" i="4"/>
  <c r="J134" i="4"/>
  <c r="I134" i="4"/>
  <c r="M133" i="4"/>
  <c r="L133" i="4"/>
  <c r="K133" i="4"/>
  <c r="J133" i="4"/>
  <c r="I133" i="4"/>
  <c r="M132" i="4"/>
  <c r="L132" i="4"/>
  <c r="K132" i="4"/>
  <c r="J132" i="4"/>
  <c r="I132" i="4"/>
  <c r="M131" i="4"/>
  <c r="L131" i="4"/>
  <c r="K131" i="4"/>
  <c r="J131" i="4"/>
  <c r="I131" i="4"/>
  <c r="M130" i="4"/>
  <c r="L130" i="4"/>
  <c r="K130" i="4"/>
  <c r="J130" i="4"/>
  <c r="I130" i="4"/>
  <c r="M129" i="4"/>
  <c r="L129" i="4"/>
  <c r="K129" i="4"/>
  <c r="J129" i="4"/>
  <c r="I129" i="4"/>
  <c r="M127" i="4"/>
  <c r="L127" i="4"/>
  <c r="K127" i="4"/>
  <c r="J127" i="4"/>
  <c r="I127" i="4"/>
  <c r="M125" i="4"/>
  <c r="L125" i="4"/>
  <c r="K125" i="4"/>
  <c r="J125" i="4"/>
  <c r="I125" i="4"/>
  <c r="M124" i="4"/>
  <c r="L124" i="4"/>
  <c r="K124" i="4"/>
  <c r="J124" i="4"/>
  <c r="I124" i="4"/>
  <c r="M122" i="4"/>
  <c r="L122" i="4"/>
  <c r="K122" i="4"/>
  <c r="J122" i="4"/>
  <c r="I122" i="4"/>
  <c r="M121" i="4"/>
  <c r="L121" i="4"/>
  <c r="K121" i="4"/>
  <c r="J121" i="4"/>
  <c r="I121" i="4"/>
  <c r="M120" i="4"/>
  <c r="L120" i="4"/>
  <c r="K120" i="4"/>
  <c r="J120" i="4"/>
  <c r="I120" i="4"/>
  <c r="M119" i="4"/>
  <c r="L119" i="4"/>
  <c r="K119" i="4"/>
  <c r="J119" i="4"/>
  <c r="I119" i="4"/>
  <c r="M118" i="4"/>
  <c r="L118" i="4"/>
  <c r="K118" i="4"/>
  <c r="J118" i="4"/>
  <c r="I118" i="4"/>
  <c r="M116" i="4"/>
  <c r="L116" i="4"/>
  <c r="K116" i="4"/>
  <c r="J116" i="4"/>
  <c r="I116" i="4"/>
  <c r="M115" i="4"/>
  <c r="L115" i="4"/>
  <c r="K115" i="4"/>
  <c r="J115" i="4"/>
  <c r="I115" i="4"/>
  <c r="M114" i="4"/>
  <c r="L114" i="4"/>
  <c r="K114" i="4"/>
  <c r="J114" i="4"/>
  <c r="I114" i="4"/>
  <c r="M113" i="4"/>
  <c r="L113" i="4"/>
  <c r="K113" i="4"/>
  <c r="J113" i="4"/>
  <c r="I113" i="4"/>
  <c r="M112" i="4"/>
  <c r="L112" i="4"/>
  <c r="K112" i="4"/>
  <c r="J112" i="4"/>
  <c r="I112" i="4"/>
  <c r="M111" i="4"/>
  <c r="L111" i="4"/>
  <c r="K111" i="4"/>
  <c r="J111" i="4"/>
  <c r="I111" i="4"/>
  <c r="M110" i="4"/>
  <c r="L110" i="4"/>
  <c r="K110" i="4"/>
  <c r="J110" i="4"/>
  <c r="I110" i="4"/>
  <c r="M109" i="4"/>
  <c r="L109" i="4"/>
  <c r="K109" i="4"/>
  <c r="J109" i="4"/>
  <c r="I109" i="4"/>
  <c r="M108" i="4"/>
  <c r="L108" i="4"/>
  <c r="K108" i="4"/>
  <c r="J108" i="4"/>
  <c r="I108" i="4"/>
  <c r="M106" i="4"/>
  <c r="L106" i="4"/>
  <c r="K106" i="4"/>
  <c r="J106" i="4"/>
  <c r="I106" i="4"/>
  <c r="M105" i="4"/>
  <c r="L105" i="4"/>
  <c r="K105" i="4"/>
  <c r="J105" i="4"/>
  <c r="I105" i="4"/>
  <c r="M104" i="4"/>
  <c r="L104" i="4"/>
  <c r="K104" i="4"/>
  <c r="J104" i="4"/>
  <c r="I104" i="4"/>
  <c r="M103" i="4"/>
  <c r="L103" i="4"/>
  <c r="K103" i="4"/>
  <c r="J103" i="4"/>
  <c r="I103" i="4"/>
  <c r="M102" i="4"/>
  <c r="L102" i="4"/>
  <c r="K102" i="4"/>
  <c r="J102" i="4"/>
  <c r="I102" i="4"/>
  <c r="M101" i="4"/>
  <c r="L101" i="4"/>
  <c r="K101" i="4"/>
  <c r="J101" i="4"/>
  <c r="I101" i="4"/>
  <c r="M100" i="4"/>
  <c r="L100" i="4"/>
  <c r="K100" i="4"/>
  <c r="J100" i="4"/>
  <c r="I100" i="4"/>
  <c r="M98" i="4"/>
  <c r="L98" i="4"/>
  <c r="K98" i="4"/>
  <c r="J98" i="4"/>
  <c r="I98" i="4"/>
  <c r="M97" i="4"/>
  <c r="L97" i="4"/>
  <c r="K97" i="4"/>
  <c r="J97" i="4"/>
  <c r="I97" i="4"/>
  <c r="M96" i="4"/>
  <c r="L96" i="4"/>
  <c r="K96" i="4"/>
  <c r="J96" i="4"/>
  <c r="I96" i="4"/>
  <c r="M95" i="4"/>
  <c r="L95" i="4"/>
  <c r="K95" i="4"/>
  <c r="J95" i="4"/>
  <c r="I95" i="4"/>
  <c r="M94" i="4"/>
  <c r="L94" i="4"/>
  <c r="K94" i="4"/>
  <c r="J94" i="4"/>
  <c r="I94" i="4"/>
  <c r="M93" i="4"/>
  <c r="L93" i="4"/>
  <c r="K93" i="4"/>
  <c r="J93" i="4"/>
  <c r="I93" i="4"/>
  <c r="M92" i="4"/>
  <c r="L92" i="4"/>
  <c r="K92" i="4"/>
  <c r="J92" i="4"/>
  <c r="I92" i="4"/>
  <c r="M91" i="4"/>
  <c r="L91" i="4"/>
  <c r="K91" i="4"/>
  <c r="J91" i="4"/>
  <c r="I91" i="4"/>
  <c r="M90" i="4"/>
  <c r="L90" i="4"/>
  <c r="K90" i="4"/>
  <c r="J90" i="4"/>
  <c r="I90" i="4"/>
  <c r="M89" i="4"/>
  <c r="L89" i="4"/>
  <c r="K89" i="4"/>
  <c r="J89" i="4"/>
  <c r="I89" i="4"/>
  <c r="M88" i="4"/>
  <c r="L88" i="4"/>
  <c r="K88" i="4"/>
  <c r="J88" i="4"/>
  <c r="I88" i="4"/>
  <c r="M87" i="4"/>
  <c r="L87" i="4"/>
  <c r="K87" i="4"/>
  <c r="J87" i="4"/>
  <c r="I87" i="4"/>
  <c r="M85" i="4"/>
  <c r="L85" i="4"/>
  <c r="K85" i="4"/>
  <c r="J85" i="4"/>
  <c r="I85" i="4"/>
  <c r="M84" i="4"/>
  <c r="L84" i="4"/>
  <c r="K84" i="4"/>
  <c r="J84" i="4"/>
  <c r="I84" i="4"/>
  <c r="M83" i="4"/>
  <c r="L83" i="4"/>
  <c r="K83" i="4"/>
  <c r="J83" i="4"/>
  <c r="I83" i="4"/>
  <c r="M82" i="4"/>
  <c r="L82" i="4"/>
  <c r="K82" i="4"/>
  <c r="J82" i="4"/>
  <c r="I82" i="4"/>
  <c r="M81" i="4"/>
  <c r="L81" i="4"/>
  <c r="K81" i="4"/>
  <c r="J81" i="4"/>
  <c r="I81" i="4"/>
  <c r="M80" i="4"/>
  <c r="L80" i="4"/>
  <c r="K80" i="4"/>
  <c r="J80" i="4"/>
  <c r="I80" i="4"/>
  <c r="M79" i="4"/>
  <c r="L79" i="4"/>
  <c r="K79" i="4"/>
  <c r="J79" i="4"/>
  <c r="I79" i="4"/>
  <c r="M78" i="4"/>
  <c r="L78" i="4"/>
  <c r="K78" i="4"/>
  <c r="J78" i="4"/>
  <c r="I78" i="4"/>
  <c r="M77" i="4"/>
  <c r="L77" i="4"/>
  <c r="K77" i="4"/>
  <c r="J77" i="4"/>
  <c r="I77" i="4"/>
  <c r="M76" i="4"/>
  <c r="L76" i="4"/>
  <c r="K76" i="4"/>
  <c r="J76" i="4"/>
  <c r="I76" i="4"/>
  <c r="M75" i="4"/>
  <c r="L75" i="4"/>
  <c r="K75" i="4"/>
  <c r="J75" i="4"/>
  <c r="I75" i="4"/>
  <c r="M74" i="4"/>
  <c r="L74" i="4"/>
  <c r="K74" i="4"/>
  <c r="J74" i="4"/>
  <c r="I74" i="4"/>
  <c r="M73" i="4"/>
  <c r="L73" i="4"/>
  <c r="K73" i="4"/>
  <c r="J73" i="4"/>
  <c r="I73" i="4"/>
  <c r="M72" i="4"/>
  <c r="L72" i="4"/>
  <c r="K72" i="4"/>
  <c r="J72" i="4"/>
  <c r="I72" i="4"/>
  <c r="M71" i="4"/>
  <c r="L71" i="4"/>
  <c r="K71" i="4"/>
  <c r="J71" i="4"/>
  <c r="I71" i="4"/>
  <c r="M70" i="4"/>
  <c r="L70" i="4"/>
  <c r="K70" i="4"/>
  <c r="J70" i="4"/>
  <c r="I70" i="4"/>
  <c r="M69" i="4"/>
  <c r="L69" i="4"/>
  <c r="K69" i="4"/>
  <c r="J69" i="4"/>
  <c r="I69" i="4"/>
  <c r="M67" i="4"/>
  <c r="L67" i="4"/>
  <c r="K67" i="4"/>
  <c r="J67" i="4"/>
  <c r="I67" i="4"/>
  <c r="M66" i="4"/>
  <c r="L66" i="4"/>
  <c r="K66" i="4"/>
  <c r="J66" i="4"/>
  <c r="I66" i="4"/>
  <c r="M65" i="4"/>
  <c r="L65" i="4"/>
  <c r="K65" i="4"/>
  <c r="J65" i="4"/>
  <c r="I65" i="4"/>
  <c r="M64" i="4"/>
  <c r="L64" i="4"/>
  <c r="K64" i="4"/>
  <c r="J64" i="4"/>
  <c r="I64" i="4"/>
  <c r="M62" i="4"/>
  <c r="L62" i="4"/>
  <c r="K62" i="4"/>
  <c r="J62" i="4"/>
  <c r="I62" i="4"/>
  <c r="M61" i="4"/>
  <c r="L61" i="4"/>
  <c r="K61" i="4"/>
  <c r="J61" i="4"/>
  <c r="I61" i="4"/>
  <c r="M60" i="4"/>
  <c r="L60" i="4"/>
  <c r="K60" i="4"/>
  <c r="J60" i="4"/>
  <c r="I60" i="4"/>
  <c r="M59" i="4"/>
  <c r="L59" i="4"/>
  <c r="K59" i="4"/>
  <c r="J59" i="4"/>
  <c r="I59" i="4"/>
  <c r="M58" i="4"/>
  <c r="L58" i="4"/>
  <c r="K58" i="4"/>
  <c r="J58" i="4"/>
  <c r="I58" i="4"/>
  <c r="M57" i="4"/>
  <c r="L57" i="4"/>
  <c r="K57" i="4"/>
  <c r="J57" i="4"/>
  <c r="I57" i="4"/>
  <c r="M56" i="4"/>
  <c r="L56" i="4"/>
  <c r="K56" i="4"/>
  <c r="J56" i="4"/>
  <c r="I56" i="4"/>
  <c r="M55" i="4"/>
  <c r="L55" i="4"/>
  <c r="K55" i="4"/>
  <c r="J55" i="4"/>
  <c r="I55" i="4"/>
  <c r="M54" i="4"/>
  <c r="L54" i="4"/>
  <c r="K54" i="4"/>
  <c r="J54" i="4"/>
  <c r="I54" i="4"/>
  <c r="M53" i="4"/>
  <c r="L53" i="4"/>
  <c r="K53" i="4"/>
  <c r="J53" i="4"/>
  <c r="I53" i="4"/>
  <c r="M52" i="4"/>
  <c r="L52" i="4"/>
  <c r="K52" i="4"/>
  <c r="J52" i="4"/>
  <c r="I52" i="4"/>
  <c r="M51" i="4"/>
  <c r="L51" i="4"/>
  <c r="K51" i="4"/>
  <c r="J51" i="4"/>
  <c r="I51" i="4"/>
  <c r="M50" i="4"/>
  <c r="L50" i="4"/>
  <c r="K50" i="4"/>
  <c r="J50" i="4"/>
  <c r="I50" i="4"/>
  <c r="M49" i="4"/>
  <c r="L49" i="4"/>
  <c r="K49" i="4"/>
  <c r="J49" i="4"/>
  <c r="I49" i="4"/>
  <c r="M48" i="4"/>
  <c r="L48" i="4"/>
  <c r="K48" i="4"/>
  <c r="J48" i="4"/>
  <c r="I48" i="4"/>
  <c r="M47" i="4"/>
  <c r="L47" i="4"/>
  <c r="K47" i="4"/>
  <c r="J47" i="4"/>
  <c r="I47" i="4"/>
  <c r="M46" i="4"/>
  <c r="L46" i="4"/>
  <c r="K46" i="4"/>
  <c r="J46" i="4"/>
  <c r="I46" i="4"/>
  <c r="M44" i="4"/>
  <c r="L44" i="4"/>
  <c r="K44" i="4"/>
  <c r="J44" i="4"/>
  <c r="I44" i="4"/>
  <c r="M43" i="4"/>
  <c r="L43" i="4"/>
  <c r="K43" i="4"/>
  <c r="J43" i="4"/>
  <c r="I43" i="4"/>
  <c r="M42" i="4"/>
  <c r="L42" i="4"/>
  <c r="K42" i="4"/>
  <c r="J42" i="4"/>
  <c r="I42" i="4"/>
  <c r="M41" i="4"/>
  <c r="L41" i="4"/>
  <c r="K41" i="4"/>
  <c r="J41" i="4"/>
  <c r="I41" i="4"/>
  <c r="M40" i="4"/>
  <c r="L40" i="4"/>
  <c r="K40" i="4"/>
  <c r="J40" i="4"/>
  <c r="I40" i="4"/>
  <c r="M39" i="4"/>
  <c r="L39" i="4"/>
  <c r="K39" i="4"/>
  <c r="J39" i="4"/>
  <c r="I39" i="4"/>
  <c r="M38" i="4"/>
  <c r="L38" i="4"/>
  <c r="K38" i="4"/>
  <c r="J38" i="4"/>
  <c r="I38" i="4"/>
  <c r="M37" i="4"/>
  <c r="L37" i="4"/>
  <c r="K37" i="4"/>
  <c r="J37" i="4"/>
  <c r="I37" i="4"/>
  <c r="M36" i="4"/>
  <c r="L36" i="4"/>
  <c r="K36" i="4"/>
  <c r="J36" i="4"/>
  <c r="I36" i="4"/>
  <c r="M35" i="4"/>
  <c r="L35" i="4"/>
  <c r="K35" i="4"/>
  <c r="J35" i="4"/>
  <c r="I35" i="4"/>
  <c r="M34" i="4"/>
  <c r="L34" i="4"/>
  <c r="K34" i="4"/>
  <c r="J34" i="4"/>
  <c r="I34" i="4"/>
  <c r="M33" i="4"/>
  <c r="L33" i="4"/>
  <c r="K33" i="4"/>
  <c r="J33" i="4"/>
  <c r="I33" i="4"/>
  <c r="M32" i="4"/>
  <c r="L32" i="4"/>
  <c r="K32" i="4"/>
  <c r="J32" i="4"/>
  <c r="I32" i="4"/>
  <c r="M31" i="4"/>
  <c r="L31" i="4"/>
  <c r="K31" i="4"/>
  <c r="J31" i="4"/>
  <c r="I31" i="4"/>
  <c r="M30" i="4"/>
  <c r="L30" i="4"/>
  <c r="K30" i="4"/>
  <c r="J30" i="4"/>
  <c r="I30" i="4"/>
  <c r="M29" i="4"/>
  <c r="L29" i="4"/>
  <c r="K29" i="4"/>
  <c r="J29" i="4"/>
  <c r="I29" i="4"/>
  <c r="M28" i="4"/>
  <c r="L28" i="4"/>
  <c r="K28" i="4"/>
  <c r="J28" i="4"/>
  <c r="I28" i="4"/>
  <c r="M27" i="4"/>
  <c r="L27" i="4"/>
  <c r="K27" i="4"/>
  <c r="J27" i="4"/>
  <c r="I27" i="4"/>
  <c r="M26" i="4"/>
  <c r="L26" i="4"/>
  <c r="K26" i="4"/>
  <c r="J26" i="4"/>
  <c r="I26" i="4"/>
  <c r="M25" i="4"/>
  <c r="L25" i="4"/>
  <c r="K25" i="4"/>
  <c r="J25" i="4"/>
  <c r="I25" i="4"/>
  <c r="M24" i="4"/>
  <c r="L24" i="4"/>
  <c r="K24" i="4"/>
  <c r="J24" i="4"/>
  <c r="I24" i="4"/>
  <c r="M23" i="4"/>
  <c r="L23" i="4"/>
  <c r="K23" i="4"/>
  <c r="J23" i="4"/>
  <c r="I23" i="4"/>
  <c r="M22" i="4"/>
  <c r="L22" i="4"/>
  <c r="K22" i="4"/>
  <c r="J22" i="4"/>
  <c r="I22" i="4"/>
  <c r="M21" i="4"/>
  <c r="L21" i="4"/>
  <c r="K21" i="4"/>
  <c r="J21" i="4"/>
  <c r="I21" i="4"/>
  <c r="M20" i="4"/>
  <c r="L20" i="4"/>
  <c r="K20" i="4"/>
  <c r="J20" i="4"/>
  <c r="I20" i="4"/>
  <c r="M19" i="4"/>
  <c r="L19" i="4"/>
  <c r="K19" i="4"/>
  <c r="J19" i="4"/>
  <c r="I19" i="4"/>
  <c r="M17" i="4"/>
  <c r="L17" i="4"/>
  <c r="K17" i="4"/>
  <c r="J17" i="4"/>
  <c r="I17" i="4"/>
  <c r="M16" i="4"/>
  <c r="L16" i="4"/>
  <c r="K16" i="4"/>
  <c r="J16" i="4"/>
  <c r="I16" i="4"/>
  <c r="M15" i="4"/>
  <c r="L15" i="4"/>
  <c r="K15" i="4"/>
  <c r="J15" i="4"/>
  <c r="I15" i="4"/>
  <c r="M14" i="4"/>
  <c r="L14" i="4"/>
  <c r="K14" i="4"/>
  <c r="J14" i="4"/>
  <c r="I14" i="4"/>
  <c r="M13" i="4"/>
  <c r="L13" i="4"/>
  <c r="K13" i="4"/>
  <c r="J13" i="4"/>
  <c r="I13" i="4"/>
  <c r="M12" i="4"/>
  <c r="L12" i="4"/>
  <c r="K12" i="4"/>
  <c r="J12" i="4"/>
  <c r="I12" i="4"/>
  <c r="M11" i="4"/>
  <c r="L11" i="4"/>
  <c r="K11" i="4"/>
  <c r="J11" i="4"/>
  <c r="I11" i="4"/>
  <c r="M10" i="4"/>
  <c r="L10" i="4"/>
  <c r="K10" i="4"/>
  <c r="J10" i="4"/>
  <c r="I10" i="4"/>
  <c r="M9" i="4"/>
  <c r="L9" i="4"/>
  <c r="K9" i="4"/>
  <c r="J9" i="4"/>
  <c r="I9" i="4"/>
  <c r="I8" i="4"/>
  <c r="N225" i="4"/>
  <c r="M225" i="4"/>
  <c r="L225" i="4"/>
  <c r="K225" i="4"/>
  <c r="J225" i="4"/>
  <c r="I225" i="4"/>
  <c r="N212" i="4"/>
  <c r="M212" i="4"/>
  <c r="L212" i="4"/>
  <c r="K212" i="4"/>
  <c r="J212" i="4"/>
  <c r="I212" i="4"/>
  <c r="N211" i="4"/>
  <c r="M211" i="4"/>
  <c r="L211" i="4"/>
  <c r="K211" i="4"/>
  <c r="J211" i="4"/>
  <c r="I211" i="4"/>
  <c r="N186" i="4"/>
  <c r="M186" i="4"/>
  <c r="L186" i="4"/>
  <c r="K186" i="4"/>
  <c r="J186" i="4"/>
  <c r="I186" i="4"/>
  <c r="N183" i="4"/>
  <c r="M183" i="4"/>
  <c r="L183" i="4"/>
  <c r="K183" i="4"/>
  <c r="J183" i="4"/>
  <c r="I183" i="4"/>
  <c r="N178" i="4"/>
  <c r="M178" i="4"/>
  <c r="L178" i="4"/>
  <c r="K178" i="4"/>
  <c r="J178" i="4"/>
  <c r="I178" i="4"/>
  <c r="N174" i="4"/>
  <c r="M174" i="4"/>
  <c r="L174" i="4"/>
  <c r="K174" i="4"/>
  <c r="J174" i="4"/>
  <c r="I174" i="4"/>
  <c r="N155" i="4"/>
  <c r="M155" i="4"/>
  <c r="L155" i="4"/>
  <c r="K155" i="4"/>
  <c r="J155" i="4"/>
  <c r="I155" i="4"/>
  <c r="N128" i="4"/>
  <c r="M128" i="4"/>
  <c r="L128" i="4"/>
  <c r="K128" i="4"/>
  <c r="J128" i="4"/>
  <c r="I128" i="4"/>
  <c r="N126" i="4"/>
  <c r="M126" i="4"/>
  <c r="L126" i="4"/>
  <c r="K126" i="4"/>
  <c r="J126" i="4"/>
  <c r="I126" i="4"/>
  <c r="N123" i="4"/>
  <c r="M123" i="4"/>
  <c r="L123" i="4"/>
  <c r="K123" i="4"/>
  <c r="J123" i="4"/>
  <c r="I123" i="4"/>
  <c r="N117" i="4"/>
  <c r="M117" i="4"/>
  <c r="L117" i="4"/>
  <c r="K117" i="4"/>
  <c r="J117" i="4"/>
  <c r="I117" i="4"/>
  <c r="N107" i="4"/>
  <c r="M107" i="4"/>
  <c r="L107" i="4"/>
  <c r="K107" i="4"/>
  <c r="J107" i="4"/>
  <c r="I107" i="4"/>
  <c r="N99" i="4"/>
  <c r="M99" i="4"/>
  <c r="L99" i="4"/>
  <c r="K99" i="4"/>
  <c r="J99" i="4"/>
  <c r="I99" i="4"/>
  <c r="N86" i="4"/>
  <c r="M86" i="4"/>
  <c r="L86" i="4"/>
  <c r="K86" i="4"/>
  <c r="J86" i="4"/>
  <c r="I86" i="4"/>
  <c r="N68" i="4"/>
  <c r="M68" i="4"/>
  <c r="L68" i="4"/>
  <c r="K68" i="4"/>
  <c r="J68" i="4"/>
  <c r="I68" i="4"/>
  <c r="N63" i="4"/>
  <c r="M63" i="4"/>
  <c r="L63" i="4"/>
  <c r="K63" i="4"/>
  <c r="J63" i="4"/>
  <c r="I63" i="4"/>
  <c r="N45" i="4"/>
  <c r="M45" i="4"/>
  <c r="L45" i="4"/>
  <c r="K45" i="4"/>
  <c r="J45" i="4"/>
  <c r="I45" i="4"/>
  <c r="J8" i="4"/>
  <c r="K8" i="4"/>
  <c r="L8" i="4"/>
  <c r="M8" i="4"/>
  <c r="N8" i="4"/>
  <c r="H8" i="8" a="1"/>
  <c r="H8" i="8"/>
  <c r="Q14" i="8"/>
  <c r="M42" i="8"/>
  <c r="Q13" i="8"/>
  <c r="L139" i="8"/>
  <c r="Q12" i="8"/>
  <c r="K21" i="8"/>
  <c r="Q11" i="8"/>
  <c r="J39" i="8"/>
  <c r="Q10" i="8"/>
  <c r="I171" i="8"/>
  <c r="Q9" i="8"/>
  <c r="H161" i="8"/>
  <c r="M183" i="8"/>
  <c r="M247" i="8"/>
  <c r="M231" i="8"/>
  <c r="M215" i="8"/>
  <c r="M199" i="8"/>
  <c r="J150" i="8"/>
  <c r="J14" i="8"/>
  <c r="I245" i="8"/>
  <c r="I229" i="8"/>
  <c r="I213" i="8"/>
  <c r="I197" i="8"/>
  <c r="I181" i="8"/>
  <c r="H129" i="8"/>
  <c r="M239" i="8"/>
  <c r="M223" i="8"/>
  <c r="M207" i="8"/>
  <c r="M191" i="8"/>
  <c r="M175" i="8"/>
  <c r="J102" i="8"/>
  <c r="I237" i="8"/>
  <c r="I221" i="8"/>
  <c r="I205" i="8"/>
  <c r="I189" i="8"/>
  <c r="I173" i="8"/>
  <c r="J74" i="8"/>
  <c r="K242" i="8"/>
  <c r="K234" i="8"/>
  <c r="K210" i="8"/>
  <c r="K178" i="8"/>
  <c r="K170" i="8"/>
  <c r="I247" i="8"/>
  <c r="K244" i="8"/>
  <c r="M241" i="8"/>
  <c r="I239" i="8"/>
  <c r="K236" i="8"/>
  <c r="M233" i="8"/>
  <c r="I231" i="8"/>
  <c r="K228" i="8"/>
  <c r="M225" i="8"/>
  <c r="I223" i="8"/>
  <c r="K220" i="8"/>
  <c r="M217" i="8"/>
  <c r="I215" i="8"/>
  <c r="K212" i="8"/>
  <c r="M209" i="8"/>
  <c r="I207" i="8"/>
  <c r="K204" i="8"/>
  <c r="M201" i="8"/>
  <c r="I199" i="8"/>
  <c r="K196" i="8"/>
  <c r="M193" i="8"/>
  <c r="I191" i="8"/>
  <c r="K188" i="8"/>
  <c r="M185" i="8"/>
  <c r="I183" i="8"/>
  <c r="K180" i="8"/>
  <c r="M177" i="8"/>
  <c r="I175" i="8"/>
  <c r="K172" i="8"/>
  <c r="J166" i="8"/>
  <c r="J142" i="8"/>
  <c r="J126" i="8"/>
  <c r="J94" i="8"/>
  <c r="M70" i="8"/>
  <c r="K226" i="8"/>
  <c r="K218" i="8"/>
  <c r="K202" i="8"/>
  <c r="K194" i="8"/>
  <c r="K186" i="8"/>
  <c r="K246" i="8"/>
  <c r="M243" i="8"/>
  <c r="I241" i="8"/>
  <c r="K238" i="8"/>
  <c r="M235" i="8"/>
  <c r="I233" i="8"/>
  <c r="K230" i="8"/>
  <c r="M227" i="8"/>
  <c r="I225" i="8"/>
  <c r="K222" i="8"/>
  <c r="M219" i="8"/>
  <c r="I217" i="8"/>
  <c r="K214" i="8"/>
  <c r="M211" i="8"/>
  <c r="I209" i="8"/>
  <c r="K206" i="8"/>
  <c r="M203" i="8"/>
  <c r="I201" i="8"/>
  <c r="K198" i="8"/>
  <c r="M195" i="8"/>
  <c r="I193" i="8"/>
  <c r="K190" i="8"/>
  <c r="M187" i="8"/>
  <c r="I185" i="8"/>
  <c r="K182" i="8"/>
  <c r="M179" i="8"/>
  <c r="I177" i="8"/>
  <c r="K174" i="8"/>
  <c r="M171" i="8"/>
  <c r="J118" i="8"/>
  <c r="J86" i="8"/>
  <c r="J54" i="8"/>
  <c r="J10" i="8"/>
  <c r="M245" i="8"/>
  <c r="I243" i="8"/>
  <c r="K240" i="8"/>
  <c r="M237" i="8"/>
  <c r="I235" i="8"/>
  <c r="K232" i="8"/>
  <c r="M229" i="8"/>
  <c r="I227" i="8"/>
  <c r="K224" i="8"/>
  <c r="M221" i="8"/>
  <c r="I219" i="8"/>
  <c r="K216" i="8"/>
  <c r="M213" i="8"/>
  <c r="I211" i="8"/>
  <c r="K208" i="8"/>
  <c r="M205" i="8"/>
  <c r="I203" i="8"/>
  <c r="K200" i="8"/>
  <c r="M197" i="8"/>
  <c r="I195" i="8"/>
  <c r="K192" i="8"/>
  <c r="M189" i="8"/>
  <c r="I187" i="8"/>
  <c r="K184" i="8"/>
  <c r="M181" i="8"/>
  <c r="I179" i="8"/>
  <c r="K176" i="8"/>
  <c r="M173" i="8"/>
  <c r="J158" i="8"/>
  <c r="J134" i="8"/>
  <c r="J110" i="8"/>
  <c r="M77" i="8"/>
  <c r="H11" i="8"/>
  <c r="H13" i="8"/>
  <c r="H19" i="8"/>
  <c r="H20" i="8"/>
  <c r="H27" i="8"/>
  <c r="H28" i="8"/>
  <c r="H35" i="8"/>
  <c r="H36" i="8"/>
  <c r="H43" i="8"/>
  <c r="H44" i="8"/>
  <c r="H14" i="8"/>
  <c r="H21" i="8"/>
  <c r="H22" i="8"/>
  <c r="H29" i="8"/>
  <c r="H30" i="8"/>
  <c r="H37" i="8"/>
  <c r="H38" i="8"/>
  <c r="H45" i="8"/>
  <c r="H46" i="8"/>
  <c r="H48" i="8"/>
  <c r="H50" i="8"/>
  <c r="H52" i="8"/>
  <c r="H54" i="8"/>
  <c r="H56" i="8"/>
  <c r="H58" i="8"/>
  <c r="H60" i="8"/>
  <c r="H62" i="8"/>
  <c r="H64" i="8"/>
  <c r="H66" i="8"/>
  <c r="H68" i="8"/>
  <c r="H70" i="8"/>
  <c r="H72" i="8"/>
  <c r="H74" i="8"/>
  <c r="H76" i="8"/>
  <c r="H78" i="8"/>
  <c r="H15" i="8"/>
  <c r="H16" i="8"/>
  <c r="H23" i="8"/>
  <c r="H24" i="8"/>
  <c r="H31" i="8"/>
  <c r="H32" i="8"/>
  <c r="H39" i="8"/>
  <c r="H40" i="8"/>
  <c r="H26" i="8"/>
  <c r="H33" i="8"/>
  <c r="H47" i="8"/>
  <c r="H55" i="8"/>
  <c r="H63" i="8"/>
  <c r="H71" i="8"/>
  <c r="H79" i="8"/>
  <c r="H12" i="8"/>
  <c r="H34" i="8"/>
  <c r="H41" i="8"/>
  <c r="H53" i="8"/>
  <c r="H61" i="8"/>
  <c r="H73" i="8"/>
  <c r="H80" i="8"/>
  <c r="H82" i="8"/>
  <c r="H84" i="8"/>
  <c r="H86" i="8"/>
  <c r="H88" i="8"/>
  <c r="H90" i="8"/>
  <c r="H92" i="8"/>
  <c r="H94" i="8"/>
  <c r="H96" i="8"/>
  <c r="H98" i="8"/>
  <c r="H100" i="8"/>
  <c r="H102" i="8"/>
  <c r="H104" i="8"/>
  <c r="H106" i="8"/>
  <c r="H108" i="8"/>
  <c r="H110" i="8"/>
  <c r="H112" i="8"/>
  <c r="H114" i="8"/>
  <c r="H116" i="8"/>
  <c r="H118" i="8"/>
  <c r="H120" i="8"/>
  <c r="H122" i="8"/>
  <c r="H124" i="8"/>
  <c r="H126" i="8"/>
  <c r="H128" i="8"/>
  <c r="H130" i="8"/>
  <c r="H132" i="8"/>
  <c r="H134" i="8"/>
  <c r="H136" i="8"/>
  <c r="H138" i="8"/>
  <c r="H140" i="8"/>
  <c r="H142" i="8"/>
  <c r="H144" i="8"/>
  <c r="H146" i="8"/>
  <c r="H148" i="8"/>
  <c r="H150" i="8"/>
  <c r="H152" i="8"/>
  <c r="H154" i="8"/>
  <c r="H156" i="8"/>
  <c r="H158" i="8"/>
  <c r="H160" i="8"/>
  <c r="H162" i="8"/>
  <c r="H164" i="8"/>
  <c r="H166" i="8"/>
  <c r="H168" i="8"/>
  <c r="H170" i="8"/>
  <c r="H17" i="8"/>
  <c r="H42" i="8"/>
  <c r="H51" i="8"/>
  <c r="H59" i="8"/>
  <c r="H67" i="8"/>
  <c r="H75" i="8"/>
  <c r="H18" i="8"/>
  <c r="H57" i="8"/>
  <c r="H87" i="8"/>
  <c r="H95" i="8"/>
  <c r="H103" i="8"/>
  <c r="H111" i="8"/>
  <c r="H119" i="8"/>
  <c r="H127" i="8"/>
  <c r="H135" i="8"/>
  <c r="H143" i="8"/>
  <c r="H151" i="8"/>
  <c r="H159" i="8"/>
  <c r="H167" i="8"/>
  <c r="H172" i="8"/>
  <c r="H174" i="8"/>
  <c r="H176" i="8"/>
  <c r="H178" i="8"/>
  <c r="H180" i="8"/>
  <c r="H182" i="8"/>
  <c r="H184" i="8"/>
  <c r="H186" i="8"/>
  <c r="H188" i="8"/>
  <c r="H190" i="8"/>
  <c r="H192" i="8"/>
  <c r="H194" i="8"/>
  <c r="H196" i="8"/>
  <c r="H198" i="8"/>
  <c r="H200" i="8"/>
  <c r="H202" i="8"/>
  <c r="H204" i="8"/>
  <c r="H206" i="8"/>
  <c r="H208" i="8"/>
  <c r="H210" i="8"/>
  <c r="H212" i="8"/>
  <c r="H214" i="8"/>
  <c r="H216" i="8"/>
  <c r="H218" i="8"/>
  <c r="H220" i="8"/>
  <c r="H222" i="8"/>
  <c r="H224" i="8"/>
  <c r="H226" i="8"/>
  <c r="H228" i="8"/>
  <c r="H230" i="8"/>
  <c r="H232" i="8"/>
  <c r="H234" i="8"/>
  <c r="H236" i="8"/>
  <c r="H238" i="8"/>
  <c r="H240" i="8"/>
  <c r="H242" i="8"/>
  <c r="H244" i="8"/>
  <c r="H246" i="8"/>
  <c r="H97" i="8"/>
  <c r="H49" i="8"/>
  <c r="H69" i="8"/>
  <c r="H85" i="8"/>
  <c r="H93" i="8"/>
  <c r="H101" i="8"/>
  <c r="H109" i="8"/>
  <c r="H117" i="8"/>
  <c r="H125" i="8"/>
  <c r="H133" i="8"/>
  <c r="H141" i="8"/>
  <c r="H149" i="8"/>
  <c r="H157" i="8"/>
  <c r="H165" i="8"/>
  <c r="H10" i="8"/>
  <c r="H65" i="8"/>
  <c r="H81" i="8"/>
  <c r="H105" i="8"/>
  <c r="H25" i="8"/>
  <c r="H77" i="8"/>
  <c r="H83" i="8"/>
  <c r="H91" i="8"/>
  <c r="H99" i="8"/>
  <c r="H107" i="8"/>
  <c r="H115" i="8"/>
  <c r="H123" i="8"/>
  <c r="H131" i="8"/>
  <c r="H139" i="8"/>
  <c r="H147" i="8"/>
  <c r="H155" i="8"/>
  <c r="H163" i="8"/>
  <c r="H171" i="8"/>
  <c r="H173" i="8"/>
  <c r="H175" i="8"/>
  <c r="H177" i="8"/>
  <c r="H179" i="8"/>
  <c r="H181" i="8"/>
  <c r="H183" i="8"/>
  <c r="H185" i="8"/>
  <c r="H187" i="8"/>
  <c r="H189" i="8"/>
  <c r="H191" i="8"/>
  <c r="H193" i="8"/>
  <c r="H195" i="8"/>
  <c r="H197" i="8"/>
  <c r="H199" i="8"/>
  <c r="H201" i="8"/>
  <c r="H203" i="8"/>
  <c r="H205" i="8"/>
  <c r="H207" i="8"/>
  <c r="H209" i="8"/>
  <c r="H211" i="8"/>
  <c r="H213" i="8"/>
  <c r="H215" i="8"/>
  <c r="H217" i="8"/>
  <c r="H219" i="8"/>
  <c r="H221" i="8"/>
  <c r="H223" i="8"/>
  <c r="H225" i="8"/>
  <c r="H227" i="8"/>
  <c r="H229" i="8"/>
  <c r="H231" i="8"/>
  <c r="H233" i="8"/>
  <c r="H235" i="8"/>
  <c r="H237" i="8"/>
  <c r="H239" i="8"/>
  <c r="H241" i="8"/>
  <c r="H243" i="8"/>
  <c r="H245" i="8"/>
  <c r="H247" i="8"/>
  <c r="H89" i="8"/>
  <c r="L11" i="8"/>
  <c r="L13" i="8"/>
  <c r="L14" i="8"/>
  <c r="L21" i="8"/>
  <c r="L22" i="8"/>
  <c r="L29" i="8"/>
  <c r="L30" i="8"/>
  <c r="L37" i="8"/>
  <c r="L38" i="8"/>
  <c r="L45" i="8"/>
  <c r="L12" i="8"/>
  <c r="L15" i="8"/>
  <c r="L16" i="8"/>
  <c r="L23" i="8"/>
  <c r="L24" i="8"/>
  <c r="L31" i="8"/>
  <c r="L32" i="8"/>
  <c r="L39" i="8"/>
  <c r="L40" i="8"/>
  <c r="L46" i="8"/>
  <c r="L48" i="8"/>
  <c r="L50" i="8"/>
  <c r="L52" i="8"/>
  <c r="L54" i="8"/>
  <c r="L56" i="8"/>
  <c r="L58" i="8"/>
  <c r="L60" i="8"/>
  <c r="L62" i="8"/>
  <c r="L64" i="8"/>
  <c r="L66" i="8"/>
  <c r="L68" i="8"/>
  <c r="L70" i="8"/>
  <c r="L72" i="8"/>
  <c r="L74" i="8"/>
  <c r="L76" i="8"/>
  <c r="L78" i="8"/>
  <c r="L17" i="8"/>
  <c r="L18" i="8"/>
  <c r="L25" i="8"/>
  <c r="L26" i="8"/>
  <c r="L33" i="8"/>
  <c r="L34" i="8"/>
  <c r="L41" i="8"/>
  <c r="L42" i="8"/>
  <c r="L36" i="8"/>
  <c r="L43" i="8"/>
  <c r="L49" i="8"/>
  <c r="L57" i="8"/>
  <c r="L65" i="8"/>
  <c r="L73" i="8"/>
  <c r="L19" i="8"/>
  <c r="L44" i="8"/>
  <c r="L47" i="8"/>
  <c r="L55" i="8"/>
  <c r="L63" i="8"/>
  <c r="L75" i="8"/>
  <c r="L80" i="8"/>
  <c r="L82" i="8"/>
  <c r="L84" i="8"/>
  <c r="L86" i="8"/>
  <c r="L88" i="8"/>
  <c r="L90" i="8"/>
  <c r="L92" i="8"/>
  <c r="L94" i="8"/>
  <c r="L96" i="8"/>
  <c r="L98" i="8"/>
  <c r="L100" i="8"/>
  <c r="L102" i="8"/>
  <c r="L104" i="8"/>
  <c r="L106" i="8"/>
  <c r="L108" i="8"/>
  <c r="L110" i="8"/>
  <c r="L112" i="8"/>
  <c r="L114" i="8"/>
  <c r="L116" i="8"/>
  <c r="L118" i="8"/>
  <c r="L120" i="8"/>
  <c r="L122" i="8"/>
  <c r="L124" i="8"/>
  <c r="L126" i="8"/>
  <c r="L128" i="8"/>
  <c r="L130" i="8"/>
  <c r="L132" i="8"/>
  <c r="L134" i="8"/>
  <c r="L136" i="8"/>
  <c r="L138" i="8"/>
  <c r="L140" i="8"/>
  <c r="L142" i="8"/>
  <c r="L144" i="8"/>
  <c r="L146" i="8"/>
  <c r="L148" i="8"/>
  <c r="L150" i="8"/>
  <c r="L152" i="8"/>
  <c r="L154" i="8"/>
  <c r="L156" i="8"/>
  <c r="L158" i="8"/>
  <c r="L160" i="8"/>
  <c r="L162" i="8"/>
  <c r="L164" i="8"/>
  <c r="L166" i="8"/>
  <c r="L168" i="8"/>
  <c r="L20" i="8"/>
  <c r="L27" i="8"/>
  <c r="L53" i="8"/>
  <c r="L61" i="8"/>
  <c r="L69" i="8"/>
  <c r="L77" i="8"/>
  <c r="L67" i="8"/>
  <c r="L71" i="8"/>
  <c r="L81" i="8"/>
  <c r="L89" i="8"/>
  <c r="L97" i="8"/>
  <c r="L105" i="8"/>
  <c r="L113" i="8"/>
  <c r="L121" i="8"/>
  <c r="L129" i="8"/>
  <c r="L137" i="8"/>
  <c r="L145" i="8"/>
  <c r="L153" i="8"/>
  <c r="L161" i="8"/>
  <c r="L169" i="8"/>
  <c r="L170" i="8"/>
  <c r="L172" i="8"/>
  <c r="L174" i="8"/>
  <c r="L176" i="8"/>
  <c r="L178" i="8"/>
  <c r="L180" i="8"/>
  <c r="L182" i="8"/>
  <c r="L184" i="8"/>
  <c r="L186" i="8"/>
  <c r="L188" i="8"/>
  <c r="L190" i="8"/>
  <c r="L192" i="8"/>
  <c r="L194" i="8"/>
  <c r="L196" i="8"/>
  <c r="L198" i="8"/>
  <c r="L200" i="8"/>
  <c r="L202" i="8"/>
  <c r="L204" i="8"/>
  <c r="L206" i="8"/>
  <c r="L208" i="8"/>
  <c r="L210" i="8"/>
  <c r="L212" i="8"/>
  <c r="L214" i="8"/>
  <c r="L216" i="8"/>
  <c r="L218" i="8"/>
  <c r="L220" i="8"/>
  <c r="L222" i="8"/>
  <c r="L224" i="8"/>
  <c r="L226" i="8"/>
  <c r="L228" i="8"/>
  <c r="L230" i="8"/>
  <c r="L232" i="8"/>
  <c r="L234" i="8"/>
  <c r="L236" i="8"/>
  <c r="L238" i="8"/>
  <c r="L240" i="8"/>
  <c r="L242" i="8"/>
  <c r="L244" i="8"/>
  <c r="L246" i="8"/>
  <c r="L28" i="8"/>
  <c r="L35" i="8"/>
  <c r="L59" i="8"/>
  <c r="L79" i="8"/>
  <c r="L87" i="8"/>
  <c r="L95" i="8"/>
  <c r="L103" i="8"/>
  <c r="L111" i="8"/>
  <c r="L119" i="8"/>
  <c r="L127" i="8"/>
  <c r="L135" i="8"/>
  <c r="L143" i="8"/>
  <c r="L151" i="8"/>
  <c r="L159" i="8"/>
  <c r="L167" i="8"/>
  <c r="L10" i="8"/>
  <c r="L99" i="8"/>
  <c r="L107" i="8"/>
  <c r="L51" i="8"/>
  <c r="L85" i="8"/>
  <c r="L93" i="8"/>
  <c r="L101" i="8"/>
  <c r="L109" i="8"/>
  <c r="L117" i="8"/>
  <c r="L125" i="8"/>
  <c r="L133" i="8"/>
  <c r="L141" i="8"/>
  <c r="L149" i="8"/>
  <c r="L157" i="8"/>
  <c r="L165" i="8"/>
  <c r="L171" i="8"/>
  <c r="L173" i="8"/>
  <c r="L175" i="8"/>
  <c r="L177" i="8"/>
  <c r="L179" i="8"/>
  <c r="L181" i="8"/>
  <c r="L183" i="8"/>
  <c r="L185" i="8"/>
  <c r="L187" i="8"/>
  <c r="L189" i="8"/>
  <c r="L191" i="8"/>
  <c r="L193" i="8"/>
  <c r="L195" i="8"/>
  <c r="L197" i="8"/>
  <c r="L199" i="8"/>
  <c r="L201" i="8"/>
  <c r="L203" i="8"/>
  <c r="L205" i="8"/>
  <c r="L207" i="8"/>
  <c r="L209" i="8"/>
  <c r="L211" i="8"/>
  <c r="L213" i="8"/>
  <c r="L215" i="8"/>
  <c r="L217" i="8"/>
  <c r="L219" i="8"/>
  <c r="L221" i="8"/>
  <c r="L223" i="8"/>
  <c r="L225" i="8"/>
  <c r="L227" i="8"/>
  <c r="L229" i="8"/>
  <c r="L231" i="8"/>
  <c r="L233" i="8"/>
  <c r="L235" i="8"/>
  <c r="L237" i="8"/>
  <c r="L239" i="8"/>
  <c r="L241" i="8"/>
  <c r="L243" i="8"/>
  <c r="L245" i="8"/>
  <c r="L247" i="8"/>
  <c r="L83" i="8"/>
  <c r="L91" i="8"/>
  <c r="H169" i="8"/>
  <c r="L147" i="8"/>
  <c r="H137" i="8"/>
  <c r="L115" i="8"/>
  <c r="L155" i="8"/>
  <c r="H145" i="8"/>
  <c r="L123" i="8"/>
  <c r="H113" i="8"/>
  <c r="L163" i="8"/>
  <c r="H153" i="8"/>
  <c r="L131" i="8"/>
  <c r="H121" i="8"/>
  <c r="I11" i="8"/>
  <c r="I13" i="8"/>
  <c r="I15" i="8"/>
  <c r="I17" i="8"/>
  <c r="I19" i="8"/>
  <c r="I21" i="8"/>
  <c r="I23" i="8"/>
  <c r="I25" i="8"/>
  <c r="I27" i="8"/>
  <c r="I29" i="8"/>
  <c r="I31" i="8"/>
  <c r="I33" i="8"/>
  <c r="I35" i="8"/>
  <c r="I37" i="8"/>
  <c r="I39" i="8"/>
  <c r="I41" i="8"/>
  <c r="I43" i="8"/>
  <c r="I45" i="8"/>
  <c r="I12" i="8"/>
  <c r="I18" i="8"/>
  <c r="I26" i="8"/>
  <c r="I34" i="8"/>
  <c r="I42" i="8"/>
  <c r="I47" i="8"/>
  <c r="I49" i="8"/>
  <c r="I51" i="8"/>
  <c r="I53" i="8"/>
  <c r="I55" i="8"/>
  <c r="I57" i="8"/>
  <c r="I59" i="8"/>
  <c r="I61" i="8"/>
  <c r="I63" i="8"/>
  <c r="I65" i="8"/>
  <c r="I67" i="8"/>
  <c r="I20" i="8"/>
  <c r="I28" i="8"/>
  <c r="I36" i="8"/>
  <c r="I44" i="8"/>
  <c r="I14" i="8"/>
  <c r="I22" i="8"/>
  <c r="I30" i="8"/>
  <c r="I38" i="8"/>
  <c r="I46" i="8"/>
  <c r="I48" i="8"/>
  <c r="I50" i="8"/>
  <c r="I52" i="8"/>
  <c r="I54" i="8"/>
  <c r="I56" i="8"/>
  <c r="I58" i="8"/>
  <c r="I60" i="8"/>
  <c r="I62" i="8"/>
  <c r="I64" i="8"/>
  <c r="I66" i="8"/>
  <c r="I68" i="8"/>
  <c r="I40" i="8"/>
  <c r="I69" i="8"/>
  <c r="I70" i="8"/>
  <c r="I77" i="8"/>
  <c r="I78" i="8"/>
  <c r="I81" i="8"/>
  <c r="I83" i="8"/>
  <c r="I85" i="8"/>
  <c r="I87" i="8"/>
  <c r="I89" i="8"/>
  <c r="I91" i="8"/>
  <c r="I93" i="8"/>
  <c r="I95" i="8"/>
  <c r="I97" i="8"/>
  <c r="I99" i="8"/>
  <c r="I101" i="8"/>
  <c r="I103" i="8"/>
  <c r="I105" i="8"/>
  <c r="I107" i="8"/>
  <c r="I109" i="8"/>
  <c r="I111" i="8"/>
  <c r="I113" i="8"/>
  <c r="I115" i="8"/>
  <c r="I117" i="8"/>
  <c r="I119" i="8"/>
  <c r="I121" i="8"/>
  <c r="I123" i="8"/>
  <c r="I125" i="8"/>
  <c r="I127" i="8"/>
  <c r="I129" i="8"/>
  <c r="I131" i="8"/>
  <c r="I133" i="8"/>
  <c r="I135" i="8"/>
  <c r="I137" i="8"/>
  <c r="I139" i="8"/>
  <c r="I141" i="8"/>
  <c r="I143" i="8"/>
  <c r="I145" i="8"/>
  <c r="I147" i="8"/>
  <c r="I149" i="8"/>
  <c r="I151" i="8"/>
  <c r="I153" i="8"/>
  <c r="I155" i="8"/>
  <c r="I157" i="8"/>
  <c r="I159" i="8"/>
  <c r="I161" i="8"/>
  <c r="I163" i="8"/>
  <c r="I165" i="8"/>
  <c r="I167" i="8"/>
  <c r="I169" i="8"/>
  <c r="I16" i="8"/>
  <c r="I71" i="8"/>
  <c r="I72" i="8"/>
  <c r="I79" i="8"/>
  <c r="I24" i="8"/>
  <c r="I73" i="8"/>
  <c r="I74" i="8"/>
  <c r="I80" i="8"/>
  <c r="I82" i="8"/>
  <c r="I84" i="8"/>
  <c r="I86" i="8"/>
  <c r="I88" i="8"/>
  <c r="I90" i="8"/>
  <c r="I92" i="8"/>
  <c r="I94" i="8"/>
  <c r="I96" i="8"/>
  <c r="I98" i="8"/>
  <c r="I100" i="8"/>
  <c r="I102" i="8"/>
  <c r="I104" i="8"/>
  <c r="I106" i="8"/>
  <c r="I108" i="8"/>
  <c r="I110" i="8"/>
  <c r="I112" i="8"/>
  <c r="I114" i="8"/>
  <c r="I116" i="8"/>
  <c r="I118" i="8"/>
  <c r="I120" i="8"/>
  <c r="I122" i="8"/>
  <c r="I124" i="8"/>
  <c r="I126" i="8"/>
  <c r="I128" i="8"/>
  <c r="I130" i="8"/>
  <c r="I132" i="8"/>
  <c r="I134" i="8"/>
  <c r="I136" i="8"/>
  <c r="I138" i="8"/>
  <c r="I140" i="8"/>
  <c r="I142" i="8"/>
  <c r="I144" i="8"/>
  <c r="I146" i="8"/>
  <c r="I148" i="8"/>
  <c r="I150" i="8"/>
  <c r="I152" i="8"/>
  <c r="I154" i="8"/>
  <c r="I156" i="8"/>
  <c r="I158" i="8"/>
  <c r="I160" i="8"/>
  <c r="I162" i="8"/>
  <c r="I164" i="8"/>
  <c r="I166" i="8"/>
  <c r="I168" i="8"/>
  <c r="M11" i="8"/>
  <c r="M13" i="8"/>
  <c r="M15" i="8"/>
  <c r="M17" i="8"/>
  <c r="M19" i="8"/>
  <c r="M21" i="8"/>
  <c r="M23" i="8"/>
  <c r="M25" i="8"/>
  <c r="M27" i="8"/>
  <c r="M29" i="8"/>
  <c r="M31" i="8"/>
  <c r="M33" i="8"/>
  <c r="M35" i="8"/>
  <c r="M37" i="8"/>
  <c r="M39" i="8"/>
  <c r="M41" i="8"/>
  <c r="M43" i="8"/>
  <c r="M45" i="8"/>
  <c r="M20" i="8"/>
  <c r="M28" i="8"/>
  <c r="M36" i="8"/>
  <c r="M44" i="8"/>
  <c r="M47" i="8"/>
  <c r="M49" i="8"/>
  <c r="M51" i="8"/>
  <c r="M53" i="8"/>
  <c r="M55" i="8"/>
  <c r="M57" i="8"/>
  <c r="M59" i="8"/>
  <c r="M61" i="8"/>
  <c r="M63" i="8"/>
  <c r="M65" i="8"/>
  <c r="M67" i="8"/>
  <c r="M14" i="8"/>
  <c r="M22" i="8"/>
  <c r="M30" i="8"/>
  <c r="M38" i="8"/>
  <c r="M12" i="8"/>
  <c r="M16" i="8"/>
  <c r="M24" i="8"/>
  <c r="M32" i="8"/>
  <c r="M40" i="8"/>
  <c r="M46" i="8"/>
  <c r="M48" i="8"/>
  <c r="M50" i="8"/>
  <c r="M52" i="8"/>
  <c r="M54" i="8"/>
  <c r="M56" i="8"/>
  <c r="M58" i="8"/>
  <c r="M60" i="8"/>
  <c r="M62" i="8"/>
  <c r="M64" i="8"/>
  <c r="M66" i="8"/>
  <c r="M18" i="8"/>
  <c r="M71" i="8"/>
  <c r="M72" i="8"/>
  <c r="M79" i="8"/>
  <c r="M81" i="8"/>
  <c r="M83" i="8"/>
  <c r="M85" i="8"/>
  <c r="M87" i="8"/>
  <c r="M89" i="8"/>
  <c r="M91" i="8"/>
  <c r="M93" i="8"/>
  <c r="M95" i="8"/>
  <c r="M97" i="8"/>
  <c r="M99" i="8"/>
  <c r="M101" i="8"/>
  <c r="M103" i="8"/>
  <c r="M105" i="8"/>
  <c r="M107" i="8"/>
  <c r="M109" i="8"/>
  <c r="M111" i="8"/>
  <c r="M113" i="8"/>
  <c r="M115" i="8"/>
  <c r="M117" i="8"/>
  <c r="M119" i="8"/>
  <c r="M121" i="8"/>
  <c r="M123" i="8"/>
  <c r="M125" i="8"/>
  <c r="M127" i="8"/>
  <c r="M129" i="8"/>
  <c r="M131" i="8"/>
  <c r="M133" i="8"/>
  <c r="M135" i="8"/>
  <c r="M137" i="8"/>
  <c r="M139" i="8"/>
  <c r="M141" i="8"/>
  <c r="M143" i="8"/>
  <c r="M145" i="8"/>
  <c r="M147" i="8"/>
  <c r="M149" i="8"/>
  <c r="M151" i="8"/>
  <c r="M153" i="8"/>
  <c r="M155" i="8"/>
  <c r="M157" i="8"/>
  <c r="M159" i="8"/>
  <c r="M161" i="8"/>
  <c r="M163" i="8"/>
  <c r="M165" i="8"/>
  <c r="M167" i="8"/>
  <c r="M169" i="8"/>
  <c r="M26" i="8"/>
  <c r="M73" i="8"/>
  <c r="M74" i="8"/>
  <c r="M34" i="8"/>
  <c r="M68" i="8"/>
  <c r="M75" i="8"/>
  <c r="M76" i="8"/>
  <c r="M80" i="8"/>
  <c r="M82" i="8"/>
  <c r="M84" i="8"/>
  <c r="M86" i="8"/>
  <c r="M88" i="8"/>
  <c r="M90" i="8"/>
  <c r="M92" i="8"/>
  <c r="M94" i="8"/>
  <c r="M96" i="8"/>
  <c r="M98" i="8"/>
  <c r="M100" i="8"/>
  <c r="M102" i="8"/>
  <c r="M104" i="8"/>
  <c r="M106" i="8"/>
  <c r="M108" i="8"/>
  <c r="M110" i="8"/>
  <c r="M112" i="8"/>
  <c r="M114" i="8"/>
  <c r="M116" i="8"/>
  <c r="M118" i="8"/>
  <c r="M120" i="8"/>
  <c r="M122" i="8"/>
  <c r="M124" i="8"/>
  <c r="M126" i="8"/>
  <c r="M128" i="8"/>
  <c r="M130" i="8"/>
  <c r="M132" i="8"/>
  <c r="M134" i="8"/>
  <c r="M136" i="8"/>
  <c r="M138" i="8"/>
  <c r="M140" i="8"/>
  <c r="M142" i="8"/>
  <c r="M144" i="8"/>
  <c r="M146" i="8"/>
  <c r="M148" i="8"/>
  <c r="M150" i="8"/>
  <c r="M152" i="8"/>
  <c r="M154" i="8"/>
  <c r="M156" i="8"/>
  <c r="M158" i="8"/>
  <c r="M160" i="8"/>
  <c r="M162" i="8"/>
  <c r="M164" i="8"/>
  <c r="M166" i="8"/>
  <c r="M168" i="8"/>
  <c r="K10" i="8"/>
  <c r="J246" i="8"/>
  <c r="J244" i="8"/>
  <c r="J242" i="8"/>
  <c r="J240" i="8"/>
  <c r="J238" i="8"/>
  <c r="J236" i="8"/>
  <c r="J234" i="8"/>
  <c r="J232" i="8"/>
  <c r="J230" i="8"/>
  <c r="J228" i="8"/>
  <c r="J226" i="8"/>
  <c r="J224" i="8"/>
  <c r="J222" i="8"/>
  <c r="J220" i="8"/>
  <c r="J218" i="8"/>
  <c r="J216" i="8"/>
  <c r="J214" i="8"/>
  <c r="J212" i="8"/>
  <c r="J210" i="8"/>
  <c r="J208" i="8"/>
  <c r="J206" i="8"/>
  <c r="J204" i="8"/>
  <c r="J202" i="8"/>
  <c r="J200" i="8"/>
  <c r="J198" i="8"/>
  <c r="J196" i="8"/>
  <c r="J194" i="8"/>
  <c r="J192" i="8"/>
  <c r="J190" i="8"/>
  <c r="J188" i="8"/>
  <c r="J186" i="8"/>
  <c r="J184" i="8"/>
  <c r="J182" i="8"/>
  <c r="J180" i="8"/>
  <c r="J178" i="8"/>
  <c r="J176" i="8"/>
  <c r="J174" i="8"/>
  <c r="J172" i="8"/>
  <c r="J170" i="8"/>
  <c r="J168" i="8"/>
  <c r="J160" i="8"/>
  <c r="J152" i="8"/>
  <c r="J144" i="8"/>
  <c r="J136" i="8"/>
  <c r="J128" i="8"/>
  <c r="J120" i="8"/>
  <c r="J112" i="8"/>
  <c r="J104" i="8"/>
  <c r="J96" i="8"/>
  <c r="J88" i="8"/>
  <c r="J80" i="8"/>
  <c r="K73" i="8"/>
  <c r="M69" i="8"/>
  <c r="J62" i="8"/>
  <c r="J12" i="8"/>
  <c r="J16" i="8"/>
  <c r="J17" i="8"/>
  <c r="J24" i="8"/>
  <c r="J25" i="8"/>
  <c r="J32" i="8"/>
  <c r="J33" i="8"/>
  <c r="J40" i="8"/>
  <c r="J41" i="8"/>
  <c r="J11" i="8"/>
  <c r="J18" i="8"/>
  <c r="J19" i="8"/>
  <c r="J26" i="8"/>
  <c r="J27" i="8"/>
  <c r="J34" i="8"/>
  <c r="J35" i="8"/>
  <c r="J42" i="8"/>
  <c r="J43" i="8"/>
  <c r="J47" i="8"/>
  <c r="J49" i="8"/>
  <c r="J51" i="8"/>
  <c r="J53" i="8"/>
  <c r="J55" i="8"/>
  <c r="J57" i="8"/>
  <c r="J59" i="8"/>
  <c r="J61" i="8"/>
  <c r="J63" i="8"/>
  <c r="J65" i="8"/>
  <c r="J67" i="8"/>
  <c r="J69" i="8"/>
  <c r="J71" i="8"/>
  <c r="J73" i="8"/>
  <c r="J75" i="8"/>
  <c r="J77" i="8"/>
  <c r="J79" i="8"/>
  <c r="J20" i="8"/>
  <c r="J21" i="8"/>
  <c r="J28" i="8"/>
  <c r="J29" i="8"/>
  <c r="J36" i="8"/>
  <c r="J37" i="8"/>
  <c r="J44" i="8"/>
  <c r="J45" i="8"/>
  <c r="J15" i="8"/>
  <c r="J22" i="8"/>
  <c r="J52" i="8"/>
  <c r="J60" i="8"/>
  <c r="J68" i="8"/>
  <c r="J76" i="8"/>
  <c r="J23" i="8"/>
  <c r="J30" i="8"/>
  <c r="J50" i="8"/>
  <c r="J58" i="8"/>
  <c r="J66" i="8"/>
  <c r="J70" i="8"/>
  <c r="J78" i="8"/>
  <c r="J81" i="8"/>
  <c r="J83" i="8"/>
  <c r="J85" i="8"/>
  <c r="J87" i="8"/>
  <c r="J89" i="8"/>
  <c r="J91" i="8"/>
  <c r="J93" i="8"/>
  <c r="J95" i="8"/>
  <c r="J97" i="8"/>
  <c r="J99" i="8"/>
  <c r="J101" i="8"/>
  <c r="J103" i="8"/>
  <c r="J105" i="8"/>
  <c r="J107" i="8"/>
  <c r="J109" i="8"/>
  <c r="J111" i="8"/>
  <c r="J113" i="8"/>
  <c r="J115" i="8"/>
  <c r="J117" i="8"/>
  <c r="J119" i="8"/>
  <c r="J121" i="8"/>
  <c r="J123" i="8"/>
  <c r="J125" i="8"/>
  <c r="J127" i="8"/>
  <c r="J129" i="8"/>
  <c r="J131" i="8"/>
  <c r="J133" i="8"/>
  <c r="J135" i="8"/>
  <c r="J137" i="8"/>
  <c r="J139" i="8"/>
  <c r="J141" i="8"/>
  <c r="J143" i="8"/>
  <c r="J145" i="8"/>
  <c r="J147" i="8"/>
  <c r="J149" i="8"/>
  <c r="J151" i="8"/>
  <c r="J153" i="8"/>
  <c r="J155" i="8"/>
  <c r="J157" i="8"/>
  <c r="J159" i="8"/>
  <c r="J161" i="8"/>
  <c r="J163" i="8"/>
  <c r="J165" i="8"/>
  <c r="J167" i="8"/>
  <c r="J169" i="8"/>
  <c r="J13" i="8"/>
  <c r="J31" i="8"/>
  <c r="J38" i="8"/>
  <c r="J48" i="8"/>
  <c r="J56" i="8"/>
  <c r="J64" i="8"/>
  <c r="J72" i="8"/>
  <c r="K247" i="8"/>
  <c r="K487" i="8"/>
  <c r="M246" i="8"/>
  <c r="M487" i="8"/>
  <c r="I246" i="8"/>
  <c r="I487" i="8"/>
  <c r="K245" i="8"/>
  <c r="M244" i="8"/>
  <c r="I244" i="8"/>
  <c r="K243" i="8"/>
  <c r="M242" i="8"/>
  <c r="I242" i="8"/>
  <c r="K241" i="8"/>
  <c r="M240" i="8"/>
  <c r="I240" i="8"/>
  <c r="K239" i="8"/>
  <c r="M238" i="8"/>
  <c r="I238" i="8"/>
  <c r="K237" i="8"/>
  <c r="M236" i="8"/>
  <c r="I236" i="8"/>
  <c r="K235" i="8"/>
  <c r="M234" i="8"/>
  <c r="I234" i="8"/>
  <c r="K233" i="8"/>
  <c r="M232" i="8"/>
  <c r="I232" i="8"/>
  <c r="K231" i="8"/>
  <c r="M230" i="8"/>
  <c r="I230" i="8"/>
  <c r="K229" i="8"/>
  <c r="M228" i="8"/>
  <c r="I228" i="8"/>
  <c r="K227" i="8"/>
  <c r="M226" i="8"/>
  <c r="I226" i="8"/>
  <c r="K225" i="8"/>
  <c r="M224" i="8"/>
  <c r="I224" i="8"/>
  <c r="K223" i="8"/>
  <c r="M222" i="8"/>
  <c r="I222" i="8"/>
  <c r="K221" i="8"/>
  <c r="M220" i="8"/>
  <c r="I220" i="8"/>
  <c r="K219" i="8"/>
  <c r="M218" i="8"/>
  <c r="I218" i="8"/>
  <c r="K217" i="8"/>
  <c r="M216" i="8"/>
  <c r="I216" i="8"/>
  <c r="K215" i="8"/>
  <c r="M214" i="8"/>
  <c r="I214" i="8"/>
  <c r="K213" i="8"/>
  <c r="M212" i="8"/>
  <c r="I212" i="8"/>
  <c r="K211" i="8"/>
  <c r="M210" i="8"/>
  <c r="I210" i="8"/>
  <c r="K209" i="8"/>
  <c r="M208" i="8"/>
  <c r="I208" i="8"/>
  <c r="K207" i="8"/>
  <c r="M206" i="8"/>
  <c r="I206" i="8"/>
  <c r="K205" i="8"/>
  <c r="M204" i="8"/>
  <c r="I204" i="8"/>
  <c r="K203" i="8"/>
  <c r="M202" i="8"/>
  <c r="I202" i="8"/>
  <c r="K201" i="8"/>
  <c r="M200" i="8"/>
  <c r="I200" i="8"/>
  <c r="K199" i="8"/>
  <c r="M198" i="8"/>
  <c r="I198" i="8"/>
  <c r="K197" i="8"/>
  <c r="M196" i="8"/>
  <c r="I196" i="8"/>
  <c r="K195" i="8"/>
  <c r="M194" i="8"/>
  <c r="I194" i="8"/>
  <c r="K193" i="8"/>
  <c r="M192" i="8"/>
  <c r="I192" i="8"/>
  <c r="K191" i="8"/>
  <c r="M190" i="8"/>
  <c r="I190" i="8"/>
  <c r="K189" i="8"/>
  <c r="M188" i="8"/>
  <c r="I188" i="8"/>
  <c r="K187" i="8"/>
  <c r="M186" i="8"/>
  <c r="I186" i="8"/>
  <c r="K185" i="8"/>
  <c r="M184" i="8"/>
  <c r="I184" i="8"/>
  <c r="K183" i="8"/>
  <c r="M182" i="8"/>
  <c r="I182" i="8"/>
  <c r="K181" i="8"/>
  <c r="M180" i="8"/>
  <c r="I180" i="8"/>
  <c r="K179" i="8"/>
  <c r="M178" i="8"/>
  <c r="I178" i="8"/>
  <c r="K177" i="8"/>
  <c r="M176" i="8"/>
  <c r="I176" i="8"/>
  <c r="K175" i="8"/>
  <c r="M174" i="8"/>
  <c r="I174" i="8"/>
  <c r="K173" i="8"/>
  <c r="M172" i="8"/>
  <c r="I172" i="8"/>
  <c r="K171" i="8"/>
  <c r="M170" i="8"/>
  <c r="I170" i="8"/>
  <c r="J162" i="8"/>
  <c r="J154" i="8"/>
  <c r="J146" i="8"/>
  <c r="J138" i="8"/>
  <c r="J130" i="8"/>
  <c r="J122" i="8"/>
  <c r="J114" i="8"/>
  <c r="J106" i="8"/>
  <c r="J98" i="8"/>
  <c r="J90" i="8"/>
  <c r="J82" i="8"/>
  <c r="I76" i="8"/>
  <c r="K72" i="8"/>
  <c r="K12" i="8"/>
  <c r="K14" i="8"/>
  <c r="K16" i="8"/>
  <c r="K18" i="8"/>
  <c r="K20" i="8"/>
  <c r="K22" i="8"/>
  <c r="K24" i="8"/>
  <c r="K26" i="8"/>
  <c r="K28" i="8"/>
  <c r="K30" i="8"/>
  <c r="K32" i="8"/>
  <c r="K34" i="8"/>
  <c r="K36" i="8"/>
  <c r="K38" i="8"/>
  <c r="K40" i="8"/>
  <c r="K42" i="8"/>
  <c r="K44" i="8"/>
  <c r="K13" i="8"/>
  <c r="K15" i="8"/>
  <c r="K23" i="8"/>
  <c r="K31" i="8"/>
  <c r="K39" i="8"/>
  <c r="K46" i="8"/>
  <c r="K48" i="8"/>
  <c r="K50" i="8"/>
  <c r="K52" i="8"/>
  <c r="K54" i="8"/>
  <c r="K56" i="8"/>
  <c r="K58" i="8"/>
  <c r="K60" i="8"/>
  <c r="K62" i="8"/>
  <c r="K64" i="8"/>
  <c r="K66" i="8"/>
  <c r="K17" i="8"/>
  <c r="K25" i="8"/>
  <c r="K33" i="8"/>
  <c r="K41" i="8"/>
  <c r="K11" i="8"/>
  <c r="K19" i="8"/>
  <c r="K27" i="8"/>
  <c r="K35" i="8"/>
  <c r="K43" i="8"/>
  <c r="K47" i="8"/>
  <c r="K49" i="8"/>
  <c r="K51" i="8"/>
  <c r="K53" i="8"/>
  <c r="K55" i="8"/>
  <c r="K57" i="8"/>
  <c r="K59" i="8"/>
  <c r="K61" i="8"/>
  <c r="K63" i="8"/>
  <c r="K65" i="8"/>
  <c r="K67" i="8"/>
  <c r="K29" i="8"/>
  <c r="K74" i="8"/>
  <c r="K75" i="8"/>
  <c r="K80" i="8"/>
  <c r="K82" i="8"/>
  <c r="K84" i="8"/>
  <c r="K86" i="8"/>
  <c r="K88" i="8"/>
  <c r="K90" i="8"/>
  <c r="K92" i="8"/>
  <c r="K94" i="8"/>
  <c r="K96" i="8"/>
  <c r="K98" i="8"/>
  <c r="K100" i="8"/>
  <c r="K102" i="8"/>
  <c r="K104" i="8"/>
  <c r="K106" i="8"/>
  <c r="K108" i="8"/>
  <c r="K110" i="8"/>
  <c r="K112" i="8"/>
  <c r="K114" i="8"/>
  <c r="K116" i="8"/>
  <c r="K118" i="8"/>
  <c r="K120" i="8"/>
  <c r="K122" i="8"/>
  <c r="K124" i="8"/>
  <c r="K126" i="8"/>
  <c r="K128" i="8"/>
  <c r="K130" i="8"/>
  <c r="K132" i="8"/>
  <c r="K134" i="8"/>
  <c r="K136" i="8"/>
  <c r="K138" i="8"/>
  <c r="K140" i="8"/>
  <c r="K142" i="8"/>
  <c r="K144" i="8"/>
  <c r="K146" i="8"/>
  <c r="K148" i="8"/>
  <c r="K150" i="8"/>
  <c r="K152" i="8"/>
  <c r="K154" i="8"/>
  <c r="K156" i="8"/>
  <c r="K158" i="8"/>
  <c r="K160" i="8"/>
  <c r="K162" i="8"/>
  <c r="K164" i="8"/>
  <c r="K166" i="8"/>
  <c r="K168" i="8"/>
  <c r="K37" i="8"/>
  <c r="K68" i="8"/>
  <c r="K69" i="8"/>
  <c r="K76" i="8"/>
  <c r="K77" i="8"/>
  <c r="K45" i="8"/>
  <c r="K70" i="8"/>
  <c r="K71" i="8"/>
  <c r="K78" i="8"/>
  <c r="K79" i="8"/>
  <c r="K81" i="8"/>
  <c r="K83" i="8"/>
  <c r="K85" i="8"/>
  <c r="K87" i="8"/>
  <c r="K89" i="8"/>
  <c r="K91" i="8"/>
  <c r="K93" i="8"/>
  <c r="K95" i="8"/>
  <c r="K97" i="8"/>
  <c r="K99" i="8"/>
  <c r="K101" i="8"/>
  <c r="K103" i="8"/>
  <c r="K105" i="8"/>
  <c r="K107" i="8"/>
  <c r="K109" i="8"/>
  <c r="K111" i="8"/>
  <c r="K113" i="8"/>
  <c r="K115" i="8"/>
  <c r="K117" i="8"/>
  <c r="K119" i="8"/>
  <c r="K121" i="8"/>
  <c r="K123" i="8"/>
  <c r="K125" i="8"/>
  <c r="K127" i="8"/>
  <c r="K129" i="8"/>
  <c r="K131" i="8"/>
  <c r="K133" i="8"/>
  <c r="K135" i="8"/>
  <c r="K137" i="8"/>
  <c r="K139" i="8"/>
  <c r="K141" i="8"/>
  <c r="K143" i="8"/>
  <c r="K145" i="8"/>
  <c r="K147" i="8"/>
  <c r="K149" i="8"/>
  <c r="K151" i="8"/>
  <c r="K153" i="8"/>
  <c r="K155" i="8"/>
  <c r="K157" i="8"/>
  <c r="K159" i="8"/>
  <c r="K161" i="8"/>
  <c r="K163" i="8"/>
  <c r="K165" i="8"/>
  <c r="K167" i="8"/>
  <c r="K169" i="8"/>
  <c r="I10" i="8"/>
  <c r="M10" i="8"/>
  <c r="M251" i="8"/>
  <c r="J247" i="8"/>
  <c r="J245" i="8"/>
  <c r="J243" i="8"/>
  <c r="J241" i="8"/>
  <c r="J239" i="8"/>
  <c r="J237" i="8"/>
  <c r="J235" i="8"/>
  <c r="J233" i="8"/>
  <c r="J231" i="8"/>
  <c r="J229" i="8"/>
  <c r="J227" i="8"/>
  <c r="J225" i="8"/>
  <c r="J223" i="8"/>
  <c r="J221" i="8"/>
  <c r="J219" i="8"/>
  <c r="J217" i="8"/>
  <c r="J215" i="8"/>
  <c r="J213" i="8"/>
  <c r="J211" i="8"/>
  <c r="J209" i="8"/>
  <c r="J207" i="8"/>
  <c r="J205" i="8"/>
  <c r="J203" i="8"/>
  <c r="J201" i="8"/>
  <c r="J199" i="8"/>
  <c r="J197" i="8"/>
  <c r="J195" i="8"/>
  <c r="J193" i="8"/>
  <c r="J191" i="8"/>
  <c r="J189" i="8"/>
  <c r="J187" i="8"/>
  <c r="J185" i="8"/>
  <c r="J183" i="8"/>
  <c r="J181" i="8"/>
  <c r="J179" i="8"/>
  <c r="J177" i="8"/>
  <c r="J175" i="8"/>
  <c r="J173" i="8"/>
  <c r="J171" i="8"/>
  <c r="J164" i="8"/>
  <c r="J156" i="8"/>
  <c r="J148" i="8"/>
  <c r="J140" i="8"/>
  <c r="J132" i="8"/>
  <c r="J124" i="8"/>
  <c r="J116" i="8"/>
  <c r="J108" i="8"/>
  <c r="J100" i="8"/>
  <c r="J92" i="8"/>
  <c r="J84" i="8"/>
  <c r="M78" i="8"/>
  <c r="I75" i="8"/>
  <c r="J46" i="8"/>
  <c r="I32" i="8"/>
  <c r="K431" i="8"/>
  <c r="K463" i="8"/>
  <c r="K311" i="8"/>
  <c r="M283" i="8"/>
  <c r="M319" i="8"/>
  <c r="I251" i="8"/>
  <c r="M411" i="8"/>
  <c r="M419" i="8"/>
  <c r="M427" i="8"/>
  <c r="K427" i="8"/>
  <c r="M435" i="8"/>
  <c r="M443" i="8"/>
  <c r="M451" i="8"/>
  <c r="M459" i="8"/>
  <c r="K459" i="8"/>
  <c r="M467" i="8"/>
  <c r="M475" i="8"/>
  <c r="M483" i="8"/>
  <c r="J279" i="8"/>
  <c r="J399" i="8"/>
  <c r="J391" i="8"/>
  <c r="J383" i="8"/>
  <c r="J367" i="8"/>
  <c r="J359" i="8"/>
  <c r="J351" i="8"/>
  <c r="J335" i="8"/>
  <c r="J327" i="8"/>
  <c r="J319" i="8"/>
  <c r="M407" i="8"/>
  <c r="M399" i="8"/>
  <c r="M391" i="8"/>
  <c r="M383" i="8"/>
  <c r="M375" i="8"/>
  <c r="M367" i="8"/>
  <c r="M359" i="8"/>
  <c r="M351" i="8"/>
  <c r="M343" i="8"/>
  <c r="M335" i="8"/>
  <c r="M327" i="8"/>
  <c r="M299" i="8"/>
  <c r="M291" i="8"/>
  <c r="I403" i="8"/>
  <c r="I395" i="8"/>
  <c r="I387" i="8"/>
  <c r="I379" i="8"/>
  <c r="I371" i="8"/>
  <c r="I363" i="8"/>
  <c r="I355" i="8"/>
  <c r="I347" i="8"/>
  <c r="I339" i="8"/>
  <c r="I331" i="8"/>
  <c r="I323" i="8"/>
  <c r="J287" i="8"/>
  <c r="J315" i="8"/>
  <c r="J251" i="8"/>
  <c r="I283" i="8"/>
  <c r="J347" i="8"/>
  <c r="J379" i="8"/>
  <c r="I411" i="8"/>
  <c r="K415" i="8"/>
  <c r="I419" i="8"/>
  <c r="K423" i="8"/>
  <c r="I427" i="8"/>
  <c r="I435" i="8"/>
  <c r="K439" i="8"/>
  <c r="I443" i="8"/>
  <c r="K447" i="8"/>
  <c r="I451" i="8"/>
  <c r="K455" i="8"/>
  <c r="I459" i="8"/>
  <c r="I467" i="8"/>
  <c r="K471" i="8"/>
  <c r="I475" i="8"/>
  <c r="K479" i="8"/>
  <c r="I483" i="8"/>
  <c r="J299" i="8"/>
  <c r="J283" i="8"/>
  <c r="J267" i="8"/>
  <c r="L487" i="8"/>
  <c r="J323" i="8"/>
  <c r="J355" i="8"/>
  <c r="J387" i="8"/>
  <c r="J407" i="8"/>
  <c r="J375" i="8"/>
  <c r="J343" i="8"/>
  <c r="J291" i="8"/>
  <c r="J255" i="8"/>
  <c r="J295" i="8"/>
  <c r="I299" i="8"/>
  <c r="I291" i="8"/>
  <c r="L271" i="8"/>
  <c r="L255" i="8"/>
  <c r="H483" i="8"/>
  <c r="H475" i="8"/>
  <c r="H467" i="8"/>
  <c r="H459" i="8"/>
  <c r="H451" i="8"/>
  <c r="H443" i="8"/>
  <c r="H435" i="8"/>
  <c r="H427" i="8"/>
  <c r="H419" i="8"/>
  <c r="H259" i="8"/>
  <c r="H315" i="8"/>
  <c r="H307" i="8"/>
  <c r="H299" i="8"/>
  <c r="H263" i="8"/>
  <c r="K315" i="8"/>
  <c r="K411" i="8"/>
  <c r="K419" i="8"/>
  <c r="K435" i="8"/>
  <c r="K443" i="8"/>
  <c r="K451" i="8"/>
  <c r="K467" i="8"/>
  <c r="K475" i="8"/>
  <c r="K483" i="8"/>
  <c r="M311" i="8"/>
  <c r="M271" i="8"/>
  <c r="I263" i="8"/>
  <c r="I259" i="8"/>
  <c r="H275" i="8"/>
  <c r="J439" i="8"/>
  <c r="J471" i="8"/>
  <c r="H291" i="8"/>
  <c r="H279" i="8"/>
  <c r="K295" i="8"/>
  <c r="J431" i="8"/>
  <c r="J463" i="8"/>
  <c r="K319" i="8"/>
  <c r="K403" i="8"/>
  <c r="K395" i="8"/>
  <c r="K387" i="8"/>
  <c r="K379" i="8"/>
  <c r="K371" i="8"/>
  <c r="K363" i="8"/>
  <c r="K355" i="8"/>
  <c r="K347" i="8"/>
  <c r="K339" i="8"/>
  <c r="K331" i="8"/>
  <c r="K323" i="8"/>
  <c r="K279" i="8"/>
  <c r="K271" i="8"/>
  <c r="K263" i="8"/>
  <c r="K255" i="8"/>
  <c r="J331" i="8"/>
  <c r="J363" i="8"/>
  <c r="J395" i="8"/>
  <c r="I415" i="8"/>
  <c r="I423" i="8"/>
  <c r="I431" i="8"/>
  <c r="I439" i="8"/>
  <c r="I447" i="8"/>
  <c r="I455" i="8"/>
  <c r="I463" i="8"/>
  <c r="I471" i="8"/>
  <c r="I479" i="8"/>
  <c r="J311" i="8"/>
  <c r="J271" i="8"/>
  <c r="J275" i="8"/>
  <c r="J259" i="8"/>
  <c r="K251" i="8"/>
  <c r="M403" i="8"/>
  <c r="M395" i="8"/>
  <c r="M387" i="8"/>
  <c r="M379" i="8"/>
  <c r="M371" i="8"/>
  <c r="M363" i="8"/>
  <c r="M355" i="8"/>
  <c r="M347" i="8"/>
  <c r="M339" i="8"/>
  <c r="M331" i="8"/>
  <c r="M323" i="8"/>
  <c r="M267" i="8"/>
  <c r="M303" i="8"/>
  <c r="M295" i="8"/>
  <c r="M287" i="8"/>
  <c r="M263" i="8"/>
  <c r="I407" i="8"/>
  <c r="I399" i="8"/>
  <c r="I391" i="8"/>
  <c r="I383" i="8"/>
  <c r="I375" i="8"/>
  <c r="I367" i="8"/>
  <c r="I359" i="8"/>
  <c r="I351" i="8"/>
  <c r="I343" i="8"/>
  <c r="I335" i="8"/>
  <c r="I327" i="8"/>
  <c r="I315" i="8"/>
  <c r="I319" i="8"/>
  <c r="I303" i="8"/>
  <c r="I295" i="8"/>
  <c r="I287" i="8"/>
  <c r="I255" i="8"/>
  <c r="L483" i="8"/>
  <c r="L475" i="8"/>
  <c r="L467" i="8"/>
  <c r="L459" i="8"/>
  <c r="L451" i="8"/>
  <c r="L443" i="8"/>
  <c r="L435" i="8"/>
  <c r="L427" i="8"/>
  <c r="L419" i="8"/>
  <c r="L411" i="8"/>
  <c r="L403" i="8"/>
  <c r="L395" i="8"/>
  <c r="L387" i="8"/>
  <c r="L379" i="8"/>
  <c r="L371" i="8"/>
  <c r="L363" i="8"/>
  <c r="L355" i="8"/>
  <c r="L347" i="8"/>
  <c r="L339" i="8"/>
  <c r="L331" i="8"/>
  <c r="L323" i="8"/>
  <c r="L275" i="8"/>
  <c r="L259" i="8"/>
  <c r="L315" i="8"/>
  <c r="L307" i="8"/>
  <c r="L299" i="8"/>
  <c r="L291" i="8"/>
  <c r="H283" i="8"/>
  <c r="H407" i="8"/>
  <c r="H399" i="8"/>
  <c r="H391" i="8"/>
  <c r="H383" i="8"/>
  <c r="H375" i="8"/>
  <c r="H367" i="8"/>
  <c r="H359" i="8"/>
  <c r="H351" i="8"/>
  <c r="H343" i="8"/>
  <c r="H335" i="8"/>
  <c r="H327" i="8"/>
  <c r="H267" i="8"/>
  <c r="K303" i="8"/>
  <c r="J415" i="8"/>
  <c r="J447" i="8"/>
  <c r="J479" i="8"/>
  <c r="K307" i="8"/>
  <c r="K299" i="8"/>
  <c r="K291" i="8"/>
  <c r="J339" i="8"/>
  <c r="J371" i="8"/>
  <c r="J403" i="8"/>
  <c r="M415" i="8"/>
  <c r="M423" i="8"/>
  <c r="M431" i="8"/>
  <c r="M439" i="8"/>
  <c r="M447" i="8"/>
  <c r="M455" i="8"/>
  <c r="M463" i="8"/>
  <c r="M471" i="8"/>
  <c r="M479" i="8"/>
  <c r="J307" i="8"/>
  <c r="J411" i="8"/>
  <c r="J419" i="8"/>
  <c r="J427" i="8"/>
  <c r="J435" i="8"/>
  <c r="J443" i="8"/>
  <c r="J451" i="8"/>
  <c r="J459" i="8"/>
  <c r="J467" i="8"/>
  <c r="J475" i="8"/>
  <c r="J483" i="8"/>
  <c r="M275" i="8"/>
  <c r="M259" i="8"/>
  <c r="M255" i="8"/>
  <c r="I279" i="8"/>
  <c r="I275" i="8"/>
  <c r="L279" i="8"/>
  <c r="L263" i="8"/>
  <c r="H487" i="8"/>
  <c r="H479" i="8"/>
  <c r="H471" i="8"/>
  <c r="H463" i="8"/>
  <c r="H455" i="8"/>
  <c r="H447" i="8"/>
  <c r="H439" i="8"/>
  <c r="H431" i="8"/>
  <c r="H423" i="8"/>
  <c r="H415" i="8"/>
  <c r="H319" i="8"/>
  <c r="H311" i="8"/>
  <c r="H303" i="8"/>
  <c r="H295" i="8"/>
  <c r="H287" i="8"/>
  <c r="H271" i="8"/>
  <c r="H255" i="8"/>
  <c r="K287" i="8"/>
  <c r="J423" i="8"/>
  <c r="J455" i="8"/>
  <c r="J487" i="8"/>
  <c r="K407" i="8"/>
  <c r="K399" i="8"/>
  <c r="K391" i="8"/>
  <c r="K383" i="8"/>
  <c r="K375" i="8"/>
  <c r="K367" i="8"/>
  <c r="K359" i="8"/>
  <c r="K351" i="8"/>
  <c r="K343" i="8"/>
  <c r="K335" i="8"/>
  <c r="K327" i="8"/>
  <c r="K283" i="8"/>
  <c r="K275" i="8"/>
  <c r="K267" i="8"/>
  <c r="K259" i="8"/>
  <c r="J263" i="8"/>
  <c r="J303" i="8"/>
  <c r="M315" i="8"/>
  <c r="M307" i="8"/>
  <c r="M279" i="8"/>
  <c r="I311" i="8"/>
  <c r="I307" i="8"/>
  <c r="I271" i="8"/>
  <c r="I267" i="8"/>
  <c r="L251" i="8"/>
  <c r="L479" i="8"/>
  <c r="L471" i="8"/>
  <c r="L463" i="8"/>
  <c r="L455" i="8"/>
  <c r="L447" i="8"/>
  <c r="L439" i="8"/>
  <c r="L431" i="8"/>
  <c r="L423" i="8"/>
  <c r="L415" i="8"/>
  <c r="L407" i="8"/>
  <c r="L399" i="8"/>
  <c r="L391" i="8"/>
  <c r="L383" i="8"/>
  <c r="L375" i="8"/>
  <c r="L367" i="8"/>
  <c r="L359" i="8"/>
  <c r="L351" i="8"/>
  <c r="L343" i="8"/>
  <c r="L335" i="8"/>
  <c r="L327" i="8"/>
  <c r="L283" i="8"/>
  <c r="L267" i="8"/>
  <c r="L319" i="8"/>
  <c r="L311" i="8"/>
  <c r="L303" i="8"/>
  <c r="L295" i="8"/>
  <c r="L287" i="8"/>
  <c r="H251" i="8"/>
  <c r="H411" i="8"/>
  <c r="H403" i="8"/>
  <c r="H395" i="8"/>
  <c r="H387" i="8"/>
  <c r="H379" i="8"/>
  <c r="H371" i="8"/>
  <c r="H363" i="8"/>
  <c r="H355" i="8"/>
  <c r="H347" i="8"/>
  <c r="H339" i="8"/>
  <c r="H331" i="8"/>
  <c r="H323" i="8"/>
  <c r="T225" i="4"/>
  <c r="S225" i="4"/>
  <c r="R225" i="4"/>
  <c r="Q225" i="4"/>
  <c r="P225" i="4"/>
  <c r="O225" i="4"/>
  <c r="T212" i="4"/>
  <c r="S212" i="4"/>
  <c r="R212" i="4"/>
  <c r="Q212" i="4"/>
  <c r="P212" i="4"/>
  <c r="O212" i="4"/>
  <c r="T211" i="4"/>
  <c r="S211" i="4"/>
  <c r="R211" i="4"/>
  <c r="Q211" i="4"/>
  <c r="P211" i="4"/>
  <c r="O211" i="4"/>
  <c r="T186" i="4"/>
  <c r="S186" i="4"/>
  <c r="R186" i="4"/>
  <c r="Q186" i="4"/>
  <c r="P186" i="4"/>
  <c r="O186" i="4"/>
  <c r="T183" i="4"/>
  <c r="S183" i="4"/>
  <c r="R183" i="4"/>
  <c r="Q183" i="4"/>
  <c r="P183" i="4"/>
  <c r="O183" i="4"/>
  <c r="T178" i="4"/>
  <c r="S178" i="4"/>
  <c r="R178" i="4"/>
  <c r="Q178" i="4"/>
  <c r="P178" i="4"/>
  <c r="O178" i="4"/>
  <c r="T174" i="4"/>
  <c r="S174" i="4"/>
  <c r="R174" i="4"/>
  <c r="Q174" i="4"/>
  <c r="P174" i="4"/>
  <c r="O174" i="4"/>
  <c r="T155" i="4"/>
  <c r="S155" i="4"/>
  <c r="R155" i="4"/>
  <c r="Q155" i="4"/>
  <c r="P155" i="4"/>
  <c r="O155" i="4"/>
  <c r="T128" i="4"/>
  <c r="S128" i="4"/>
  <c r="R128" i="4"/>
  <c r="Q128" i="4"/>
  <c r="P128" i="4"/>
  <c r="O128" i="4"/>
  <c r="T126" i="4"/>
  <c r="S126" i="4"/>
  <c r="R126" i="4"/>
  <c r="Q126" i="4"/>
  <c r="P126" i="4"/>
  <c r="O126" i="4"/>
  <c r="T123" i="4"/>
  <c r="S123" i="4"/>
  <c r="R123" i="4"/>
  <c r="Q123" i="4"/>
  <c r="P123" i="4"/>
  <c r="O123" i="4"/>
  <c r="T117" i="4"/>
  <c r="S117" i="4"/>
  <c r="R117" i="4"/>
  <c r="Q117" i="4"/>
  <c r="P117" i="4"/>
  <c r="O117" i="4"/>
  <c r="T107" i="4"/>
  <c r="S107" i="4"/>
  <c r="R107" i="4"/>
  <c r="Q107" i="4"/>
  <c r="P107" i="4"/>
  <c r="O107" i="4"/>
  <c r="T99" i="4"/>
  <c r="S99" i="4"/>
  <c r="R99" i="4"/>
  <c r="Q99" i="4"/>
  <c r="P99" i="4"/>
  <c r="O99" i="4"/>
  <c r="T86" i="4"/>
  <c r="S86" i="4"/>
  <c r="R86" i="4"/>
  <c r="Q86" i="4"/>
  <c r="P86" i="4"/>
  <c r="O86" i="4"/>
  <c r="T68" i="4"/>
  <c r="S68" i="4"/>
  <c r="R68" i="4"/>
  <c r="Q68" i="4"/>
  <c r="P68" i="4"/>
  <c r="O68" i="4"/>
  <c r="T63" i="4"/>
  <c r="S63" i="4"/>
  <c r="R63" i="4"/>
  <c r="Q63" i="4"/>
  <c r="P63" i="4"/>
  <c r="O63" i="4"/>
  <c r="T45" i="4"/>
  <c r="S45" i="4"/>
  <c r="R45" i="4"/>
  <c r="Q45" i="4"/>
  <c r="P45" i="4"/>
  <c r="O45" i="4"/>
  <c r="P5" i="4"/>
  <c r="Q5" i="4"/>
  <c r="R5" i="4"/>
  <c r="S5" i="4"/>
  <c r="T5" i="4"/>
  <c r="O5" i="4"/>
  <c r="A2" i="4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4" i="3"/>
  <c r="B159" i="3" a="1"/>
  <c r="B159" i="3"/>
  <c r="B107" i="3" a="1"/>
  <c r="B107" i="3"/>
  <c r="B55" i="3" a="1"/>
  <c r="B55" i="3"/>
  <c r="B3" i="3" a="1"/>
  <c r="B3" i="3"/>
  <c r="A1" i="4"/>
  <c r="F4" i="1" a="1"/>
  <c r="F4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K4" i="1"/>
  <c r="J5" i="1"/>
  <c r="I5" i="1"/>
  <c r="H5" i="1"/>
  <c r="K40" i="1"/>
  <c r="K38" i="1"/>
  <c r="K36" i="1"/>
  <c r="K34" i="1"/>
  <c r="K32" i="1"/>
  <c r="K30" i="1"/>
  <c r="K29" i="1"/>
  <c r="K27" i="1"/>
  <c r="K25" i="1"/>
  <c r="K23" i="1"/>
  <c r="K20" i="1"/>
  <c r="K18" i="1"/>
  <c r="K15" i="1"/>
  <c r="K13" i="1"/>
  <c r="K11" i="1"/>
  <c r="K9" i="1"/>
  <c r="K7" i="1"/>
  <c r="K41" i="1"/>
  <c r="K39" i="1"/>
  <c r="K37" i="1"/>
  <c r="K35" i="1"/>
  <c r="K33" i="1"/>
  <c r="K31" i="1"/>
  <c r="K28" i="1"/>
  <c r="K26" i="1"/>
  <c r="K24" i="1"/>
  <c r="K22" i="1"/>
  <c r="K21" i="1"/>
  <c r="K19" i="1"/>
  <c r="K17" i="1"/>
  <c r="K16" i="1"/>
  <c r="K14" i="1"/>
  <c r="K12" i="1"/>
  <c r="K10" i="1"/>
  <c r="K8" i="1"/>
  <c r="K6" i="1"/>
  <c r="K5" i="1"/>
  <c r="I4" i="1"/>
  <c r="J4" i="1"/>
  <c r="H4" i="1"/>
  <c r="A2" i="1"/>
  <c r="A1" i="1"/>
  <c r="B1" i="4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tc={04E13BF0-8FE7-42E4-8E13-92331693B3D2}</author>
    <author>tc={B301151B-41DB-469E-B1AC-1327C119DC6C}</author>
    <author>tc={A148481B-37E4-48D8-B963-E88BB758D7AA}</author>
    <author>tc={8A9AD78C-CEDF-463D-802E-3B6D0D8C3202}</author>
    <author>tc={45654512-6EB5-47F2-AE28-A69D6094DE68}</author>
  </authors>
  <commentList>
    <comment ref="I20" authorId="0" shapeId="0" xr:uid="{04E13BF0-8FE7-42E4-8E13-92331693B3D2}">
      <text>
        <t>[Threaded comment]
Your version of Excel allows you to read this threaded comment; however, any edits to it will get removed if the file is opened in a newer version of Excel. Learn more: https://go.microsoft.com/fwlink/?linkid=870924
Comment:
    LCOc1  ICE Europe Brent Crude Electronic Energy Future</t>
      </text>
    </comment>
    <comment ref="I21" authorId="1" shapeId="0" xr:uid="{B301151B-41DB-469E-B1AC-1327C119DC6C}">
      <text>
        <t>[Threaded comment]
Your version of Excel allows you to read this threaded comment; however, any edits to it will get removed if the file is opened in a newer version of Excel. Learn more: https://go.microsoft.com/fwlink/?linkid=870924
Comment:
    NWE Urals-Refinery Margin Cracking</t>
      </text>
    </comment>
    <comment ref="I22" authorId="2" shapeId="0" xr:uid="{A148481B-37E4-48D8-B963-E88BB758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MOEX Russia Index</t>
      </text>
    </comment>
    <comment ref="I23" authorId="3" shapeId="0" xr:uid="{8A9AD78C-CEDF-463D-802E-3B6D0D8C3202}">
      <text>
        <t>[Threaded comment]
Your version of Excel allows you to read this threaded comment; however, any edits to it will get removed if the file is opened in a newer version of Excel. Learn more: https://go.microsoft.com/fwlink/?linkid=870924
Comment:
    VanEck Russia ETF</t>
      </text>
    </comment>
    <comment ref="I24" authorId="4" shapeId="0" xr:uid="{45654512-6EB5-47F2-AE28-A69D6094DE68}">
      <text>
        <t>[Threaded comment]
Your version of Excel allows you to read this threaded comment; however, any edits to it will get removed if the file is opened in a newer version of Excel. Learn more: https://go.microsoft.com/fwlink/?linkid=870924
Comment:
    URALS CRUDE VS DATED BRENT DIFFERENTIAL FOB NORTH WEST EUROPE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<sst xmlns="http://schemas.openxmlformats.org/spreadsheetml/2006/main" count="169" uniqueCount="66">
  <si>
    <t>Mid Price</t>
  </si>
  <si>
    <t>RUB=</t>
  </si>
  <si>
    <t>Returns (Stationarity)</t>
  </si>
  <si>
    <t>LCOc1</t>
  </si>
  <si>
    <t>=USD</t>
  </si>
  <si>
    <t>Loadings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</si>
  <si>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</si>
  <si>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</si>
  <si>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</si>
  <si>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</si>
  <si>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</si>
  <si>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</si>
  <si>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</si>
  <si>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</si>
  <si>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</si>
  <si>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</si>
  <si>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</si>
  <si>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</si>
  <si>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</si>
  <si>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</si>
  <si>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</si>
  <si>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</si>
  <si>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</si>
  <si>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</si>
  <si>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</si>
  <si>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</si>
  <si>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</si>
  <si>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</si>
  <si>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</si>
  <si>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</si>
  <si>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</si>
  <si>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</si>
  <si>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Loadings</t>
  </si>
  <si>
    <t>Residuals</t>
  </si>
  <si>
    <t>NULL</t>
  </si>
  <si>
    <t>Weekly loading</t>
  </si>
  <si>
    <t>NWEMURLCRKMc1</t>
  </si>
  <si>
    <t>.IMOEX</t>
  </si>
  <si>
    <t>RSX</t>
  </si>
  <si>
    <t>BFO-URL-NWE</t>
  </si>
  <si>
    <t>Urals loading</t>
  </si>
  <si>
    <t>Predicted Urals loading</t>
  </si>
  <si>
    <t>Returns time series (stationarity)</t>
  </si>
  <si>
    <t>Threshold</t>
  </si>
  <si>
    <t>Average</t>
  </si>
  <si>
    <t>Binary matrix (weekly)</t>
  </si>
  <si>
    <t>Binary matrix (monthly)</t>
  </si>
  <si>
    <t>If the variable is high (high&gt;low) over the period, then we assign a High value</t>
  </si>
  <si>
    <t>If the variable is low (high&lt;low) over the period, then we assign a Low value</t>
  </si>
  <si>
    <t>We deconstruct the analysis over five years worth of data and add another layer of analysis</t>
  </si>
  <si>
    <t>4w MA LCOc1</t>
  </si>
  <si>
    <t>4w MA NWEMURLCRKMc1</t>
  </si>
  <si>
    <t>4w MA .IMOEX</t>
  </si>
  <si>
    <t>4w MA RSX</t>
  </si>
  <si>
    <t>4w MA BFO-URL-NWE</t>
  </si>
  <si>
    <t>4w MA Urals loading</t>
  </si>
  <si>
    <t>_</t>
  </si>
  <si>
    <t xml:space="preserve">4 weeks Moving Average (4w MA) </t>
  </si>
  <si>
    <t xml:space="preserve">Returns </t>
  </si>
  <si>
    <t>Matrix analysis</t>
  </si>
  <si>
    <t>Skew</t>
  </si>
  <si>
    <t>Kurt</t>
  </si>
  <si>
    <t>Stdev.s</t>
  </si>
  <si>
    <t>Median</t>
  </si>
  <si>
    <t>Mean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</si>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</sst>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7" x14ac:knownFonts="1"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color rgb="FF002060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3" fontId="0" fillId="0" borderId="3" xfId="0" applyNumberFormat="1" applyBorder="1" applyAlignment="1">
      <alignment horizontal="left" vertical="center"/>
    </xf>
    <xf numFmtId="0" fontId="0" fillId="0" borderId="3" xfId="0" applyBorder="1"/>
    <xf numFmtId="14" fontId="0" fillId="0" borderId="0" xfId="0" applyNumberFormat="1"/>
    <xf numFmtId="14" fontId="0" fillId="0" borderId="3" xfId="0" applyNumberFormat="1" applyBorder="1"/>
    <xf numFmtId="0" fontId="0" fillId="0" borderId="0" xfId="0" applyAlignment="1">
      <alignment vertical="center"/>
    </xf>
    <xf numFmtId="14" fontId="0" fillId="0" borderId="0" xfId="0" quotePrefix="1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4" fontId="0" fillId="0" borderId="3" xfId="0" quotePrefix="1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14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0" fontId="0" fillId="0" borderId="0" xfId="1" applyNumberFormat="1" applyFont="1" applyFill="1" applyBorder="1" applyAlignment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200" b="1" i="0" baseline="0">
                <a:effectLst/>
              </a:rPr>
              <a:t>Regression % RUB/USD spot rate vs % change in Urals loading</a:t>
            </a:r>
            <a:endParaRPr lang="en-GB" sz="12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Weekly data (2022), Data: Refinitiv Eikon, Petrologistics</a:t>
            </a:r>
            <a:endParaRPr lang="en-GB" sz="1000">
              <a:effectLst/>
            </a:endParaRPr>
          </a:p>
        </c:rich>
      </c:tx>
      <c:layout>
        <c:manualLayout>
          <c:xMode val="edge"/>
          <c:yMode val="edge"/>
          <c:x val="0.11073877467924562"/>
          <c:y val="1.09057840442940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00400957775034"/>
          <c:y val="0.19741301062898894"/>
          <c:w val="0.79997820434658784"/>
          <c:h val="0.62604696242427849"/>
        </c:manualLayout>
      </c:layout>
      <c:scatterChart>
        <c:scatterStyle val="lineMarker"/>
        <c:varyColors val="0"/>
        <c:ser>
          <c:idx val="0"/>
          <c:order val="0"/>
          <c:tx>
            <c:v>Loadings</c:v>
          </c:tx>
          <c:spPr>
            <a:ln w="19050">
              <a:noFill/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8.8179465371706581E-2"/>
                  <c:y val="-9.5383951042109449E-2"/>
                </c:manualLayout>
              </c:layout>
              <c:numFmt formatCode="General" sourceLinked="0"/>
            </c:trendlineLbl>
          </c:trendline>
          <c:xVal>
            <c:numRef>
              <c:f>Regression!$H$5:$H$41</c:f>
              <c:numCache>
                <c:formatCode>0.000</c:formatCode>
                <c:ptCount val="37"/>
                <c:pt idx="0">
                  <c:v>6.752839599755589E-3</c:v>
                </c:pt>
                <c:pt idx="1">
                  <c:v>1.7775944267105492E-2</c:v>
                </c:pt>
                <c:pt idx="2">
                  <c:v>7.7857770697846718E-3</c:v>
                </c:pt>
                <c:pt idx="3">
                  <c:v>-3.1360981554921397E-2</c:v>
                </c:pt>
                <c:pt idx="4">
                  <c:v>2.0393559456074906E-2</c:v>
                </c:pt>
                <c:pt idx="5">
                  <c:v>8.3908356806539075E-4</c:v>
                </c:pt>
                <c:pt idx="6">
                  <c:v>8.4668633013817995E-2</c:v>
                </c:pt>
                <c:pt idx="7">
                  <c:v>0.46050454822838383</c:v>
                </c:pt>
                <c:pt idx="8">
                  <c:v>9.3542793022544091E-2</c:v>
                </c:pt>
                <c:pt idx="9">
                  <c:v>-0.20522388059701491</c:v>
                </c:pt>
                <c:pt idx="10">
                  <c:v>-2.3474178403755874E-2</c:v>
                </c:pt>
                <c:pt idx="11">
                  <c:v>-0.17548076923076927</c:v>
                </c:pt>
                <c:pt idx="12">
                  <c:v>-6.4139941690962154E-2</c:v>
                </c:pt>
                <c:pt idx="13">
                  <c:v>6.230529595015577E-3</c:v>
                </c:pt>
                <c:pt idx="14">
                  <c:v>-4.1795665634674961E-2</c:v>
                </c:pt>
                <c:pt idx="15">
                  <c:v>-5.2019386106623711E-2</c:v>
                </c:pt>
                <c:pt idx="16">
                  <c:v>-5.9304703476482534E-2</c:v>
                </c:pt>
                <c:pt idx="17">
                  <c:v>-3.6231884057971064E-2</c:v>
                </c:pt>
                <c:pt idx="18">
                  <c:v>-6.7669172932330879E-2</c:v>
                </c:pt>
                <c:pt idx="19">
                  <c:v>7.2580645161290258E-2</c:v>
                </c:pt>
                <c:pt idx="20">
                  <c:v>-4.7218045112781937E-2</c:v>
                </c:pt>
                <c:pt idx="21">
                  <c:v>-8.0650252525252486E-2</c:v>
                </c:pt>
                <c:pt idx="22">
                  <c:v>-3.0042918454935674E-2</c:v>
                </c:pt>
                <c:pt idx="23">
                  <c:v>-5.4867256637168182E-2</c:v>
                </c:pt>
                <c:pt idx="24">
                  <c:v>1.1235955056179803E-2</c:v>
                </c:pt>
                <c:pt idx="25">
                  <c:v>0.20185185185185195</c:v>
                </c:pt>
                <c:pt idx="26">
                  <c:v>-0.12172573189522351</c:v>
                </c:pt>
                <c:pt idx="27">
                  <c:v>1.9736842105263053E-2</c:v>
                </c:pt>
                <c:pt idx="28">
                  <c:v>7.0967741935483941E-2</c:v>
                </c:pt>
                <c:pt idx="29">
                  <c:v>-2.7710843373494054E-2</c:v>
                </c:pt>
                <c:pt idx="30">
                  <c:v>1.6109045848822889E-2</c:v>
                </c:pt>
                <c:pt idx="31">
                  <c:v>-3.2520325203251987E-2</c:v>
                </c:pt>
                <c:pt idx="32">
                  <c:v>1.3445378151260456E-2</c:v>
                </c:pt>
                <c:pt idx="33">
                  <c:v>-4.1459369817575809E-4</c:v>
                </c:pt>
                <c:pt idx="34">
                  <c:v>2.03235172127747E-2</c:v>
                </c:pt>
                <c:pt idx="35">
                  <c:v>-1.6260162601625994E-2</c:v>
                </c:pt>
                <c:pt idx="36">
                  <c:v>-4.3388429752066138E-2</c:v>
                </c:pt>
              </c:numCache>
            </c:numRef>
          </c:xVal>
          <c:yVal>
            <c:numRef>
              <c:f>Regression!$K$5:$K$41</c:f>
              <c:numCache>
                <c:formatCode>0.000</c:formatCode>
                <c:ptCount val="37"/>
                <c:pt idx="0">
                  <c:v>0.10393043530080193</c:v>
                </c:pt>
                <c:pt idx="1">
                  <c:v>-5.8957113737460931E-2</c:v>
                </c:pt>
                <c:pt idx="2">
                  <c:v>-6.9241268868404093E-3</c:v>
                </c:pt>
                <c:pt idx="3">
                  <c:v>-4.2705269643659061E-2</c:v>
                </c:pt>
                <c:pt idx="4">
                  <c:v>-0.25036983374250377</c:v>
                </c:pt>
                <c:pt idx="5">
                  <c:v>0.66323780744022964</c:v>
                </c:pt>
                <c:pt idx="6">
                  <c:v>-0.11637618657385596</c:v>
                </c:pt>
                <c:pt idx="7">
                  <c:v>5.0528040044585332E-2</c:v>
                </c:pt>
                <c:pt idx="8">
                  <c:v>-2.1097128906451545E-2</c:v>
                </c:pt>
                <c:pt idx="9">
                  <c:v>-0.25749329425970879</c:v>
                </c:pt>
                <c:pt idx="10">
                  <c:v>7.9289529913389556E-2</c:v>
                </c:pt>
                <c:pt idx="11">
                  <c:v>0.33265812499437519</c:v>
                </c:pt>
                <c:pt idx="12">
                  <c:v>2.9281411005274816E-2</c:v>
                </c:pt>
                <c:pt idx="13">
                  <c:v>-0.17936610180831958</c:v>
                </c:pt>
                <c:pt idx="14">
                  <c:v>0.58406360682636849</c:v>
                </c:pt>
                <c:pt idx="15">
                  <c:v>-0.18170273587621311</c:v>
                </c:pt>
                <c:pt idx="16">
                  <c:v>-7.7590583371730637E-2</c:v>
                </c:pt>
                <c:pt idx="17">
                  <c:v>8.7593473742407779E-2</c:v>
                </c:pt>
                <c:pt idx="18">
                  <c:v>2.1305452425935067E-2</c:v>
                </c:pt>
                <c:pt idx="19">
                  <c:v>-1.0187880706739372E-2</c:v>
                </c:pt>
                <c:pt idx="20">
                  <c:v>4.7947269572554019E-2</c:v>
                </c:pt>
                <c:pt idx="21">
                  <c:v>-0.12258805848992438</c:v>
                </c:pt>
                <c:pt idx="22">
                  <c:v>-2.2983745142390877E-4</c:v>
                </c:pt>
                <c:pt idx="23">
                  <c:v>-0.23648207659127229</c:v>
                </c:pt>
                <c:pt idx="24">
                  <c:v>0.13933049640149453</c:v>
                </c:pt>
                <c:pt idx="25">
                  <c:v>0.18625213969056742</c:v>
                </c:pt>
                <c:pt idx="26">
                  <c:v>-0.26006943355814405</c:v>
                </c:pt>
                <c:pt idx="27">
                  <c:v>1.7437669185611515E-2</c:v>
                </c:pt>
                <c:pt idx="28">
                  <c:v>0.27655002460393652</c:v>
                </c:pt>
                <c:pt idx="29">
                  <c:v>-7.8127037849688996E-2</c:v>
                </c:pt>
                <c:pt idx="30">
                  <c:v>1.2554811791146703E-2</c:v>
                </c:pt>
                <c:pt idx="31">
                  <c:v>-7.9940589796515082E-2</c:v>
                </c:pt>
                <c:pt idx="32">
                  <c:v>0.1747554557754607</c:v>
                </c:pt>
                <c:pt idx="33">
                  <c:v>-1.0627787007399969E-2</c:v>
                </c:pt>
                <c:pt idx="34">
                  <c:v>3.2021158684922391E-2</c:v>
                </c:pt>
                <c:pt idx="35">
                  <c:v>-0.38495320596732974</c:v>
                </c:pt>
                <c:pt idx="36">
                  <c:v>0.37266918896627765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50-4EB9-BDE5-5B1627808C5A}"/>
            </c:ext>
          </c:extLst>
        </c:ser>
        <c:ser>
          <c:idx val="1"/>
          <c:order val="1"/>
          <c:tx>
            <c:v>Predicted Loadings</c:v>
          </c:tx>
          <c:spPr>
            <a:ln w="19050">
              <a:noFill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Regression!$H$5:$H$41</c:f>
              <c:numCache>
                <c:formatCode>0.000</c:formatCode>
                <c:ptCount val="37"/>
                <c:pt idx="0">
                  <c:v>6.752839599755589E-3</c:v>
                </c:pt>
                <c:pt idx="1">
                  <c:v>1.7775944267105492E-2</c:v>
                </c:pt>
                <c:pt idx="2">
                  <c:v>7.7857770697846718E-3</c:v>
                </c:pt>
                <c:pt idx="3">
                  <c:v>-3.1360981554921397E-2</c:v>
                </c:pt>
                <c:pt idx="4">
                  <c:v>2.0393559456074906E-2</c:v>
                </c:pt>
                <c:pt idx="5">
                  <c:v>8.3908356806539075E-4</c:v>
                </c:pt>
                <c:pt idx="6">
                  <c:v>8.4668633013817995E-2</c:v>
                </c:pt>
                <c:pt idx="7">
                  <c:v>0.46050454822838383</c:v>
                </c:pt>
                <c:pt idx="8">
                  <c:v>9.3542793022544091E-2</c:v>
                </c:pt>
                <c:pt idx="9">
                  <c:v>-0.20522388059701491</c:v>
                </c:pt>
                <c:pt idx="10">
                  <c:v>-2.3474178403755874E-2</c:v>
                </c:pt>
                <c:pt idx="11">
                  <c:v>-0.17548076923076927</c:v>
                </c:pt>
                <c:pt idx="12">
                  <c:v>-6.4139941690962154E-2</c:v>
                </c:pt>
                <c:pt idx="13">
                  <c:v>6.230529595015577E-3</c:v>
                </c:pt>
                <c:pt idx="14">
                  <c:v>-4.1795665634674961E-2</c:v>
                </c:pt>
                <c:pt idx="15">
                  <c:v>-5.2019386106623711E-2</c:v>
                </c:pt>
                <c:pt idx="16">
                  <c:v>-5.9304703476482534E-2</c:v>
                </c:pt>
                <c:pt idx="17">
                  <c:v>-3.6231884057971064E-2</c:v>
                </c:pt>
                <c:pt idx="18">
                  <c:v>-6.7669172932330879E-2</c:v>
                </c:pt>
                <c:pt idx="19">
                  <c:v>7.2580645161290258E-2</c:v>
                </c:pt>
                <c:pt idx="20">
                  <c:v>-4.7218045112781937E-2</c:v>
                </c:pt>
                <c:pt idx="21">
                  <c:v>-8.0650252525252486E-2</c:v>
                </c:pt>
                <c:pt idx="22">
                  <c:v>-3.0042918454935674E-2</c:v>
                </c:pt>
                <c:pt idx="23">
                  <c:v>-5.4867256637168182E-2</c:v>
                </c:pt>
                <c:pt idx="24">
                  <c:v>1.1235955056179803E-2</c:v>
                </c:pt>
                <c:pt idx="25">
                  <c:v>0.20185185185185195</c:v>
                </c:pt>
                <c:pt idx="26">
                  <c:v>-0.12172573189522351</c:v>
                </c:pt>
                <c:pt idx="27">
                  <c:v>1.9736842105263053E-2</c:v>
                </c:pt>
                <c:pt idx="28">
                  <c:v>7.0967741935483941E-2</c:v>
                </c:pt>
                <c:pt idx="29">
                  <c:v>-2.7710843373494054E-2</c:v>
                </c:pt>
                <c:pt idx="30">
                  <c:v>1.6109045848822889E-2</c:v>
                </c:pt>
                <c:pt idx="31">
                  <c:v>-3.2520325203251987E-2</c:v>
                </c:pt>
                <c:pt idx="32">
                  <c:v>1.3445378151260456E-2</c:v>
                </c:pt>
                <c:pt idx="33">
                  <c:v>-4.1459369817575809E-4</c:v>
                </c:pt>
                <c:pt idx="34">
                  <c:v>2.03235172127747E-2</c:v>
                </c:pt>
                <c:pt idx="35">
                  <c:v>-1.6260162601625994E-2</c:v>
                </c:pt>
                <c:pt idx="36">
                  <c:v>-4.3388429752066138E-2</c:v>
                </c:pt>
              </c:numCache>
            </c:numRef>
          </c:xVal>
          <c:yVal>
            <c:numRef>
              <c:f>Regression!$O$30:$O$66</c:f>
              <c:numCache>
                <c:formatCode>General</c:formatCode>
                <c:ptCount val="37"/>
                <c:pt idx="0">
                  <c:v>-1.0433457992844081E-2</c:v>
                </c:pt>
                <c:pt idx="1">
                  <c:v>1.715325445849834E-2</c:v>
                </c:pt>
                <c:pt idx="2">
                  <c:v>-6.6770822303759119E-3</c:v>
                </c:pt>
                <c:pt idx="3">
                  <c:v>1.4808691001796827E-2</c:v>
                </c:pt>
                <c:pt idx="4">
                  <c:v>9.2947533219058485E-3</c:v>
                </c:pt>
                <c:pt idx="5">
                  <c:v>4.0808375165151484E-2</c:v>
                </c:pt>
                <c:pt idx="6">
                  <c:v>8.4930175144594978E-3</c:v>
                </c:pt>
                <c:pt idx="7">
                  <c:v>-1.2807243632727871E-2</c:v>
                </c:pt>
                <c:pt idx="8">
                  <c:v>9.2344857792369894E-2</c:v>
                </c:pt>
                <c:pt idx="9">
                  <c:v>5.5178006643215776E-3</c:v>
                </c:pt>
                <c:pt idx="10">
                  <c:v>-6.9842679569577376E-2</c:v>
                </c:pt>
                <c:pt idx="11">
                  <c:v>8.344692350462915E-2</c:v>
                </c:pt>
                <c:pt idx="12">
                  <c:v>1.5372294046833088E-2</c:v>
                </c:pt>
                <c:pt idx="13">
                  <c:v>-1.6993855904031567E-2</c:v>
                </c:pt>
                <c:pt idx="14">
                  <c:v>-2.7108732509445847E-2</c:v>
                </c:pt>
                <c:pt idx="15">
                  <c:v>-1.8678851953781727E-2</c:v>
                </c:pt>
                <c:pt idx="16">
                  <c:v>2.4376748398884936E-2</c:v>
                </c:pt>
                <c:pt idx="17">
                  <c:v>8.7045720532484636E-3</c:v>
                </c:pt>
                <c:pt idx="18">
                  <c:v>1.2492786545174842E-2</c:v>
                </c:pt>
                <c:pt idx="19">
                  <c:v>-2.9471211146103043E-4</c:v>
                </c:pt>
                <c:pt idx="20">
                  <c:v>-1.3916235598831808E-2</c:v>
                </c:pt>
                <c:pt idx="21">
                  <c:v>7.2377642832238076E-2</c:v>
                </c:pt>
                <c:pt idx="22">
                  <c:v>2.0955995118183003E-2</c:v>
                </c:pt>
                <c:pt idx="23">
                  <c:v>3.6463698351712016E-2</c:v>
                </c:pt>
                <c:pt idx="24">
                  <c:v>0.1090523334066065</c:v>
                </c:pt>
                <c:pt idx="25">
                  <c:v>3.3554856333220029E-2</c:v>
                </c:pt>
                <c:pt idx="26">
                  <c:v>2.4111572704573286E-2</c:v>
                </c:pt>
                <c:pt idx="27">
                  <c:v>2.7480775207282737E-3</c:v>
                </c:pt>
                <c:pt idx="28">
                  <c:v>0.1321063720623521</c:v>
                </c:pt>
                <c:pt idx="29">
                  <c:v>7.9943610058950017E-3</c:v>
                </c:pt>
                <c:pt idx="30">
                  <c:v>2.1715841426719572E-2</c:v>
                </c:pt>
                <c:pt idx="31">
                  <c:v>-1.2688440726377329E-2</c:v>
                </c:pt>
                <c:pt idx="32">
                  <c:v>8.5502639320949606E-2</c:v>
                </c:pt>
                <c:pt idx="33">
                  <c:v>4.6355863968592169E-2</c:v>
                </c:pt>
                <c:pt idx="34">
                  <c:v>2.5911697683429939E-2</c:v>
                </c:pt>
                <c:pt idx="35">
                  <c:v>3.8380078837906714E-2</c:v>
                </c:pt>
                <c:pt idx="36">
                  <c:v>3.5014001329231971E-2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50-4EB9-BDE5-5B1627808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06256"/>
        <c:axId val="786613328"/>
      </c:scatterChart>
      <c:valAx>
        <c:axId val="78660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RUB/USD spot (RUB=)</a:t>
                </a:r>
              </a:p>
            </c:rich>
          </c:tx>
          <c:layout>
            <c:manualLayout>
              <c:xMode val="edge"/>
              <c:yMode val="edge"/>
              <c:x val="0.34917303245620429"/>
              <c:y val="0.83581327809262707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86613328"/>
        <c:crosses val="autoZero"/>
        <c:crossBetween val="midCat"/>
      </c:valAx>
      <c:valAx>
        <c:axId val="786613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Urals loadings</a:t>
                </a:r>
              </a:p>
            </c:rich>
          </c:tx>
          <c:layout>
            <c:manualLayout>
              <c:xMode val="edge"/>
              <c:yMode val="edge"/>
              <c:x val="1.4647694122314781E-2"/>
              <c:y val="0.3745456753638443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8660625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2479636908530427E-2"/>
          <c:y val="0.92706492147406128"/>
          <c:w val="0.78771500888174317"/>
          <c:h val="6.2029294481644646E-2"/>
        </c:manualLayout>
      </c:layout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200" b="1" i="0" baseline="0">
                <a:effectLst/>
              </a:rPr>
              <a:t>Regression % Brent futures vs % change in Urals loading</a:t>
            </a:r>
            <a:endParaRPr lang="en-GB" sz="1200">
              <a:effectLst/>
            </a:endParaRPr>
          </a:p>
          <a:p>
            <a:pPr>
              <a:defRPr/>
            </a:pPr>
            <a:r>
              <a:rPr lang="en-GB" sz="900" b="0" i="0" baseline="0">
                <a:effectLst/>
              </a:rPr>
              <a:t>Weekly data (2022), Data: Refinitiv Eikon, Petrologistics</a:t>
            </a:r>
            <a:endParaRPr lang="en-GB" sz="9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9055349092512425E-2"/>
          <c:y val="0.1602217981036661"/>
          <c:w val="0.81846354967549384"/>
          <c:h val="0.7001062772804747"/>
        </c:manualLayout>
      </c:layout>
      <c:scatterChart>
        <c:scatterStyle val="lineMarker"/>
        <c:varyColors val="0"/>
        <c:ser>
          <c:idx val="0"/>
          <c:order val="0"/>
          <c:tx>
            <c:v>Loadings</c:v>
          </c:tx>
          <c:spPr>
            <a:ln w="19050">
              <a:noFill/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1681661245136483"/>
                  <c:y val="0.1062977282081385"/>
                </c:manualLayout>
              </c:layout>
              <c:numFmt formatCode="General" sourceLinked="0"/>
            </c:trendlineLbl>
          </c:trendline>
          <c:xVal>
            <c:numRef>
              <c:f>Regression!$I$5:$I$41</c:f>
              <c:numCache>
                <c:formatCode>0.000</c:formatCode>
                <c:ptCount val="37"/>
                <c:pt idx="0">
                  <c:v>5.5915424101686595E-2</c:v>
                </c:pt>
                <c:pt idx="1">
                  <c:v>1.6551883789571287E-2</c:v>
                </c:pt>
                <c:pt idx="2">
                  <c:v>3.1938514090520842E-2</c:v>
                </c:pt>
                <c:pt idx="3">
                  <c:v>2.1847070506454846E-2</c:v>
                </c:pt>
                <c:pt idx="4">
                  <c:v>2.6670985854659213E-2</c:v>
                </c:pt>
                <c:pt idx="5">
                  <c:v>-1.4671855279764334E-2</c:v>
                </c:pt>
                <c:pt idx="6">
                  <c:v>5.1288893632918775E-2</c:v>
                </c:pt>
                <c:pt idx="7">
                  <c:v>0.19844654279622298</c:v>
                </c:pt>
                <c:pt idx="8">
                  <c:v>-4.8333121531749068E-2</c:v>
                </c:pt>
                <c:pt idx="9">
                  <c:v>-3.6811181340692611E-2</c:v>
                </c:pt>
                <c:pt idx="10">
                  <c:v>0.10670548546605674</c:v>
                </c:pt>
                <c:pt idx="11">
                  <c:v>-0.12673292132954739</c:v>
                </c:pt>
                <c:pt idx="12">
                  <c:v>-1.7835795916415598E-2</c:v>
                </c:pt>
                <c:pt idx="13">
                  <c:v>0</c:v>
                </c:pt>
                <c:pt idx="14">
                  <c:v>0</c:v>
                </c:pt>
                <c:pt idx="15">
                  <c:v>3.1752771880160457E-2</c:v>
                </c:pt>
                <c:pt idx="16">
                  <c:v>3.3565026522772934E-2</c:v>
                </c:pt>
                <c:pt idx="17">
                  <c:v>-1.4202282983806769E-2</c:v>
                </c:pt>
                <c:pt idx="18">
                  <c:v>1.2521879628382804E-2</c:v>
                </c:pt>
                <c:pt idx="19">
                  <c:v>5.7757092198581494E-2</c:v>
                </c:pt>
                <c:pt idx="20">
                  <c:v>1.4708963667602548E-2</c:v>
                </c:pt>
                <c:pt idx="21">
                  <c:v>6.0708680928389658E-3</c:v>
                </c:pt>
                <c:pt idx="22">
                  <c:v>-6.6951274578219255E-2</c:v>
                </c:pt>
                <c:pt idx="23">
                  <c:v>-5.5433347998240512E-3</c:v>
                </c:pt>
                <c:pt idx="24">
                  <c:v>-1.3050787471243996E-2</c:v>
                </c:pt>
                <c:pt idx="25">
                  <c:v>-3.9894213097852904E-2</c:v>
                </c:pt>
                <c:pt idx="26">
                  <c:v>-5.7939212848405641E-2</c:v>
                </c:pt>
                <c:pt idx="27">
                  <c:v>2.4928139557934381E-2</c:v>
                </c:pt>
                <c:pt idx="28">
                  <c:v>6.3198104540399314E-2</c:v>
                </c:pt>
                <c:pt idx="29">
                  <c:v>-0.14080407494997271</c:v>
                </c:pt>
                <c:pt idx="30">
                  <c:v>3.879949184840159E-2</c:v>
                </c:pt>
                <c:pt idx="31">
                  <c:v>-2.3031847133758054E-2</c:v>
                </c:pt>
                <c:pt idx="32">
                  <c:v>5.0122568194857386E-2</c:v>
                </c:pt>
                <c:pt idx="33">
                  <c:v>-7.5146518327207645E-2</c:v>
                </c:pt>
                <c:pt idx="34">
                  <c:v>-8.6461521937598595E-3</c:v>
                </c:pt>
                <c:pt idx="35">
                  <c:v>-6.9880823401949899E-3</c:v>
                </c:pt>
                <c:pt idx="36">
                  <c:v>-5.3734111614205382E-2</c:v>
                </c:pt>
              </c:numCache>
            </c:numRef>
          </c:xVal>
          <c:yVal>
            <c:numRef>
              <c:f>Regression!$K$5:$K$41</c:f>
              <c:numCache>
                <c:formatCode>0.000</c:formatCode>
                <c:ptCount val="37"/>
                <c:pt idx="0">
                  <c:v>0.10393043530080193</c:v>
                </c:pt>
                <c:pt idx="1">
                  <c:v>-5.8957113737460931E-2</c:v>
                </c:pt>
                <c:pt idx="2">
                  <c:v>-6.9241268868404093E-3</c:v>
                </c:pt>
                <c:pt idx="3">
                  <c:v>-4.2705269643659061E-2</c:v>
                </c:pt>
                <c:pt idx="4">
                  <c:v>-0.25036983374250377</c:v>
                </c:pt>
                <c:pt idx="5">
                  <c:v>0.66323780744022964</c:v>
                </c:pt>
                <c:pt idx="6">
                  <c:v>-0.11637618657385596</c:v>
                </c:pt>
                <c:pt idx="7">
                  <c:v>5.0528040044585332E-2</c:v>
                </c:pt>
                <c:pt idx="8">
                  <c:v>-2.1097128906451545E-2</c:v>
                </c:pt>
                <c:pt idx="9">
                  <c:v>-0.25749329425970879</c:v>
                </c:pt>
                <c:pt idx="10">
                  <c:v>7.9289529913389556E-2</c:v>
                </c:pt>
                <c:pt idx="11">
                  <c:v>0.33265812499437519</c:v>
                </c:pt>
                <c:pt idx="12">
                  <c:v>2.9281411005274816E-2</c:v>
                </c:pt>
                <c:pt idx="13">
                  <c:v>-0.17936610180831958</c:v>
                </c:pt>
                <c:pt idx="14">
                  <c:v>0.58406360682636849</c:v>
                </c:pt>
                <c:pt idx="15">
                  <c:v>-0.18170273587621311</c:v>
                </c:pt>
                <c:pt idx="16">
                  <c:v>-7.7590583371730637E-2</c:v>
                </c:pt>
                <c:pt idx="17">
                  <c:v>8.7593473742407779E-2</c:v>
                </c:pt>
                <c:pt idx="18">
                  <c:v>2.1305452425935067E-2</c:v>
                </c:pt>
                <c:pt idx="19">
                  <c:v>-1.0187880706739372E-2</c:v>
                </c:pt>
                <c:pt idx="20">
                  <c:v>4.7947269572554019E-2</c:v>
                </c:pt>
                <c:pt idx="21">
                  <c:v>-0.12258805848992438</c:v>
                </c:pt>
                <c:pt idx="22">
                  <c:v>-2.2983745142390877E-4</c:v>
                </c:pt>
                <c:pt idx="23">
                  <c:v>-0.23648207659127229</c:v>
                </c:pt>
                <c:pt idx="24">
                  <c:v>0.13933049640149453</c:v>
                </c:pt>
                <c:pt idx="25">
                  <c:v>0.18625213969056742</c:v>
                </c:pt>
                <c:pt idx="26">
                  <c:v>-0.26006943355814405</c:v>
                </c:pt>
                <c:pt idx="27">
                  <c:v>1.7437669185611515E-2</c:v>
                </c:pt>
                <c:pt idx="28">
                  <c:v>0.27655002460393652</c:v>
                </c:pt>
                <c:pt idx="29">
                  <c:v>-7.8127037849688996E-2</c:v>
                </c:pt>
                <c:pt idx="30">
                  <c:v>1.2554811791146703E-2</c:v>
                </c:pt>
                <c:pt idx="31">
                  <c:v>-7.9940589796515082E-2</c:v>
                </c:pt>
                <c:pt idx="32">
                  <c:v>0.1747554557754607</c:v>
                </c:pt>
                <c:pt idx="33">
                  <c:v>-1.0627787007399969E-2</c:v>
                </c:pt>
                <c:pt idx="34">
                  <c:v>3.2021158684922391E-2</c:v>
                </c:pt>
                <c:pt idx="35">
                  <c:v>-0.38495320596732974</c:v>
                </c:pt>
                <c:pt idx="36">
                  <c:v>0.37266918896627765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A-4559-9AAE-B48DED7A0395}"/>
            </c:ext>
          </c:extLst>
        </c:ser>
        <c:ser>
          <c:idx val="1"/>
          <c:order val="1"/>
          <c:tx>
            <c:v>Predicted Loadings</c:v>
          </c:tx>
          <c:spPr>
            <a:ln w="19050">
              <a:noFill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Regression!$I$5:$I$41</c:f>
              <c:numCache>
                <c:formatCode>0.000</c:formatCode>
                <c:ptCount val="37"/>
                <c:pt idx="0">
                  <c:v>5.5915424101686595E-2</c:v>
                </c:pt>
                <c:pt idx="1">
                  <c:v>1.6551883789571287E-2</c:v>
                </c:pt>
                <c:pt idx="2">
                  <c:v>3.1938514090520842E-2</c:v>
                </c:pt>
                <c:pt idx="3">
                  <c:v>2.1847070506454846E-2</c:v>
                </c:pt>
                <c:pt idx="4">
                  <c:v>2.6670985854659213E-2</c:v>
                </c:pt>
                <c:pt idx="5">
                  <c:v>-1.4671855279764334E-2</c:v>
                </c:pt>
                <c:pt idx="6">
                  <c:v>5.1288893632918775E-2</c:v>
                </c:pt>
                <c:pt idx="7">
                  <c:v>0.19844654279622298</c:v>
                </c:pt>
                <c:pt idx="8">
                  <c:v>-4.8333121531749068E-2</c:v>
                </c:pt>
                <c:pt idx="9">
                  <c:v>-3.6811181340692611E-2</c:v>
                </c:pt>
                <c:pt idx="10">
                  <c:v>0.10670548546605674</c:v>
                </c:pt>
                <c:pt idx="11">
                  <c:v>-0.12673292132954739</c:v>
                </c:pt>
                <c:pt idx="12">
                  <c:v>-1.7835795916415598E-2</c:v>
                </c:pt>
                <c:pt idx="13">
                  <c:v>0</c:v>
                </c:pt>
                <c:pt idx="14">
                  <c:v>0</c:v>
                </c:pt>
                <c:pt idx="15">
                  <c:v>3.1752771880160457E-2</c:v>
                </c:pt>
                <c:pt idx="16">
                  <c:v>3.3565026522772934E-2</c:v>
                </c:pt>
                <c:pt idx="17">
                  <c:v>-1.4202282983806769E-2</c:v>
                </c:pt>
                <c:pt idx="18">
                  <c:v>1.2521879628382804E-2</c:v>
                </c:pt>
                <c:pt idx="19">
                  <c:v>5.7757092198581494E-2</c:v>
                </c:pt>
                <c:pt idx="20">
                  <c:v>1.4708963667602548E-2</c:v>
                </c:pt>
                <c:pt idx="21">
                  <c:v>6.0708680928389658E-3</c:v>
                </c:pt>
                <c:pt idx="22">
                  <c:v>-6.6951274578219255E-2</c:v>
                </c:pt>
                <c:pt idx="23">
                  <c:v>-5.5433347998240512E-3</c:v>
                </c:pt>
                <c:pt idx="24">
                  <c:v>-1.3050787471243996E-2</c:v>
                </c:pt>
                <c:pt idx="25">
                  <c:v>-3.9894213097852904E-2</c:v>
                </c:pt>
                <c:pt idx="26">
                  <c:v>-5.7939212848405641E-2</c:v>
                </c:pt>
                <c:pt idx="27">
                  <c:v>2.4928139557934381E-2</c:v>
                </c:pt>
                <c:pt idx="28">
                  <c:v>6.3198104540399314E-2</c:v>
                </c:pt>
                <c:pt idx="29">
                  <c:v>-0.14080407494997271</c:v>
                </c:pt>
                <c:pt idx="30">
                  <c:v>3.879949184840159E-2</c:v>
                </c:pt>
                <c:pt idx="31">
                  <c:v>-2.3031847133758054E-2</c:v>
                </c:pt>
                <c:pt idx="32">
                  <c:v>5.0122568194857386E-2</c:v>
                </c:pt>
                <c:pt idx="33">
                  <c:v>-7.5146518327207645E-2</c:v>
                </c:pt>
                <c:pt idx="34">
                  <c:v>-8.6461521937598595E-3</c:v>
                </c:pt>
                <c:pt idx="35">
                  <c:v>-6.9880823401949899E-3</c:v>
                </c:pt>
                <c:pt idx="36">
                  <c:v>-5.3734111614205382E-2</c:v>
                </c:pt>
              </c:numCache>
            </c:numRef>
          </c:xVal>
          <c:yVal>
            <c:numRef>
              <c:f>Regression!$O$30:$O$66</c:f>
              <c:numCache>
                <c:formatCode>General</c:formatCode>
                <c:ptCount val="37"/>
                <c:pt idx="0">
                  <c:v>-1.0433457992844081E-2</c:v>
                </c:pt>
                <c:pt idx="1">
                  <c:v>1.715325445849834E-2</c:v>
                </c:pt>
                <c:pt idx="2">
                  <c:v>-6.6770822303759119E-3</c:v>
                </c:pt>
                <c:pt idx="3">
                  <c:v>1.4808691001796827E-2</c:v>
                </c:pt>
                <c:pt idx="4">
                  <c:v>9.2947533219058485E-3</c:v>
                </c:pt>
                <c:pt idx="5">
                  <c:v>4.0808375165151484E-2</c:v>
                </c:pt>
                <c:pt idx="6">
                  <c:v>8.4930175144594978E-3</c:v>
                </c:pt>
                <c:pt idx="7">
                  <c:v>-1.2807243632727871E-2</c:v>
                </c:pt>
                <c:pt idx="8">
                  <c:v>9.2344857792369894E-2</c:v>
                </c:pt>
                <c:pt idx="9">
                  <c:v>5.5178006643215776E-3</c:v>
                </c:pt>
                <c:pt idx="10">
                  <c:v>-6.9842679569577376E-2</c:v>
                </c:pt>
                <c:pt idx="11">
                  <c:v>8.344692350462915E-2</c:v>
                </c:pt>
                <c:pt idx="12">
                  <c:v>1.5372294046833088E-2</c:v>
                </c:pt>
                <c:pt idx="13">
                  <c:v>-1.6993855904031567E-2</c:v>
                </c:pt>
                <c:pt idx="14">
                  <c:v>-2.7108732509445847E-2</c:v>
                </c:pt>
                <c:pt idx="15">
                  <c:v>-1.8678851953781727E-2</c:v>
                </c:pt>
                <c:pt idx="16">
                  <c:v>2.4376748398884936E-2</c:v>
                </c:pt>
                <c:pt idx="17">
                  <c:v>8.7045720532484636E-3</c:v>
                </c:pt>
                <c:pt idx="18">
                  <c:v>1.2492786545174842E-2</c:v>
                </c:pt>
                <c:pt idx="19">
                  <c:v>-2.9471211146103043E-4</c:v>
                </c:pt>
                <c:pt idx="20">
                  <c:v>-1.3916235598831808E-2</c:v>
                </c:pt>
                <c:pt idx="21">
                  <c:v>7.2377642832238076E-2</c:v>
                </c:pt>
                <c:pt idx="22">
                  <c:v>2.0955995118183003E-2</c:v>
                </c:pt>
                <c:pt idx="23">
                  <c:v>3.6463698351712016E-2</c:v>
                </c:pt>
                <c:pt idx="24">
                  <c:v>0.1090523334066065</c:v>
                </c:pt>
                <c:pt idx="25">
                  <c:v>3.3554856333220029E-2</c:v>
                </c:pt>
                <c:pt idx="26">
                  <c:v>2.4111572704573286E-2</c:v>
                </c:pt>
                <c:pt idx="27">
                  <c:v>2.7480775207282737E-3</c:v>
                </c:pt>
                <c:pt idx="28">
                  <c:v>0.1321063720623521</c:v>
                </c:pt>
                <c:pt idx="29">
                  <c:v>7.9943610058950017E-3</c:v>
                </c:pt>
                <c:pt idx="30">
                  <c:v>2.1715841426719572E-2</c:v>
                </c:pt>
                <c:pt idx="31">
                  <c:v>-1.2688440726377329E-2</c:v>
                </c:pt>
                <c:pt idx="32">
                  <c:v>8.5502639320949606E-2</c:v>
                </c:pt>
                <c:pt idx="33">
                  <c:v>4.6355863968592169E-2</c:v>
                </c:pt>
                <c:pt idx="34">
                  <c:v>2.5911697683429939E-2</c:v>
                </c:pt>
                <c:pt idx="35">
                  <c:v>3.8380078837906714E-2</c:v>
                </c:pt>
                <c:pt idx="36">
                  <c:v>3.5014001329231971E-2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A-4559-9AAE-B48DED7A0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28304"/>
        <c:axId val="786603760"/>
      </c:scatterChart>
      <c:valAx>
        <c:axId val="78662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Brent futures (LCOc1)</a:t>
                </a:r>
              </a:p>
            </c:rich>
          </c:tx>
          <c:layout>
            <c:manualLayout>
              <c:xMode val="edge"/>
              <c:yMode val="edge"/>
              <c:x val="0.38338801296140601"/>
              <c:y val="0.8834206879595896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86603760"/>
        <c:crosses val="autoZero"/>
        <c:crossBetween val="midCat"/>
      </c:valAx>
      <c:valAx>
        <c:axId val="786603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Urals loadings</a:t>
                </a:r>
              </a:p>
            </c:rich>
          </c:tx>
          <c:layout>
            <c:manualLayout>
              <c:xMode val="edge"/>
              <c:yMode val="edge"/>
              <c:x val="1.4284942995203859E-2"/>
              <c:y val="0.38238699306393525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8662830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5.7448357012375321E-2"/>
          <c:y val="0.92900097010276994"/>
          <c:w val="0.72788561045253963"/>
          <c:h val="6.0543740640575758E-2"/>
        </c:manualLayout>
      </c:layout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200" b="1" i="0" baseline="0">
                <a:effectLst/>
              </a:rPr>
              <a:t>Regression % USD index vs % change in Urals loading</a:t>
            </a:r>
            <a:endParaRPr lang="en-GB" sz="12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Weekly data (2022), Data: Refinitiv Eikon, Petrologistics</a:t>
            </a:r>
            <a:endParaRPr lang="en-GB" sz="10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87549997898816E-2"/>
          <c:y val="0.18174574702704491"/>
          <c:w val="0.69229219072995873"/>
          <c:h val="0.73696485452194205"/>
        </c:manualLayout>
      </c:layout>
      <c:scatterChart>
        <c:scatterStyle val="lineMarker"/>
        <c:varyColors val="0"/>
        <c:ser>
          <c:idx val="0"/>
          <c:order val="0"/>
          <c:tx>
            <c:v>Loadings</c:v>
          </c:tx>
          <c:spPr>
            <a:ln w="19050">
              <a:noFill/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2356268588029608"/>
                  <c:y val="-9.0227189624512247E-2"/>
                </c:manualLayout>
              </c:layout>
              <c:numFmt formatCode="General" sourceLinked="0"/>
            </c:trendlineLbl>
          </c:trendline>
          <c:xVal>
            <c:numRef>
              <c:f>Regression!$J$5:$J$41</c:f>
              <c:numCache>
                <c:formatCode>0.000</c:formatCode>
                <c:ptCount val="37"/>
                <c:pt idx="0">
                  <c:v>-6.0784876889736772E-3</c:v>
                </c:pt>
                <c:pt idx="1">
                  <c:v>5.0701146949261311E-3</c:v>
                </c:pt>
                <c:pt idx="2">
                  <c:v>1.6529357644697207E-2</c:v>
                </c:pt>
                <c:pt idx="3">
                  <c:v>-1.7890752758950468E-2</c:v>
                </c:pt>
                <c:pt idx="4">
                  <c:v>5.5084590452352256E-3</c:v>
                </c:pt>
                <c:pt idx="5">
                  <c:v>9.061037020063889E-4</c:v>
                </c:pt>
                <c:pt idx="6">
                  <c:v>4.864597695169115E-3</c:v>
                </c:pt>
                <c:pt idx="7">
                  <c:v>2.0539505022263649E-2</c:v>
                </c:pt>
                <c:pt idx="8">
                  <c:v>5.7481469455675782E-3</c:v>
                </c:pt>
                <c:pt idx="9">
                  <c:v>-9.2766343825665398E-3</c:v>
                </c:pt>
                <c:pt idx="10">
                  <c:v>6.0946736523745937E-3</c:v>
                </c:pt>
                <c:pt idx="11">
                  <c:v>-2.6771526027592474E-3</c:v>
                </c:pt>
                <c:pt idx="12">
                  <c:v>1.3233943441129714E-2</c:v>
                </c:pt>
                <c:pt idx="13">
                  <c:v>6.7759431481844157E-3</c:v>
                </c:pt>
                <c:pt idx="14">
                  <c:v>6.2179774163060308E-3</c:v>
                </c:pt>
                <c:pt idx="15">
                  <c:v>2.0614989123986405E-2</c:v>
                </c:pt>
                <c:pt idx="16">
                  <c:v>3.8265923952531811E-3</c:v>
                </c:pt>
                <c:pt idx="17">
                  <c:v>8.0100366724571437E-3</c:v>
                </c:pt>
                <c:pt idx="18">
                  <c:v>-1.3642891335567175E-2</c:v>
                </c:pt>
                <c:pt idx="19">
                  <c:v>-1.3055083717544269E-2</c:v>
                </c:pt>
                <c:pt idx="20">
                  <c:v>4.76986624704967E-3</c:v>
                </c:pt>
                <c:pt idx="21">
                  <c:v>1.9869818430969355E-2</c:v>
                </c:pt>
                <c:pt idx="22">
                  <c:v>4.078890541772795E-3</c:v>
                </c:pt>
                <c:pt idx="23">
                  <c:v>-4.7792009176065298E-3</c:v>
                </c:pt>
                <c:pt idx="24">
                  <c:v>9.3641951594314321E-3</c:v>
                </c:pt>
                <c:pt idx="25">
                  <c:v>1.7317664969789259E-2</c:v>
                </c:pt>
                <c:pt idx="26">
                  <c:v>1.0148248608707888E-2</c:v>
                </c:pt>
                <c:pt idx="27">
                  <c:v>-1.3379629629629575E-2</c:v>
                </c:pt>
                <c:pt idx="28">
                  <c:v>-6.381680822110658E-3</c:v>
                </c:pt>
                <c:pt idx="29">
                  <c:v>6.3754427390789736E-3</c:v>
                </c:pt>
                <c:pt idx="30">
                  <c:v>-8.3059596433598948E-3</c:v>
                </c:pt>
                <c:pt idx="31">
                  <c:v>2.3328443666303711E-2</c:v>
                </c:pt>
                <c:pt idx="32">
                  <c:v>6.4274484416906308E-3</c:v>
                </c:pt>
                <c:pt idx="33">
                  <c:v>7.3512520101080003E-3</c:v>
                </c:pt>
                <c:pt idx="34">
                  <c:v>-5.7012542759407037E-3</c:v>
                </c:pt>
                <c:pt idx="35">
                  <c:v>5.8256880733944527E-3</c:v>
                </c:pt>
                <c:pt idx="36">
                  <c:v>3.0783964974688827E-2</c:v>
                </c:pt>
              </c:numCache>
            </c:numRef>
          </c:xVal>
          <c:yVal>
            <c:numRef>
              <c:f>Regression!$K$5:$K$41</c:f>
              <c:numCache>
                <c:formatCode>0.000</c:formatCode>
                <c:ptCount val="37"/>
                <c:pt idx="0">
                  <c:v>0.10393043530080193</c:v>
                </c:pt>
                <c:pt idx="1">
                  <c:v>-5.8957113737460931E-2</c:v>
                </c:pt>
                <c:pt idx="2">
                  <c:v>-6.9241268868404093E-3</c:v>
                </c:pt>
                <c:pt idx="3">
                  <c:v>-4.2705269643659061E-2</c:v>
                </c:pt>
                <c:pt idx="4">
                  <c:v>-0.25036983374250377</c:v>
                </c:pt>
                <c:pt idx="5">
                  <c:v>0.66323780744022964</c:v>
                </c:pt>
                <c:pt idx="6">
                  <c:v>-0.11637618657385596</c:v>
                </c:pt>
                <c:pt idx="7">
                  <c:v>5.0528040044585332E-2</c:v>
                </c:pt>
                <c:pt idx="8">
                  <c:v>-2.1097128906451545E-2</c:v>
                </c:pt>
                <c:pt idx="9">
                  <c:v>-0.25749329425970879</c:v>
                </c:pt>
                <c:pt idx="10">
                  <c:v>7.9289529913389556E-2</c:v>
                </c:pt>
                <c:pt idx="11">
                  <c:v>0.33265812499437519</c:v>
                </c:pt>
                <c:pt idx="12">
                  <c:v>2.9281411005274816E-2</c:v>
                </c:pt>
                <c:pt idx="13">
                  <c:v>-0.17936610180831958</c:v>
                </c:pt>
                <c:pt idx="14">
                  <c:v>0.58406360682636849</c:v>
                </c:pt>
                <c:pt idx="15">
                  <c:v>-0.18170273587621311</c:v>
                </c:pt>
                <c:pt idx="16">
                  <c:v>-7.7590583371730637E-2</c:v>
                </c:pt>
                <c:pt idx="17">
                  <c:v>8.7593473742407779E-2</c:v>
                </c:pt>
                <c:pt idx="18">
                  <c:v>2.1305452425935067E-2</c:v>
                </c:pt>
                <c:pt idx="19">
                  <c:v>-1.0187880706739372E-2</c:v>
                </c:pt>
                <c:pt idx="20">
                  <c:v>4.7947269572554019E-2</c:v>
                </c:pt>
                <c:pt idx="21">
                  <c:v>-0.12258805848992438</c:v>
                </c:pt>
                <c:pt idx="22">
                  <c:v>-2.2983745142390877E-4</c:v>
                </c:pt>
                <c:pt idx="23">
                  <c:v>-0.23648207659127229</c:v>
                </c:pt>
                <c:pt idx="24">
                  <c:v>0.13933049640149453</c:v>
                </c:pt>
                <c:pt idx="25">
                  <c:v>0.18625213969056742</c:v>
                </c:pt>
                <c:pt idx="26">
                  <c:v>-0.26006943355814405</c:v>
                </c:pt>
                <c:pt idx="27">
                  <c:v>1.7437669185611515E-2</c:v>
                </c:pt>
                <c:pt idx="28">
                  <c:v>0.27655002460393652</c:v>
                </c:pt>
                <c:pt idx="29">
                  <c:v>-7.8127037849688996E-2</c:v>
                </c:pt>
                <c:pt idx="30">
                  <c:v>1.2554811791146703E-2</c:v>
                </c:pt>
                <c:pt idx="31">
                  <c:v>-7.9940589796515082E-2</c:v>
                </c:pt>
                <c:pt idx="32">
                  <c:v>0.1747554557754607</c:v>
                </c:pt>
                <c:pt idx="33">
                  <c:v>-1.0627787007399969E-2</c:v>
                </c:pt>
                <c:pt idx="34">
                  <c:v>3.2021158684922391E-2</c:v>
                </c:pt>
                <c:pt idx="35">
                  <c:v>-0.38495320596732974</c:v>
                </c:pt>
                <c:pt idx="36">
                  <c:v>0.37266918896627765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B6-4F11-B9A9-4E1659E01FA1}"/>
            </c:ext>
          </c:extLst>
        </c:ser>
        <c:ser>
          <c:idx val="1"/>
          <c:order val="1"/>
          <c:tx>
            <c:v>Predicted Loadings</c:v>
          </c:tx>
          <c:spPr>
            <a:ln w="19050">
              <a:noFill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Regression!$J$5:$J$41</c:f>
              <c:numCache>
                <c:formatCode>0.000</c:formatCode>
                <c:ptCount val="37"/>
                <c:pt idx="0">
                  <c:v>-6.0784876889736772E-3</c:v>
                </c:pt>
                <c:pt idx="1">
                  <c:v>5.0701146949261311E-3</c:v>
                </c:pt>
                <c:pt idx="2">
                  <c:v>1.6529357644697207E-2</c:v>
                </c:pt>
                <c:pt idx="3">
                  <c:v>-1.7890752758950468E-2</c:v>
                </c:pt>
                <c:pt idx="4">
                  <c:v>5.5084590452352256E-3</c:v>
                </c:pt>
                <c:pt idx="5">
                  <c:v>9.061037020063889E-4</c:v>
                </c:pt>
                <c:pt idx="6">
                  <c:v>4.864597695169115E-3</c:v>
                </c:pt>
                <c:pt idx="7">
                  <c:v>2.0539505022263649E-2</c:v>
                </c:pt>
                <c:pt idx="8">
                  <c:v>5.7481469455675782E-3</c:v>
                </c:pt>
                <c:pt idx="9">
                  <c:v>-9.2766343825665398E-3</c:v>
                </c:pt>
                <c:pt idx="10">
                  <c:v>6.0946736523745937E-3</c:v>
                </c:pt>
                <c:pt idx="11">
                  <c:v>-2.6771526027592474E-3</c:v>
                </c:pt>
                <c:pt idx="12">
                  <c:v>1.3233943441129714E-2</c:v>
                </c:pt>
                <c:pt idx="13">
                  <c:v>6.7759431481844157E-3</c:v>
                </c:pt>
                <c:pt idx="14">
                  <c:v>6.2179774163060308E-3</c:v>
                </c:pt>
                <c:pt idx="15">
                  <c:v>2.0614989123986405E-2</c:v>
                </c:pt>
                <c:pt idx="16">
                  <c:v>3.8265923952531811E-3</c:v>
                </c:pt>
                <c:pt idx="17">
                  <c:v>8.0100366724571437E-3</c:v>
                </c:pt>
                <c:pt idx="18">
                  <c:v>-1.3642891335567175E-2</c:v>
                </c:pt>
                <c:pt idx="19">
                  <c:v>-1.3055083717544269E-2</c:v>
                </c:pt>
                <c:pt idx="20">
                  <c:v>4.76986624704967E-3</c:v>
                </c:pt>
                <c:pt idx="21">
                  <c:v>1.9869818430969355E-2</c:v>
                </c:pt>
                <c:pt idx="22">
                  <c:v>4.078890541772795E-3</c:v>
                </c:pt>
                <c:pt idx="23">
                  <c:v>-4.7792009176065298E-3</c:v>
                </c:pt>
                <c:pt idx="24">
                  <c:v>9.3641951594314321E-3</c:v>
                </c:pt>
                <c:pt idx="25">
                  <c:v>1.7317664969789259E-2</c:v>
                </c:pt>
                <c:pt idx="26">
                  <c:v>1.0148248608707888E-2</c:v>
                </c:pt>
                <c:pt idx="27">
                  <c:v>-1.3379629629629575E-2</c:v>
                </c:pt>
                <c:pt idx="28">
                  <c:v>-6.381680822110658E-3</c:v>
                </c:pt>
                <c:pt idx="29">
                  <c:v>6.3754427390789736E-3</c:v>
                </c:pt>
                <c:pt idx="30">
                  <c:v>-8.3059596433598948E-3</c:v>
                </c:pt>
                <c:pt idx="31">
                  <c:v>2.3328443666303711E-2</c:v>
                </c:pt>
                <c:pt idx="32">
                  <c:v>6.4274484416906308E-3</c:v>
                </c:pt>
                <c:pt idx="33">
                  <c:v>7.3512520101080003E-3</c:v>
                </c:pt>
                <c:pt idx="34">
                  <c:v>-5.7012542759407037E-3</c:v>
                </c:pt>
                <c:pt idx="35">
                  <c:v>5.8256880733944527E-3</c:v>
                </c:pt>
                <c:pt idx="36">
                  <c:v>3.0783964974688827E-2</c:v>
                </c:pt>
              </c:numCache>
            </c:numRef>
          </c:xVal>
          <c:yVal>
            <c:numRef>
              <c:f>Regression!$O$30:$O$66</c:f>
              <c:numCache>
                <c:formatCode>General</c:formatCode>
                <c:ptCount val="37"/>
                <c:pt idx="0">
                  <c:v>-1.0433457992844081E-2</c:v>
                </c:pt>
                <c:pt idx="1">
                  <c:v>1.715325445849834E-2</c:v>
                </c:pt>
                <c:pt idx="2">
                  <c:v>-6.6770822303759119E-3</c:v>
                </c:pt>
                <c:pt idx="3">
                  <c:v>1.4808691001796827E-2</c:v>
                </c:pt>
                <c:pt idx="4">
                  <c:v>9.2947533219058485E-3</c:v>
                </c:pt>
                <c:pt idx="5">
                  <c:v>4.0808375165151484E-2</c:v>
                </c:pt>
                <c:pt idx="6">
                  <c:v>8.4930175144594978E-3</c:v>
                </c:pt>
                <c:pt idx="7">
                  <c:v>-1.2807243632727871E-2</c:v>
                </c:pt>
                <c:pt idx="8">
                  <c:v>9.2344857792369894E-2</c:v>
                </c:pt>
                <c:pt idx="9">
                  <c:v>5.5178006643215776E-3</c:v>
                </c:pt>
                <c:pt idx="10">
                  <c:v>-6.9842679569577376E-2</c:v>
                </c:pt>
                <c:pt idx="11">
                  <c:v>8.344692350462915E-2</c:v>
                </c:pt>
                <c:pt idx="12">
                  <c:v>1.5372294046833088E-2</c:v>
                </c:pt>
                <c:pt idx="13">
                  <c:v>-1.6993855904031567E-2</c:v>
                </c:pt>
                <c:pt idx="14">
                  <c:v>-2.7108732509445847E-2</c:v>
                </c:pt>
                <c:pt idx="15">
                  <c:v>-1.8678851953781727E-2</c:v>
                </c:pt>
                <c:pt idx="16">
                  <c:v>2.4376748398884936E-2</c:v>
                </c:pt>
                <c:pt idx="17">
                  <c:v>8.7045720532484636E-3</c:v>
                </c:pt>
                <c:pt idx="18">
                  <c:v>1.2492786545174842E-2</c:v>
                </c:pt>
                <c:pt idx="19">
                  <c:v>-2.9471211146103043E-4</c:v>
                </c:pt>
                <c:pt idx="20">
                  <c:v>-1.3916235598831808E-2</c:v>
                </c:pt>
                <c:pt idx="21">
                  <c:v>7.2377642832238076E-2</c:v>
                </c:pt>
                <c:pt idx="22">
                  <c:v>2.0955995118183003E-2</c:v>
                </c:pt>
                <c:pt idx="23">
                  <c:v>3.6463698351712016E-2</c:v>
                </c:pt>
                <c:pt idx="24">
                  <c:v>0.1090523334066065</c:v>
                </c:pt>
                <c:pt idx="25">
                  <c:v>3.3554856333220029E-2</c:v>
                </c:pt>
                <c:pt idx="26">
                  <c:v>2.4111572704573286E-2</c:v>
                </c:pt>
                <c:pt idx="27">
                  <c:v>2.7480775207282737E-3</c:v>
                </c:pt>
                <c:pt idx="28">
                  <c:v>0.1321063720623521</c:v>
                </c:pt>
                <c:pt idx="29">
                  <c:v>7.9943610058950017E-3</c:v>
                </c:pt>
                <c:pt idx="30">
                  <c:v>2.1715841426719572E-2</c:v>
                </c:pt>
                <c:pt idx="31">
                  <c:v>-1.2688440726377329E-2</c:v>
                </c:pt>
                <c:pt idx="32">
                  <c:v>8.5502639320949606E-2</c:v>
                </c:pt>
                <c:pt idx="33">
                  <c:v>4.6355863968592169E-2</c:v>
                </c:pt>
                <c:pt idx="34">
                  <c:v>2.5911697683429939E-2</c:v>
                </c:pt>
                <c:pt idx="35">
                  <c:v>3.8380078837906714E-2</c:v>
                </c:pt>
                <c:pt idx="36">
                  <c:v>3.5014001329231971E-2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B6-4F11-B9A9-4E1659E01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28304"/>
        <c:axId val="786616656"/>
      </c:scatterChart>
      <c:valAx>
        <c:axId val="78662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USD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4958476511456774"/>
              <c:y val="0.88776521435262634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86616656"/>
        <c:crosses val="autoZero"/>
        <c:crossBetween val="midCat"/>
      </c:valAx>
      <c:valAx>
        <c:axId val="786616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Urals loadings</a:t>
                </a:r>
              </a:p>
            </c:rich>
          </c:tx>
          <c:layout>
            <c:manualLayout>
              <c:xMode val="edge"/>
              <c:yMode val="edge"/>
              <c:x val="1.1360587460931049E-2"/>
              <c:y val="0.4494366241905976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8662830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7.2564163592949427E-2"/>
          <c:y val="0.94403072869329441"/>
          <c:w val="0.78698132295821766"/>
          <c:h val="5.5969271306705551E-2"/>
        </c:manualLayout>
      </c:layout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200" b="1" i="0" baseline="0">
                <a:effectLst/>
              </a:rPr>
              <a:t>Regression % Brent futures (Ticker: </a:t>
            </a:r>
            <a:r>
              <a:rPr lang="en-GB" sz="1200" b="1" i="0" u="none" strike="noStrike" baseline="0">
                <a:effectLst/>
              </a:rPr>
              <a:t>LCOc1</a:t>
            </a:r>
            <a:r>
              <a:rPr lang="en-GB" sz="1200" b="1" i="0" baseline="0">
                <a:effectLst/>
              </a:rPr>
              <a:t>) vs % change in Urals loading</a:t>
            </a:r>
            <a:endParaRPr lang="en-GB" sz="12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Weekly data (2017- 2021), Data: Refinitiv Eikon, Petrologistics</a:t>
            </a:r>
            <a:endParaRPr lang="en-GB" sz="10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1145970227224057E-2"/>
          <c:y val="0.19925045221035645"/>
          <c:w val="0.56639921295650253"/>
          <c:h val="0.71479308473154701"/>
        </c:manualLayout>
      </c:layout>
      <c:scatterChart>
        <c:scatterStyle val="lineMarker"/>
        <c:varyColors val="0"/>
        <c:ser>
          <c:idx val="0"/>
          <c:order val="0"/>
          <c:tx>
            <c:v>Urals loading</c:v>
          </c:tx>
          <c:spPr>
            <a:ln w="19050">
              <a:noFill/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6434571225318273"/>
                  <c:y val="-6.2560168226664881E-2"/>
                </c:manualLayout>
              </c:layout>
              <c:numFmt formatCode="General" sourceLinked="0"/>
            </c:trendlineLbl>
          </c:trendline>
          <c:xVal>
            <c:numRef>
              <c:f>Filtered_data_expand_reg!$B$4:$B$241</c:f>
              <c:numCache>
                <c:formatCode>0.000</c:formatCode>
                <c:ptCount val="238"/>
                <c:pt idx="0">
                  <c:v>-2.0440528634361188E-2</c:v>
                </c:pt>
                <c:pt idx="1">
                  <c:v>-1.7988846914912537E-3</c:v>
                </c:pt>
                <c:pt idx="2">
                  <c:v>-5.4063795278425086E-4</c:v>
                </c:pt>
                <c:pt idx="3">
                  <c:v>2.2719076812116823E-2</c:v>
                </c:pt>
                <c:pt idx="4">
                  <c:v>-1.939351198871675E-3</c:v>
                </c:pt>
                <c:pt idx="5">
                  <c:v>-1.5721603956898034E-2</c:v>
                </c:pt>
                <c:pt idx="6">
                  <c:v>5.7430007178751463E-3</c:v>
                </c:pt>
                <c:pt idx="7">
                  <c:v>-5.8886509635973638E-3</c:v>
                </c:pt>
                <c:pt idx="8">
                  <c:v>-7.9698438341410882E-2</c:v>
                </c:pt>
                <c:pt idx="9">
                  <c:v>7.8018334308562753E-3</c:v>
                </c:pt>
                <c:pt idx="10">
                  <c:v>-1.3547513063673411E-2</c:v>
                </c:pt>
                <c:pt idx="11">
                  <c:v>3.472630959387879E-2</c:v>
                </c:pt>
                <c:pt idx="12">
                  <c:v>4.778156996587013E-2</c:v>
                </c:pt>
                <c:pt idx="13">
                  <c:v>-6.4521926671459395E-2</c:v>
                </c:pt>
                <c:pt idx="14">
                  <c:v>-6.5321805955811385E-3</c:v>
                </c:pt>
                <c:pt idx="15">
                  <c:v>-4.3318507058596079E-2</c:v>
                </c:pt>
                <c:pt idx="16">
                  <c:v>2.9108550636749442E-2</c:v>
                </c:pt>
                <c:pt idx="17">
                  <c:v>5.6766843449224114E-2</c:v>
                </c:pt>
                <c:pt idx="18">
                  <c:v>-2.9182156133829018E-2</c:v>
                </c:pt>
                <c:pt idx="19">
                  <c:v>-4.3653072946582272E-2</c:v>
                </c:pt>
                <c:pt idx="20">
                  <c:v>-3.3033033033033177E-2</c:v>
                </c:pt>
                <c:pt idx="21">
                  <c:v>-2.0910973084886098E-2</c:v>
                </c:pt>
                <c:pt idx="22">
                  <c:v>-3.552548107422282E-2</c:v>
                </c:pt>
                <c:pt idx="23">
                  <c:v>5.0208287656215767E-2</c:v>
                </c:pt>
                <c:pt idx="24">
                  <c:v>-2.1294363256784909E-2</c:v>
                </c:pt>
                <c:pt idx="25">
                  <c:v>4.7141638225256077E-2</c:v>
                </c:pt>
                <c:pt idx="26">
                  <c:v>-2.3630067223467166E-2</c:v>
                </c:pt>
                <c:pt idx="27">
                  <c:v>9.805967035259755E-2</c:v>
                </c:pt>
                <c:pt idx="28">
                  <c:v>-3.2300969029070981E-3</c:v>
                </c:pt>
                <c:pt idx="29">
                  <c:v>-7.815478459778924E-3</c:v>
                </c:pt>
                <c:pt idx="30">
                  <c:v>1.5561959654178725E-2</c:v>
                </c:pt>
                <c:pt idx="31">
                  <c:v>-9.6481271282633507E-3</c:v>
                </c:pt>
                <c:pt idx="32">
                  <c:v>6.4947468958929111E-3</c:v>
                </c:pt>
                <c:pt idx="33">
                  <c:v>2.0117669386980452E-2</c:v>
                </c:pt>
                <c:pt idx="34">
                  <c:v>3.218604651162793E-2</c:v>
                </c:pt>
                <c:pt idx="35">
                  <c:v>2.5594808940158753E-2</c:v>
                </c:pt>
                <c:pt idx="36">
                  <c:v>1.0720562390158062E-2</c:v>
                </c:pt>
                <c:pt idx="37">
                  <c:v>-3.1820552947313452E-2</c:v>
                </c:pt>
                <c:pt idx="38">
                  <c:v>2.7298850574712707E-2</c:v>
                </c:pt>
                <c:pt idx="39">
                  <c:v>5.7692307692307709E-2</c:v>
                </c:pt>
                <c:pt idx="40">
                  <c:v>2.6280991735537329E-2</c:v>
                </c:pt>
                <c:pt idx="41">
                  <c:v>2.4319536157191068E-2</c:v>
                </c:pt>
                <c:pt idx="42">
                  <c:v>-1.3836477987421381E-2</c:v>
                </c:pt>
                <c:pt idx="43">
                  <c:v>1.6103316326530503E-2</c:v>
                </c:pt>
                <c:pt idx="44">
                  <c:v>-4.7073591715041108E-4</c:v>
                </c:pt>
                <c:pt idx="45">
                  <c:v>-4.8665620094191508E-3</c:v>
                </c:pt>
                <c:pt idx="46">
                  <c:v>-2.2085502445180483E-3</c:v>
                </c:pt>
                <c:pt idx="47">
                  <c:v>2.8300395256917188E-2</c:v>
                </c:pt>
                <c:pt idx="48">
                  <c:v>2.4292742927429334E-2</c:v>
                </c:pt>
                <c:pt idx="49">
                  <c:v>1.7562293605523971E-2</c:v>
                </c:pt>
                <c:pt idx="50">
                  <c:v>2.9797905295766203E-2</c:v>
                </c:pt>
                <c:pt idx="51">
                  <c:v>-1.6616530583010936E-2</c:v>
                </c:pt>
                <c:pt idx="52">
                  <c:v>2.3889293517844079E-2</c:v>
                </c:pt>
                <c:pt idx="53">
                  <c:v>-2.9307156067719498E-2</c:v>
                </c:pt>
                <c:pt idx="54">
                  <c:v>-8.0902828667741455E-2</c:v>
                </c:pt>
                <c:pt idx="55">
                  <c:v>3.4922659862860916E-2</c:v>
                </c:pt>
                <c:pt idx="56">
                  <c:v>-3.7853949329359038E-2</c:v>
                </c:pt>
                <c:pt idx="57">
                  <c:v>1.4405204460966381E-2</c:v>
                </c:pt>
                <c:pt idx="58">
                  <c:v>7.6347533974652215E-3</c:v>
                </c:pt>
                <c:pt idx="59">
                  <c:v>6.6222154871950378E-2</c:v>
                </c:pt>
                <c:pt idx="60">
                  <c:v>-4.6852748504699449E-2</c:v>
                </c:pt>
                <c:pt idx="61">
                  <c:v>8.5014193933960813E-2</c:v>
                </c:pt>
                <c:pt idx="62">
                  <c:v>1.500963921784626E-2</c:v>
                </c:pt>
                <c:pt idx="63">
                  <c:v>9.9036765703433005E-3</c:v>
                </c:pt>
                <c:pt idx="64">
                  <c:v>7.522837184309461E-3</c:v>
                </c:pt>
                <c:pt idx="65">
                  <c:v>2.9066666666666796E-2</c:v>
                </c:pt>
                <c:pt idx="66">
                  <c:v>1.9823788546255328E-2</c:v>
                </c:pt>
                <c:pt idx="67">
                  <c:v>-3.0237580993520474E-2</c:v>
                </c:pt>
                <c:pt idx="68">
                  <c:v>4.9783833355168117E-3</c:v>
                </c:pt>
                <c:pt idx="69">
                  <c:v>-4.8233607091642261E-3</c:v>
                </c:pt>
                <c:pt idx="70">
                  <c:v>-4.3751637411579836E-2</c:v>
                </c:pt>
                <c:pt idx="71">
                  <c:v>3.4657534246575361E-2</c:v>
                </c:pt>
                <c:pt idx="72">
                  <c:v>5.1502714153316642E-2</c:v>
                </c:pt>
                <c:pt idx="73">
                  <c:v>-2.6819440946864725E-2</c:v>
                </c:pt>
                <c:pt idx="74">
                  <c:v>-3.0663733988873121E-2</c:v>
                </c:pt>
                <c:pt idx="75">
                  <c:v>-2.562733582487986E-2</c:v>
                </c:pt>
                <c:pt idx="76">
                  <c:v>1.9041095890411031E-2</c:v>
                </c:pt>
                <c:pt idx="77">
                  <c:v>-1.9223013845947157E-2</c:v>
                </c:pt>
                <c:pt idx="78">
                  <c:v>-1.5076754385964786E-2</c:v>
                </c:pt>
                <c:pt idx="79">
                  <c:v>4.967993320345121E-2</c:v>
                </c:pt>
                <c:pt idx="80">
                  <c:v>2.6779795837200027E-2</c:v>
                </c:pt>
                <c:pt idx="81">
                  <c:v>-4.5190445448677341E-3</c:v>
                </c:pt>
                <c:pt idx="82">
                  <c:v>1.2970168612191912E-2</c:v>
                </c:pt>
                <c:pt idx="83">
                  <c:v>8.5787451984635776E-3</c:v>
                </c:pt>
                <c:pt idx="84">
                  <c:v>4.9765139012314386E-2</c:v>
                </c:pt>
                <c:pt idx="85">
                  <c:v>1.7172572257830421E-2</c:v>
                </c:pt>
                <c:pt idx="86">
                  <c:v>-4.173106646058744E-2</c:v>
                </c:pt>
                <c:pt idx="87">
                  <c:v>-7.1960297766748837E-3</c:v>
                </c:pt>
                <c:pt idx="88">
                  <c:v>-2.8617845538615239E-2</c:v>
                </c:pt>
                <c:pt idx="89">
                  <c:v>-0.10099060851666031</c:v>
                </c:pt>
                <c:pt idx="90">
                  <c:v>-3.9782484258729323E-2</c:v>
                </c:pt>
                <c:pt idx="91">
                  <c:v>-0.11788375558867359</c:v>
                </c:pt>
                <c:pt idx="92">
                  <c:v>-8.6163203243790898E-3</c:v>
                </c:pt>
                <c:pt idx="93">
                  <c:v>4.6353101567825572E-2</c:v>
                </c:pt>
                <c:pt idx="94">
                  <c:v>-1.8729641693811083E-2</c:v>
                </c:pt>
                <c:pt idx="95">
                  <c:v>-0.11203319502074693</c:v>
                </c:pt>
                <c:pt idx="96">
                  <c:v>7.3271028037383168E-2</c:v>
                </c:pt>
                <c:pt idx="97">
                  <c:v>5.5207244862417237E-2</c:v>
                </c:pt>
                <c:pt idx="98">
                  <c:v>3.2843703581449057E-2</c:v>
                </c:pt>
                <c:pt idx="99">
                  <c:v>-1.7098114413550691E-2</c:v>
                </c:pt>
                <c:pt idx="100">
                  <c:v>2.2597951552593143E-2</c:v>
                </c:pt>
                <c:pt idx="101">
                  <c:v>-1.4785373608902974E-2</c:v>
                </c:pt>
                <c:pt idx="102">
                  <c:v>4.6958205583346624E-2</c:v>
                </c:pt>
                <c:pt idx="103">
                  <c:v>3.128853267570908E-2</c:v>
                </c:pt>
                <c:pt idx="104">
                  <c:v>-2.8545807801524381E-2</c:v>
                </c:pt>
                <c:pt idx="105">
                  <c:v>1.8386263485792309E-2</c:v>
                </c:pt>
                <c:pt idx="106">
                  <c:v>8.9525514771704451E-4</c:v>
                </c:pt>
                <c:pt idx="107">
                  <c:v>1.9528920691711527E-2</c:v>
                </c:pt>
                <c:pt idx="108">
                  <c:v>3.0560023395233227E-2</c:v>
                </c:pt>
                <c:pt idx="109">
                  <c:v>1.5181611804767181E-2</c:v>
                </c:pt>
                <c:pt idx="110">
                  <c:v>-6.110262463546845E-3</c:v>
                </c:pt>
                <c:pt idx="111">
                  <c:v>-1.1038144473941469E-2</c:v>
                </c:pt>
                <c:pt idx="112">
                  <c:v>1.9638315908448778E-2</c:v>
                </c:pt>
                <c:pt idx="113">
                  <c:v>-0.10669253152279345</c:v>
                </c:pt>
                <c:pt idx="114">
                  <c:v>-1.9078641228478355E-2</c:v>
                </c:pt>
                <c:pt idx="115">
                  <c:v>-1.8975332068311257E-2</c:v>
                </c:pt>
                <c:pt idx="116">
                  <c:v>5.3352675693101093E-2</c:v>
                </c:pt>
                <c:pt idx="117">
                  <c:v>1.7750573833205996E-2</c:v>
                </c:pt>
                <c:pt idx="118">
                  <c:v>-3.1123139377537301E-2</c:v>
                </c:pt>
                <c:pt idx="119">
                  <c:v>3.9726877715704489E-2</c:v>
                </c:pt>
                <c:pt idx="120">
                  <c:v>-6.4925373134328335E-2</c:v>
                </c:pt>
                <c:pt idx="121">
                  <c:v>1.1811652035115694E-2</c:v>
                </c:pt>
                <c:pt idx="122">
                  <c:v>-3.5021296734500718E-2</c:v>
                </c:pt>
                <c:pt idx="123">
                  <c:v>-4.4956678110184778E-2</c:v>
                </c:pt>
                <c:pt idx="124">
                  <c:v>3.765833618623704E-3</c:v>
                </c:pt>
                <c:pt idx="125">
                  <c:v>5.1159618008185248E-3</c:v>
                </c:pt>
                <c:pt idx="126">
                  <c:v>2.5279945707499252E-2</c:v>
                </c:pt>
                <c:pt idx="127">
                  <c:v>2.2339897401952635E-2</c:v>
                </c:pt>
                <c:pt idx="128">
                  <c:v>-2.476529621236645E-2</c:v>
                </c:pt>
                <c:pt idx="129">
                  <c:v>7.5020746887966672E-2</c:v>
                </c:pt>
                <c:pt idx="130">
                  <c:v>-4.415624517523542E-2</c:v>
                </c:pt>
                <c:pt idx="131">
                  <c:v>-5.6210628331448853E-2</c:v>
                </c:pt>
                <c:pt idx="132">
                  <c:v>3.8507615950710283E-2</c:v>
                </c:pt>
                <c:pt idx="133">
                  <c:v>-2.2742254449571564E-2</c:v>
                </c:pt>
                <c:pt idx="134">
                  <c:v>4.6037099494097955E-2</c:v>
                </c:pt>
                <c:pt idx="135">
                  <c:v>-7.738191197807609E-3</c:v>
                </c:pt>
                <c:pt idx="136">
                  <c:v>1.7221770917952961E-2</c:v>
                </c:pt>
                <c:pt idx="137">
                  <c:v>1.3416387158600829E-2</c:v>
                </c:pt>
                <c:pt idx="138">
                  <c:v>7.8802206461769941E-4</c:v>
                </c:pt>
                <c:pt idx="139">
                  <c:v>5.4755944931164091E-3</c:v>
                </c:pt>
                <c:pt idx="140">
                  <c:v>1.1202738447176008E-2</c:v>
                </c:pt>
                <c:pt idx="141">
                  <c:v>1.7079550700107804E-2</c:v>
                </c:pt>
                <c:pt idx="142">
                  <c:v>3.1770045385779211E-2</c:v>
                </c:pt>
                <c:pt idx="143">
                  <c:v>7.3313782991202281E-3</c:v>
                </c:pt>
                <c:pt idx="144">
                  <c:v>-5.2401746724890952E-2</c:v>
                </c:pt>
                <c:pt idx="145">
                  <c:v>3.8402457757296116E-3</c:v>
                </c:pt>
                <c:pt idx="146">
                  <c:v>-7.3297628156082539E-2</c:v>
                </c:pt>
                <c:pt idx="147">
                  <c:v>-3.9134742404227318E-2</c:v>
                </c:pt>
                <c:pt idx="148">
                  <c:v>-6.341295755284404E-2</c:v>
                </c:pt>
                <c:pt idx="149">
                  <c:v>5.0275229357798157E-2</c:v>
                </c:pt>
                <c:pt idx="150">
                  <c:v>1.9566736547868668E-2</c:v>
                </c:pt>
                <c:pt idx="151">
                  <c:v>-0.13468128855380401</c:v>
                </c:pt>
                <c:pt idx="152">
                  <c:v>-9.9009900990098987E-2</c:v>
                </c:pt>
                <c:pt idx="153">
                  <c:v>-0.23142857142857143</c:v>
                </c:pt>
                <c:pt idx="154">
                  <c:v>-0.2219044895624821</c:v>
                </c:pt>
                <c:pt idx="155">
                  <c:v>-7.7545020213156901E-2</c:v>
                </c:pt>
                <c:pt idx="156">
                  <c:v>0.38047808764940227</c:v>
                </c:pt>
                <c:pt idx="157">
                  <c:v>-0.11801436153605993</c:v>
                </c:pt>
                <c:pt idx="158">
                  <c:v>-0.22831858407079642</c:v>
                </c:pt>
                <c:pt idx="159">
                  <c:v>6.0920285158781784E-2</c:v>
                </c:pt>
                <c:pt idx="160">
                  <c:v>7.2693952351863045E-2</c:v>
                </c:pt>
                <c:pt idx="161">
                  <c:v>5.4100227790434552E-3</c:v>
                </c:pt>
                <c:pt idx="162">
                  <c:v>0.19144718210138767</c:v>
                </c:pt>
                <c:pt idx="163">
                  <c:v>7.3770491803278659E-2</c:v>
                </c:pt>
                <c:pt idx="164">
                  <c:v>-2.9818702290076327E-2</c:v>
                </c:pt>
                <c:pt idx="165">
                  <c:v>9.1164095371669696E-3</c:v>
                </c:pt>
                <c:pt idx="166">
                  <c:v>-1.6214964095436768E-3</c:v>
                </c:pt>
                <c:pt idx="167">
                  <c:v>7.4245939675174899E-3</c:v>
                </c:pt>
                <c:pt idx="168">
                  <c:v>-2.3030861354215171E-3</c:v>
                </c:pt>
                <c:pt idx="169">
                  <c:v>3.1625115420129246E-2</c:v>
                </c:pt>
                <c:pt idx="170">
                  <c:v>5.8178563437012443E-3</c:v>
                </c:pt>
                <c:pt idx="171">
                  <c:v>-1.5350389321468372E-2</c:v>
                </c:pt>
                <c:pt idx="172">
                  <c:v>1.8526886579304014E-2</c:v>
                </c:pt>
                <c:pt idx="173">
                  <c:v>-6.0559006211180044E-2</c:v>
                </c:pt>
                <c:pt idx="174">
                  <c:v>-5.7378984651711873E-2</c:v>
                </c:pt>
                <c:pt idx="175">
                  <c:v>7.8156312625250468E-2</c:v>
                </c:pt>
                <c:pt idx="176">
                  <c:v>-2.9042750929368033E-2</c:v>
                </c:pt>
                <c:pt idx="177">
                  <c:v>-6.9155300311079193E-2</c:v>
                </c:pt>
                <c:pt idx="178">
                  <c:v>0.1007712082262211</c:v>
                </c:pt>
                <c:pt idx="179">
                  <c:v>7.0060719290054863E-4</c:v>
                </c:pt>
                <c:pt idx="180">
                  <c:v>-2.9404900816802804E-2</c:v>
                </c:pt>
                <c:pt idx="181">
                  <c:v>-9.9543159413320481E-2</c:v>
                </c:pt>
                <c:pt idx="182">
                  <c:v>5.7409879839786404E-2</c:v>
                </c:pt>
                <c:pt idx="183">
                  <c:v>7.6515151515151647E-2</c:v>
                </c:pt>
                <c:pt idx="184">
                  <c:v>6.1224489795918435E-2</c:v>
                </c:pt>
                <c:pt idx="185">
                  <c:v>6.6976127320955037E-2</c:v>
                </c:pt>
                <c:pt idx="186">
                  <c:v>1.5744769007665083E-2</c:v>
                </c:pt>
                <c:pt idx="187">
                  <c:v>2.1211503161329803E-2</c:v>
                </c:pt>
                <c:pt idx="188">
                  <c:v>4.5935690033952481E-2</c:v>
                </c:pt>
                <c:pt idx="189">
                  <c:v>8.9713843774168689E-2</c:v>
                </c:pt>
                <c:pt idx="190">
                  <c:v>-2.4130589070262554E-2</c:v>
                </c:pt>
                <c:pt idx="191">
                  <c:v>3.8181818181819427E-3</c:v>
                </c:pt>
                <c:pt idx="192">
                  <c:v>1.2316609309907633E-2</c:v>
                </c:pt>
                <c:pt idx="193">
                  <c:v>6.6738235820361425E-2</c:v>
                </c:pt>
                <c:pt idx="194">
                  <c:v>5.1828245555182839E-2</c:v>
                </c:pt>
                <c:pt idx="195">
                  <c:v>2.0730346037314273E-3</c:v>
                </c:pt>
                <c:pt idx="196">
                  <c:v>4.9809038828771302E-2</c:v>
                </c:pt>
                <c:pt idx="197">
                  <c:v>5.6389267849022318E-2</c:v>
                </c:pt>
                <c:pt idx="198">
                  <c:v>-6.6006600660064585E-3</c:v>
                </c:pt>
                <c:pt idx="199">
                  <c:v>-6.8900765564061994E-2</c:v>
                </c:pt>
                <c:pt idx="200">
                  <c:v>-2.0167545764814276E-3</c:v>
                </c:pt>
                <c:pt idx="201">
                  <c:v>-2.4748646558391485E-2</c:v>
                </c:pt>
                <c:pt idx="202">
                  <c:v>5.8207771609833481E-2</c:v>
                </c:pt>
                <c:pt idx="203">
                  <c:v>-8.9928057553956275E-3</c:v>
                </c:pt>
                <c:pt idx="204">
                  <c:v>1.7241379310344751E-2</c:v>
                </c:pt>
                <c:pt idx="205">
                  <c:v>1.5016354445435587E-2</c:v>
                </c:pt>
                <c:pt idx="206">
                  <c:v>8.2027244763440699E-3</c:v>
                </c:pt>
                <c:pt idx="207">
                  <c:v>-3.0509952055789546E-2</c:v>
                </c:pt>
                <c:pt idx="208">
                  <c:v>4.3758429491982609E-2</c:v>
                </c:pt>
                <c:pt idx="209">
                  <c:v>3.1155778894472075E-2</c:v>
                </c:pt>
                <c:pt idx="210">
                  <c:v>1.1138958507379781E-2</c:v>
                </c:pt>
                <c:pt idx="211">
                  <c:v>8.2621867254200065E-3</c:v>
                </c:pt>
                <c:pt idx="212">
                  <c:v>3.8104343075662461E-2</c:v>
                </c:pt>
                <c:pt idx="213">
                  <c:v>-5.2624654650712532E-4</c:v>
                </c:pt>
                <c:pt idx="214">
                  <c:v>-5.1336053705409723E-3</c:v>
                </c:pt>
                <c:pt idx="215">
                  <c:v>-3.0166710770044958E-2</c:v>
                </c:pt>
                <c:pt idx="216">
                  <c:v>1.2141882673942783E-2</c:v>
                </c:pt>
                <c:pt idx="217">
                  <c:v>2.8844857797546863E-2</c:v>
                </c:pt>
                <c:pt idx="218">
                  <c:v>-7.6509891261627216E-2</c:v>
                </c:pt>
                <c:pt idx="219">
                  <c:v>-3.4047382607461651E-3</c:v>
                </c:pt>
                <c:pt idx="220">
                  <c:v>-7.4733096085409234E-2</c:v>
                </c:pt>
                <c:pt idx="221">
                  <c:v>0.11923076923076925</c:v>
                </c:pt>
                <c:pt idx="222">
                  <c:v>-3.711340206185465E-3</c:v>
                </c:pt>
                <c:pt idx="223">
                  <c:v>6.4845474613686171E-3</c:v>
                </c:pt>
                <c:pt idx="224">
                  <c:v>3.4818368745716199E-2</c:v>
                </c:pt>
                <c:pt idx="225">
                  <c:v>3.4176712147304222E-2</c:v>
                </c:pt>
                <c:pt idx="226">
                  <c:v>1.4986550531574272E-2</c:v>
                </c:pt>
                <c:pt idx="227">
                  <c:v>4.2150429076224238E-2</c:v>
                </c:pt>
                <c:pt idx="228">
                  <c:v>2.8336158876241191E-2</c:v>
                </c:pt>
                <c:pt idx="229">
                  <c:v>1.0009420631182264E-2</c:v>
                </c:pt>
                <c:pt idx="230">
                  <c:v>-1.6206132680424368E-2</c:v>
                </c:pt>
                <c:pt idx="231">
                  <c:v>-2.1687603697558622E-2</c:v>
                </c:pt>
                <c:pt idx="232">
                  <c:v>-7.2683222289521288E-3</c:v>
                </c:pt>
                <c:pt idx="233">
                  <c:v>-4.0146430750457651E-2</c:v>
                </c:pt>
                <c:pt idx="234">
                  <c:v>-7.33536740401729E-2</c:v>
                </c:pt>
                <c:pt idx="235">
                  <c:v>-3.7728083413362645E-2</c:v>
                </c:pt>
                <c:pt idx="236">
                  <c:v>7.3139435414884435E-2</c:v>
                </c:pt>
                <c:pt idx="237">
                  <c:v>-3.1885213232363374E-2</c:v>
                </c:pt>
              </c:numCache>
            </c:numRef>
          </c:xVal>
          <c:yVal>
            <c:numRef>
              <c:f>Filtered_data_expand_reg!$G$4:$G$241</c:f>
              <c:numCache>
                <c:formatCode>0.000</c:formatCode>
                <c:ptCount val="238"/>
                <c:pt idx="0">
                  <c:v>6.374236733922034E-2</c:v>
                </c:pt>
                <c:pt idx="1">
                  <c:v>-6.9577381799054261E-2</c:v>
                </c:pt>
                <c:pt idx="2">
                  <c:v>-3.2640243025142679E-2</c:v>
                </c:pt>
                <c:pt idx="3">
                  <c:v>0.15472414485550567</c:v>
                </c:pt>
                <c:pt idx="4">
                  <c:v>-4.1196487061209153E-2</c:v>
                </c:pt>
                <c:pt idx="5">
                  <c:v>0.17402808976503037</c:v>
                </c:pt>
                <c:pt idx="6">
                  <c:v>0.10639211379737912</c:v>
                </c:pt>
                <c:pt idx="7">
                  <c:v>-0.24107527078096325</c:v>
                </c:pt>
                <c:pt idx="8">
                  <c:v>-6.3629395628308716E-2</c:v>
                </c:pt>
                <c:pt idx="9">
                  <c:v>0.30493137389590363</c:v>
                </c:pt>
                <c:pt idx="10">
                  <c:v>-9.9694088146233595E-2</c:v>
                </c:pt>
                <c:pt idx="11">
                  <c:v>4.9202239693840744E-2</c:v>
                </c:pt>
                <c:pt idx="12">
                  <c:v>-5.7338704383473105E-2</c:v>
                </c:pt>
                <c:pt idx="13">
                  <c:v>-0.22401247205316632</c:v>
                </c:pt>
                <c:pt idx="14">
                  <c:v>7.6149285977955339E-2</c:v>
                </c:pt>
                <c:pt idx="15">
                  <c:v>-0.23985292129727365</c:v>
                </c:pt>
                <c:pt idx="16">
                  <c:v>0.27851441062209092</c:v>
                </c:pt>
                <c:pt idx="17">
                  <c:v>9.3209512366019931E-2</c:v>
                </c:pt>
                <c:pt idx="18">
                  <c:v>-0.13874585480202728</c:v>
                </c:pt>
                <c:pt idx="19">
                  <c:v>-0.24798440302572866</c:v>
                </c:pt>
                <c:pt idx="20">
                  <c:v>5.7908757271350586E-2</c:v>
                </c:pt>
                <c:pt idx="21">
                  <c:v>0.45176735480827146</c:v>
                </c:pt>
                <c:pt idx="22">
                  <c:v>-0.22900369271421805</c:v>
                </c:pt>
                <c:pt idx="23">
                  <c:v>-9.7515808844483409E-2</c:v>
                </c:pt>
                <c:pt idx="24">
                  <c:v>-6.3114629752217377E-2</c:v>
                </c:pt>
                <c:pt idx="25">
                  <c:v>0.14647427994777207</c:v>
                </c:pt>
                <c:pt idx="26">
                  <c:v>0.3100288529003139</c:v>
                </c:pt>
                <c:pt idx="27">
                  <c:v>-0.20024269284474439</c:v>
                </c:pt>
                <c:pt idx="28">
                  <c:v>-0.24233667381361212</c:v>
                </c:pt>
                <c:pt idx="29">
                  <c:v>0.50448198944331679</c:v>
                </c:pt>
                <c:pt idx="30">
                  <c:v>3.8922328603336886E-3</c:v>
                </c:pt>
                <c:pt idx="31">
                  <c:v>-0.14904448957568295</c:v>
                </c:pt>
                <c:pt idx="32">
                  <c:v>0.26265966133675001</c:v>
                </c:pt>
                <c:pt idx="33">
                  <c:v>-0.14457564942087564</c:v>
                </c:pt>
                <c:pt idx="34">
                  <c:v>-6.7014366600345099E-2</c:v>
                </c:pt>
                <c:pt idx="35">
                  <c:v>0.17082776682243761</c:v>
                </c:pt>
                <c:pt idx="36">
                  <c:v>-2.7218942531175738E-2</c:v>
                </c:pt>
                <c:pt idx="37">
                  <c:v>0.13198899319506019</c:v>
                </c:pt>
                <c:pt idx="38">
                  <c:v>-0.12574177936326447</c:v>
                </c:pt>
                <c:pt idx="39">
                  <c:v>4.9332950956061383E-2</c:v>
                </c:pt>
                <c:pt idx="40">
                  <c:v>-0.15981484600416374</c:v>
                </c:pt>
                <c:pt idx="41">
                  <c:v>-5.6147842941778436E-2</c:v>
                </c:pt>
                <c:pt idx="42">
                  <c:v>0.19138308523306824</c:v>
                </c:pt>
                <c:pt idx="43">
                  <c:v>-0.24145184682630827</c:v>
                </c:pt>
                <c:pt idx="44">
                  <c:v>0.1229370475707674</c:v>
                </c:pt>
                <c:pt idx="45">
                  <c:v>-0.26101682549056582</c:v>
                </c:pt>
                <c:pt idx="46">
                  <c:v>0.98023452515681675</c:v>
                </c:pt>
                <c:pt idx="47">
                  <c:v>-0.2052681539008735</c:v>
                </c:pt>
                <c:pt idx="48">
                  <c:v>-0.19380487155676407</c:v>
                </c:pt>
                <c:pt idx="49">
                  <c:v>-0.23526110652294241</c:v>
                </c:pt>
                <c:pt idx="50">
                  <c:v>0.571186628275824</c:v>
                </c:pt>
                <c:pt idx="51">
                  <c:v>-2.1841314117574839E-2</c:v>
                </c:pt>
                <c:pt idx="52">
                  <c:v>-3.1885734273278454E-2</c:v>
                </c:pt>
                <c:pt idx="53">
                  <c:v>-0.31856331377488967</c:v>
                </c:pt>
                <c:pt idx="54">
                  <c:v>0.77252748703919116</c:v>
                </c:pt>
                <c:pt idx="55">
                  <c:v>-0.29979769633962927</c:v>
                </c:pt>
                <c:pt idx="56">
                  <c:v>4.6875369765686292E-2</c:v>
                </c:pt>
                <c:pt idx="57">
                  <c:v>-7.6978487502075588E-2</c:v>
                </c:pt>
                <c:pt idx="58">
                  <c:v>0.10459623186338107</c:v>
                </c:pt>
                <c:pt idx="59">
                  <c:v>-0.16197111998287583</c:v>
                </c:pt>
                <c:pt idx="60">
                  <c:v>0.17592276827397102</c:v>
                </c:pt>
                <c:pt idx="61">
                  <c:v>2.9713359148964003E-3</c:v>
                </c:pt>
                <c:pt idx="62">
                  <c:v>-0.10049912375329528</c:v>
                </c:pt>
                <c:pt idx="63">
                  <c:v>-3.5688725445889968E-2</c:v>
                </c:pt>
                <c:pt idx="64">
                  <c:v>-7.7802021574578939E-3</c:v>
                </c:pt>
                <c:pt idx="65">
                  <c:v>0.16097403220942796</c:v>
                </c:pt>
                <c:pt idx="66">
                  <c:v>-0.19787309206896009</c:v>
                </c:pt>
                <c:pt idx="67">
                  <c:v>1.9355352019896799E-2</c:v>
                </c:pt>
                <c:pt idx="68">
                  <c:v>-0.11192309402989487</c:v>
                </c:pt>
                <c:pt idx="69">
                  <c:v>0.15210129199046984</c:v>
                </c:pt>
                <c:pt idx="70">
                  <c:v>7.4524472747127701E-2</c:v>
                </c:pt>
                <c:pt idx="71">
                  <c:v>-4.333299226294951E-2</c:v>
                </c:pt>
                <c:pt idx="72">
                  <c:v>-2.3167208987580734E-2</c:v>
                </c:pt>
                <c:pt idx="73">
                  <c:v>-0.28399246253862664</c:v>
                </c:pt>
                <c:pt idx="74">
                  <c:v>0.52122088225672569</c:v>
                </c:pt>
                <c:pt idx="75">
                  <c:v>0.13531640419056523</c:v>
                </c:pt>
                <c:pt idx="76">
                  <c:v>-0.30188694023977491</c:v>
                </c:pt>
                <c:pt idx="77">
                  <c:v>0.18820821502106599</c:v>
                </c:pt>
                <c:pt idx="78">
                  <c:v>0.22989020585949738</c:v>
                </c:pt>
                <c:pt idx="79">
                  <c:v>-0.30543889449578554</c:v>
                </c:pt>
                <c:pt idx="80">
                  <c:v>0.2106411502165082</c:v>
                </c:pt>
                <c:pt idx="81">
                  <c:v>-0.18221279163474247</c:v>
                </c:pt>
                <c:pt idx="82">
                  <c:v>0.3750862258202412</c:v>
                </c:pt>
                <c:pt idx="83">
                  <c:v>-0.16207685838676988</c:v>
                </c:pt>
                <c:pt idx="84">
                  <c:v>-3.6737840098323038E-2</c:v>
                </c:pt>
                <c:pt idx="85">
                  <c:v>0.32225971017738209</c:v>
                </c:pt>
                <c:pt idx="86">
                  <c:v>0.13976680745721293</c:v>
                </c:pt>
                <c:pt idx="87">
                  <c:v>-0.2292567437715366</c:v>
                </c:pt>
                <c:pt idx="88">
                  <c:v>1.936421676373512E-2</c:v>
                </c:pt>
                <c:pt idx="89">
                  <c:v>-0.14396578167221041</c:v>
                </c:pt>
                <c:pt idx="90">
                  <c:v>0.13570814408350862</c:v>
                </c:pt>
                <c:pt idx="91">
                  <c:v>-7.5796938434797068E-2</c:v>
                </c:pt>
                <c:pt idx="92">
                  <c:v>5.1302925101365249E-2</c:v>
                </c:pt>
                <c:pt idx="93">
                  <c:v>2.0450380442365468E-2</c:v>
                </c:pt>
                <c:pt idx="94">
                  <c:v>0.12357405356520146</c:v>
                </c:pt>
                <c:pt idx="95">
                  <c:v>-0.13856735727056535</c:v>
                </c:pt>
                <c:pt idx="96">
                  <c:v>-0.10140229785473709</c:v>
                </c:pt>
                <c:pt idx="97">
                  <c:v>0.10004878378052084</c:v>
                </c:pt>
                <c:pt idx="98">
                  <c:v>7.8954027795812953E-2</c:v>
                </c:pt>
                <c:pt idx="99">
                  <c:v>-4.2749482979626219E-2</c:v>
                </c:pt>
                <c:pt idx="100">
                  <c:v>-7.9253408692884331E-2</c:v>
                </c:pt>
                <c:pt idx="101">
                  <c:v>0.26218617699153968</c:v>
                </c:pt>
                <c:pt idx="102">
                  <c:v>-8.0203455804175872E-2</c:v>
                </c:pt>
                <c:pt idx="103">
                  <c:v>-6.4953879054860386E-2</c:v>
                </c:pt>
                <c:pt idx="104">
                  <c:v>-3.3779418371947423E-2</c:v>
                </c:pt>
                <c:pt idx="105">
                  <c:v>-8.3000521699690855E-2</c:v>
                </c:pt>
                <c:pt idx="106">
                  <c:v>7.0996017700668768E-2</c:v>
                </c:pt>
                <c:pt idx="107">
                  <c:v>-1.8296491552647454E-2</c:v>
                </c:pt>
                <c:pt idx="108">
                  <c:v>-9.1051454596139392E-2</c:v>
                </c:pt>
                <c:pt idx="109">
                  <c:v>0.22894042869599041</c:v>
                </c:pt>
                <c:pt idx="110">
                  <c:v>0.13512029983184148</c:v>
                </c:pt>
                <c:pt idx="111">
                  <c:v>1.7552677745436007E-4</c:v>
                </c:pt>
                <c:pt idx="112">
                  <c:v>-8.2941997315965077E-3</c:v>
                </c:pt>
                <c:pt idx="113">
                  <c:v>-8.6993846905893069E-2</c:v>
                </c:pt>
                <c:pt idx="114">
                  <c:v>0.15200424063636064</c:v>
                </c:pt>
                <c:pt idx="115">
                  <c:v>-9.0410564082143319E-2</c:v>
                </c:pt>
                <c:pt idx="116">
                  <c:v>-9.1737892267886978E-2</c:v>
                </c:pt>
                <c:pt idx="117">
                  <c:v>1.0626430781072393E-2</c:v>
                </c:pt>
                <c:pt idx="118">
                  <c:v>-0.12866217778739752</c:v>
                </c:pt>
                <c:pt idx="119">
                  <c:v>0.17167152146226439</c:v>
                </c:pt>
                <c:pt idx="120">
                  <c:v>-0.20496662895837781</c:v>
                </c:pt>
                <c:pt idx="121">
                  <c:v>9.7200944323923233E-2</c:v>
                </c:pt>
                <c:pt idx="122">
                  <c:v>-9.9841543634592633E-2</c:v>
                </c:pt>
                <c:pt idx="123">
                  <c:v>0.17810585780260713</c:v>
                </c:pt>
                <c:pt idx="124">
                  <c:v>-1.5384905906818735E-2</c:v>
                </c:pt>
                <c:pt idx="125">
                  <c:v>2.1315581318713805E-2</c:v>
                </c:pt>
                <c:pt idx="126">
                  <c:v>-0.12470528417839277</c:v>
                </c:pt>
                <c:pt idx="127">
                  <c:v>0.33388515544610309</c:v>
                </c:pt>
                <c:pt idx="128">
                  <c:v>-6.3704862887431268E-2</c:v>
                </c:pt>
                <c:pt idx="129">
                  <c:v>-2.7267071558835676E-2</c:v>
                </c:pt>
                <c:pt idx="130">
                  <c:v>-0.11947212288368558</c:v>
                </c:pt>
                <c:pt idx="131">
                  <c:v>0.36921913769444137</c:v>
                </c:pt>
                <c:pt idx="132">
                  <c:v>-0.16090851806287232</c:v>
                </c:pt>
                <c:pt idx="133">
                  <c:v>-6.1262112888136766E-2</c:v>
                </c:pt>
                <c:pt idx="134">
                  <c:v>-8.2613868940551671E-2</c:v>
                </c:pt>
                <c:pt idx="135">
                  <c:v>-0.21344681249678477</c:v>
                </c:pt>
                <c:pt idx="136">
                  <c:v>-0.19595751046838938</c:v>
                </c:pt>
                <c:pt idx="137">
                  <c:v>0.42397523043300001</c:v>
                </c:pt>
                <c:pt idx="138">
                  <c:v>1.1213134735983399E-2</c:v>
                </c:pt>
                <c:pt idx="139">
                  <c:v>-0.30785508973904385</c:v>
                </c:pt>
                <c:pt idx="140">
                  <c:v>0.79934665392376747</c:v>
                </c:pt>
                <c:pt idx="141">
                  <c:v>-4.0300951325289103E-2</c:v>
                </c:pt>
                <c:pt idx="142">
                  <c:v>-8.6339509966433581E-2</c:v>
                </c:pt>
                <c:pt idx="143">
                  <c:v>5.8919888530980291E-2</c:v>
                </c:pt>
                <c:pt idx="144">
                  <c:v>-1.1179306313778836E-2</c:v>
                </c:pt>
                <c:pt idx="145">
                  <c:v>7.7052693011860462E-2</c:v>
                </c:pt>
                <c:pt idx="146">
                  <c:v>-0.12246354273405269</c:v>
                </c:pt>
                <c:pt idx="147">
                  <c:v>0.23245678575069095</c:v>
                </c:pt>
                <c:pt idx="148">
                  <c:v>-0.16048107499426345</c:v>
                </c:pt>
                <c:pt idx="149">
                  <c:v>4.0961890488400599E-2</c:v>
                </c:pt>
                <c:pt idx="150">
                  <c:v>0.13713002912188021</c:v>
                </c:pt>
                <c:pt idx="151">
                  <c:v>-8.9098709966752399E-2</c:v>
                </c:pt>
                <c:pt idx="152">
                  <c:v>-0.33320311602852482</c:v>
                </c:pt>
                <c:pt idx="153">
                  <c:v>0.25052017507228919</c:v>
                </c:pt>
                <c:pt idx="154">
                  <c:v>0.39878840883088129</c:v>
                </c:pt>
                <c:pt idx="155">
                  <c:v>-8.917158971879191E-2</c:v>
                </c:pt>
                <c:pt idx="156">
                  <c:v>-2.9455673524724779E-2</c:v>
                </c:pt>
                <c:pt idx="157">
                  <c:v>8.9038971766921549E-2</c:v>
                </c:pt>
                <c:pt idx="158">
                  <c:v>-0.48792706919901851</c:v>
                </c:pt>
                <c:pt idx="159">
                  <c:v>7.0192180053583852E-2</c:v>
                </c:pt>
                <c:pt idx="160">
                  <c:v>-0.21882214064068484</c:v>
                </c:pt>
                <c:pt idx="161">
                  <c:v>-0.21339142555966262</c:v>
                </c:pt>
                <c:pt idx="162">
                  <c:v>0.10375203794584431</c:v>
                </c:pt>
                <c:pt idx="163">
                  <c:v>-2.8949017574536273E-2</c:v>
                </c:pt>
                <c:pt idx="164">
                  <c:v>-0.50030284492936028</c:v>
                </c:pt>
                <c:pt idx="165">
                  <c:v>0.70946388753580147</c:v>
                </c:pt>
                <c:pt idx="166">
                  <c:v>0.13431810043201331</c:v>
                </c:pt>
                <c:pt idx="167">
                  <c:v>-0.2054424500551808</c:v>
                </c:pt>
                <c:pt idx="168">
                  <c:v>0.49306364352395837</c:v>
                </c:pt>
                <c:pt idx="169">
                  <c:v>-7.6975107640149587E-2</c:v>
                </c:pt>
                <c:pt idx="170">
                  <c:v>0.35269108902383239</c:v>
                </c:pt>
                <c:pt idx="171">
                  <c:v>-0.13069486526202068</c:v>
                </c:pt>
                <c:pt idx="172">
                  <c:v>-0.41664531513663172</c:v>
                </c:pt>
                <c:pt idx="173">
                  <c:v>0.45869365516186389</c:v>
                </c:pt>
                <c:pt idx="174">
                  <c:v>0.23636136238232974</c:v>
                </c:pt>
                <c:pt idx="175">
                  <c:v>-3.1505321445701728E-4</c:v>
                </c:pt>
                <c:pt idx="176">
                  <c:v>-0.12825527266265224</c:v>
                </c:pt>
                <c:pt idx="177">
                  <c:v>-0.16341464868075273</c:v>
                </c:pt>
                <c:pt idx="178">
                  <c:v>0.39165432979630221</c:v>
                </c:pt>
                <c:pt idx="179">
                  <c:v>6.4527838207053101E-2</c:v>
                </c:pt>
                <c:pt idx="180">
                  <c:v>-0.25124514885039406</c:v>
                </c:pt>
                <c:pt idx="181">
                  <c:v>-0.27509061474342311</c:v>
                </c:pt>
                <c:pt idx="182">
                  <c:v>0.48599880115219318</c:v>
                </c:pt>
                <c:pt idx="183">
                  <c:v>0.18003491830165608</c:v>
                </c:pt>
                <c:pt idx="184">
                  <c:v>-0.18327564460939505</c:v>
                </c:pt>
                <c:pt idx="185">
                  <c:v>-0.52745793193492618</c:v>
                </c:pt>
                <c:pt idx="186">
                  <c:v>1.1674211883655401</c:v>
                </c:pt>
                <c:pt idx="187">
                  <c:v>7.0343636212653937E-2</c:v>
                </c:pt>
                <c:pt idx="188">
                  <c:v>0.16723069058085738</c:v>
                </c:pt>
                <c:pt idx="189">
                  <c:v>-7.4838578731454719E-2</c:v>
                </c:pt>
                <c:pt idx="190">
                  <c:v>6.558618033040764E-2</c:v>
                </c:pt>
                <c:pt idx="191">
                  <c:v>-0.15494853220101901</c:v>
                </c:pt>
                <c:pt idx="192">
                  <c:v>3.4483507954985448E-4</c:v>
                </c:pt>
                <c:pt idx="193">
                  <c:v>0.14548290185257962</c:v>
                </c:pt>
                <c:pt idx="194">
                  <c:v>0.15507735347746587</c:v>
                </c:pt>
                <c:pt idx="195">
                  <c:v>-0.23025037395852643</c:v>
                </c:pt>
                <c:pt idx="196">
                  <c:v>-0.16056651348639661</c:v>
                </c:pt>
                <c:pt idx="197">
                  <c:v>-7.9462809137384571E-2</c:v>
                </c:pt>
                <c:pt idx="198">
                  <c:v>0.57285704709366292</c:v>
                </c:pt>
                <c:pt idx="199">
                  <c:v>2.3599990894461742E-2</c:v>
                </c:pt>
                <c:pt idx="200">
                  <c:v>-0.25415744490874215</c:v>
                </c:pt>
                <c:pt idx="201">
                  <c:v>0.33068977042551495</c:v>
                </c:pt>
                <c:pt idx="202">
                  <c:v>0.11862837552326733</c:v>
                </c:pt>
                <c:pt idx="203">
                  <c:v>-0.21629284093084478</c:v>
                </c:pt>
                <c:pt idx="204">
                  <c:v>-7.1437323116267493E-2</c:v>
                </c:pt>
                <c:pt idx="205">
                  <c:v>0.12593123862379763</c:v>
                </c:pt>
                <c:pt idx="206">
                  <c:v>0.1596756141949347</c:v>
                </c:pt>
                <c:pt idx="207">
                  <c:v>-0.17519687731870626</c:v>
                </c:pt>
                <c:pt idx="208">
                  <c:v>0.24609664825537547</c:v>
                </c:pt>
                <c:pt idx="209">
                  <c:v>-0.17435116731601275</c:v>
                </c:pt>
                <c:pt idx="210">
                  <c:v>0.41670339135074896</c:v>
                </c:pt>
                <c:pt idx="211">
                  <c:v>-6.8414070850575381E-2</c:v>
                </c:pt>
                <c:pt idx="212">
                  <c:v>-0.5187378485726053</c:v>
                </c:pt>
                <c:pt idx="213">
                  <c:v>0.26006395575701835</c:v>
                </c:pt>
                <c:pt idx="214">
                  <c:v>0.28202575091432758</c:v>
                </c:pt>
                <c:pt idx="215">
                  <c:v>1.6404287454819144E-2</c:v>
                </c:pt>
                <c:pt idx="216">
                  <c:v>-0.30712818936500585</c:v>
                </c:pt>
                <c:pt idx="217">
                  <c:v>7.5806655841493154E-2</c:v>
                </c:pt>
                <c:pt idx="218">
                  <c:v>0.39191389726641157</c:v>
                </c:pt>
                <c:pt idx="219">
                  <c:v>-8.8771280806000386E-2</c:v>
                </c:pt>
                <c:pt idx="220">
                  <c:v>0.1422901122757918</c:v>
                </c:pt>
                <c:pt idx="221">
                  <c:v>-0.4082142379698277</c:v>
                </c:pt>
                <c:pt idx="222">
                  <c:v>0.27188660040926615</c:v>
                </c:pt>
                <c:pt idx="223">
                  <c:v>0.60581736294816957</c:v>
                </c:pt>
                <c:pt idx="224">
                  <c:v>-0.22602437988642998</c:v>
                </c:pt>
                <c:pt idx="225">
                  <c:v>6.9797580133379444E-2</c:v>
                </c:pt>
                <c:pt idx="226">
                  <c:v>0.1368022427391471</c:v>
                </c:pt>
                <c:pt idx="227">
                  <c:v>-0.1334276238371267</c:v>
                </c:pt>
                <c:pt idx="228">
                  <c:v>0.20604073729449701</c:v>
                </c:pt>
                <c:pt idx="229">
                  <c:v>-0.11917404981914537</c:v>
                </c:pt>
                <c:pt idx="230">
                  <c:v>-0.30553802367495153</c:v>
                </c:pt>
                <c:pt idx="231">
                  <c:v>0.45688220932205614</c:v>
                </c:pt>
                <c:pt idx="232">
                  <c:v>-0.21878686095073174</c:v>
                </c:pt>
                <c:pt idx="233">
                  <c:v>0.11793600999234322</c:v>
                </c:pt>
                <c:pt idx="234">
                  <c:v>-0.36185127932269179</c:v>
                </c:pt>
                <c:pt idx="235">
                  <c:v>0.92052412478490875</c:v>
                </c:pt>
                <c:pt idx="236">
                  <c:v>-5.3619996842472539E-2</c:v>
                </c:pt>
                <c:pt idx="237">
                  <c:v>-0.25261086755876472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A-4775-88C5-72F760E17500}"/>
            </c:ext>
          </c:extLst>
        </c:ser>
        <c:ser>
          <c:idx val="1"/>
          <c:order val="1"/>
          <c:tx>
            <c:v>Predicted Urals loading</c:v>
          </c:tx>
          <c:spPr>
            <a:ln w="19050">
              <a:noFill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Filtered_data_expand_reg!$B$4:$B$241</c:f>
              <c:numCache>
                <c:formatCode>0.000</c:formatCode>
                <c:ptCount val="238"/>
                <c:pt idx="0">
                  <c:v>-2.0440528634361188E-2</c:v>
                </c:pt>
                <c:pt idx="1">
                  <c:v>-1.7988846914912537E-3</c:v>
                </c:pt>
                <c:pt idx="2">
                  <c:v>-5.4063795278425086E-4</c:v>
                </c:pt>
                <c:pt idx="3">
                  <c:v>2.2719076812116823E-2</c:v>
                </c:pt>
                <c:pt idx="4">
                  <c:v>-1.939351198871675E-3</c:v>
                </c:pt>
                <c:pt idx="5">
                  <c:v>-1.5721603956898034E-2</c:v>
                </c:pt>
                <c:pt idx="6">
                  <c:v>5.7430007178751463E-3</c:v>
                </c:pt>
                <c:pt idx="7">
                  <c:v>-5.8886509635973638E-3</c:v>
                </c:pt>
                <c:pt idx="8">
                  <c:v>-7.9698438341410882E-2</c:v>
                </c:pt>
                <c:pt idx="9">
                  <c:v>7.8018334308562753E-3</c:v>
                </c:pt>
                <c:pt idx="10">
                  <c:v>-1.3547513063673411E-2</c:v>
                </c:pt>
                <c:pt idx="11">
                  <c:v>3.472630959387879E-2</c:v>
                </c:pt>
                <c:pt idx="12">
                  <c:v>4.778156996587013E-2</c:v>
                </c:pt>
                <c:pt idx="13">
                  <c:v>-6.4521926671459395E-2</c:v>
                </c:pt>
                <c:pt idx="14">
                  <c:v>-6.5321805955811385E-3</c:v>
                </c:pt>
                <c:pt idx="15">
                  <c:v>-4.3318507058596079E-2</c:v>
                </c:pt>
                <c:pt idx="16">
                  <c:v>2.9108550636749442E-2</c:v>
                </c:pt>
                <c:pt idx="17">
                  <c:v>5.6766843449224114E-2</c:v>
                </c:pt>
                <c:pt idx="18">
                  <c:v>-2.9182156133829018E-2</c:v>
                </c:pt>
                <c:pt idx="19">
                  <c:v>-4.3653072946582272E-2</c:v>
                </c:pt>
                <c:pt idx="20">
                  <c:v>-3.3033033033033177E-2</c:v>
                </c:pt>
                <c:pt idx="21">
                  <c:v>-2.0910973084886098E-2</c:v>
                </c:pt>
                <c:pt idx="22">
                  <c:v>-3.552548107422282E-2</c:v>
                </c:pt>
                <c:pt idx="23">
                  <c:v>5.0208287656215767E-2</c:v>
                </c:pt>
                <c:pt idx="24">
                  <c:v>-2.1294363256784909E-2</c:v>
                </c:pt>
                <c:pt idx="25">
                  <c:v>4.7141638225256077E-2</c:v>
                </c:pt>
                <c:pt idx="26">
                  <c:v>-2.3630067223467166E-2</c:v>
                </c:pt>
                <c:pt idx="27">
                  <c:v>9.805967035259755E-2</c:v>
                </c:pt>
                <c:pt idx="28">
                  <c:v>-3.2300969029070981E-3</c:v>
                </c:pt>
                <c:pt idx="29">
                  <c:v>-7.815478459778924E-3</c:v>
                </c:pt>
                <c:pt idx="30">
                  <c:v>1.5561959654178725E-2</c:v>
                </c:pt>
                <c:pt idx="31">
                  <c:v>-9.6481271282633507E-3</c:v>
                </c:pt>
                <c:pt idx="32">
                  <c:v>6.4947468958929111E-3</c:v>
                </c:pt>
                <c:pt idx="33">
                  <c:v>2.0117669386980452E-2</c:v>
                </c:pt>
                <c:pt idx="34">
                  <c:v>3.218604651162793E-2</c:v>
                </c:pt>
                <c:pt idx="35">
                  <c:v>2.5594808940158753E-2</c:v>
                </c:pt>
                <c:pt idx="36">
                  <c:v>1.0720562390158062E-2</c:v>
                </c:pt>
                <c:pt idx="37">
                  <c:v>-3.1820552947313452E-2</c:v>
                </c:pt>
                <c:pt idx="38">
                  <c:v>2.7298850574712707E-2</c:v>
                </c:pt>
                <c:pt idx="39">
                  <c:v>5.7692307692307709E-2</c:v>
                </c:pt>
                <c:pt idx="40">
                  <c:v>2.6280991735537329E-2</c:v>
                </c:pt>
                <c:pt idx="41">
                  <c:v>2.4319536157191068E-2</c:v>
                </c:pt>
                <c:pt idx="42">
                  <c:v>-1.3836477987421381E-2</c:v>
                </c:pt>
                <c:pt idx="43">
                  <c:v>1.6103316326530503E-2</c:v>
                </c:pt>
                <c:pt idx="44">
                  <c:v>-4.7073591715041108E-4</c:v>
                </c:pt>
                <c:pt idx="45">
                  <c:v>-4.8665620094191508E-3</c:v>
                </c:pt>
                <c:pt idx="46">
                  <c:v>-2.2085502445180483E-3</c:v>
                </c:pt>
                <c:pt idx="47">
                  <c:v>2.8300395256917188E-2</c:v>
                </c:pt>
                <c:pt idx="48">
                  <c:v>2.4292742927429334E-2</c:v>
                </c:pt>
                <c:pt idx="49">
                  <c:v>1.7562293605523971E-2</c:v>
                </c:pt>
                <c:pt idx="50">
                  <c:v>2.9797905295766203E-2</c:v>
                </c:pt>
                <c:pt idx="51">
                  <c:v>-1.6616530583010936E-2</c:v>
                </c:pt>
                <c:pt idx="52">
                  <c:v>2.3889293517844079E-2</c:v>
                </c:pt>
                <c:pt idx="53">
                  <c:v>-2.9307156067719498E-2</c:v>
                </c:pt>
                <c:pt idx="54">
                  <c:v>-8.0902828667741455E-2</c:v>
                </c:pt>
                <c:pt idx="55">
                  <c:v>3.4922659862860916E-2</c:v>
                </c:pt>
                <c:pt idx="56">
                  <c:v>-3.7853949329359038E-2</c:v>
                </c:pt>
                <c:pt idx="57">
                  <c:v>1.4405204460966381E-2</c:v>
                </c:pt>
                <c:pt idx="58">
                  <c:v>7.6347533974652215E-3</c:v>
                </c:pt>
                <c:pt idx="59">
                  <c:v>6.6222154871950378E-2</c:v>
                </c:pt>
                <c:pt idx="60">
                  <c:v>-4.6852748504699449E-2</c:v>
                </c:pt>
                <c:pt idx="61">
                  <c:v>8.5014193933960813E-2</c:v>
                </c:pt>
                <c:pt idx="62">
                  <c:v>1.500963921784626E-2</c:v>
                </c:pt>
                <c:pt idx="63">
                  <c:v>9.9036765703433005E-3</c:v>
                </c:pt>
                <c:pt idx="64">
                  <c:v>7.522837184309461E-3</c:v>
                </c:pt>
                <c:pt idx="65">
                  <c:v>2.9066666666666796E-2</c:v>
                </c:pt>
                <c:pt idx="66">
                  <c:v>1.9823788546255328E-2</c:v>
                </c:pt>
                <c:pt idx="67">
                  <c:v>-3.0237580993520474E-2</c:v>
                </c:pt>
                <c:pt idx="68">
                  <c:v>4.9783833355168117E-3</c:v>
                </c:pt>
                <c:pt idx="69">
                  <c:v>-4.8233607091642261E-3</c:v>
                </c:pt>
                <c:pt idx="70">
                  <c:v>-4.3751637411579836E-2</c:v>
                </c:pt>
                <c:pt idx="71">
                  <c:v>3.4657534246575361E-2</c:v>
                </c:pt>
                <c:pt idx="72">
                  <c:v>5.1502714153316642E-2</c:v>
                </c:pt>
                <c:pt idx="73">
                  <c:v>-2.6819440946864725E-2</c:v>
                </c:pt>
                <c:pt idx="74">
                  <c:v>-3.0663733988873121E-2</c:v>
                </c:pt>
                <c:pt idx="75">
                  <c:v>-2.562733582487986E-2</c:v>
                </c:pt>
                <c:pt idx="76">
                  <c:v>1.9041095890411031E-2</c:v>
                </c:pt>
                <c:pt idx="77">
                  <c:v>-1.9223013845947157E-2</c:v>
                </c:pt>
                <c:pt idx="78">
                  <c:v>-1.5076754385964786E-2</c:v>
                </c:pt>
                <c:pt idx="79">
                  <c:v>4.967993320345121E-2</c:v>
                </c:pt>
                <c:pt idx="80">
                  <c:v>2.6779795837200027E-2</c:v>
                </c:pt>
                <c:pt idx="81">
                  <c:v>-4.5190445448677341E-3</c:v>
                </c:pt>
                <c:pt idx="82">
                  <c:v>1.2970168612191912E-2</c:v>
                </c:pt>
                <c:pt idx="83">
                  <c:v>8.5787451984635776E-3</c:v>
                </c:pt>
                <c:pt idx="84">
                  <c:v>4.9765139012314386E-2</c:v>
                </c:pt>
                <c:pt idx="85">
                  <c:v>1.7172572257830421E-2</c:v>
                </c:pt>
                <c:pt idx="86">
                  <c:v>-4.173106646058744E-2</c:v>
                </c:pt>
                <c:pt idx="87">
                  <c:v>-7.1960297766748837E-3</c:v>
                </c:pt>
                <c:pt idx="88">
                  <c:v>-2.8617845538615239E-2</c:v>
                </c:pt>
                <c:pt idx="89">
                  <c:v>-0.10099060851666031</c:v>
                </c:pt>
                <c:pt idx="90">
                  <c:v>-3.9782484258729323E-2</c:v>
                </c:pt>
                <c:pt idx="91">
                  <c:v>-0.11788375558867359</c:v>
                </c:pt>
                <c:pt idx="92">
                  <c:v>-8.6163203243790898E-3</c:v>
                </c:pt>
                <c:pt idx="93">
                  <c:v>4.6353101567825572E-2</c:v>
                </c:pt>
                <c:pt idx="94">
                  <c:v>-1.8729641693811083E-2</c:v>
                </c:pt>
                <c:pt idx="95">
                  <c:v>-0.11203319502074693</c:v>
                </c:pt>
                <c:pt idx="96">
                  <c:v>7.3271028037383168E-2</c:v>
                </c:pt>
                <c:pt idx="97">
                  <c:v>5.5207244862417237E-2</c:v>
                </c:pt>
                <c:pt idx="98">
                  <c:v>3.2843703581449057E-2</c:v>
                </c:pt>
                <c:pt idx="99">
                  <c:v>-1.7098114413550691E-2</c:v>
                </c:pt>
                <c:pt idx="100">
                  <c:v>2.2597951552593143E-2</c:v>
                </c:pt>
                <c:pt idx="101">
                  <c:v>-1.4785373608902974E-2</c:v>
                </c:pt>
                <c:pt idx="102">
                  <c:v>4.6958205583346624E-2</c:v>
                </c:pt>
                <c:pt idx="103">
                  <c:v>3.128853267570908E-2</c:v>
                </c:pt>
                <c:pt idx="104">
                  <c:v>-2.8545807801524381E-2</c:v>
                </c:pt>
                <c:pt idx="105">
                  <c:v>1.8386263485792309E-2</c:v>
                </c:pt>
                <c:pt idx="106">
                  <c:v>8.9525514771704451E-4</c:v>
                </c:pt>
                <c:pt idx="107">
                  <c:v>1.9528920691711527E-2</c:v>
                </c:pt>
                <c:pt idx="108">
                  <c:v>3.0560023395233227E-2</c:v>
                </c:pt>
                <c:pt idx="109">
                  <c:v>1.5181611804767181E-2</c:v>
                </c:pt>
                <c:pt idx="110">
                  <c:v>-6.110262463546845E-3</c:v>
                </c:pt>
                <c:pt idx="111">
                  <c:v>-1.1038144473941469E-2</c:v>
                </c:pt>
                <c:pt idx="112">
                  <c:v>1.9638315908448778E-2</c:v>
                </c:pt>
                <c:pt idx="113">
                  <c:v>-0.10669253152279345</c:v>
                </c:pt>
                <c:pt idx="114">
                  <c:v>-1.9078641228478355E-2</c:v>
                </c:pt>
                <c:pt idx="115">
                  <c:v>-1.8975332068311257E-2</c:v>
                </c:pt>
                <c:pt idx="116">
                  <c:v>5.3352675693101093E-2</c:v>
                </c:pt>
                <c:pt idx="117">
                  <c:v>1.7750573833205996E-2</c:v>
                </c:pt>
                <c:pt idx="118">
                  <c:v>-3.1123139377537301E-2</c:v>
                </c:pt>
                <c:pt idx="119">
                  <c:v>3.9726877715704489E-2</c:v>
                </c:pt>
                <c:pt idx="120">
                  <c:v>-6.4925373134328335E-2</c:v>
                </c:pt>
                <c:pt idx="121">
                  <c:v>1.1811652035115694E-2</c:v>
                </c:pt>
                <c:pt idx="122">
                  <c:v>-3.5021296734500718E-2</c:v>
                </c:pt>
                <c:pt idx="123">
                  <c:v>-4.4956678110184778E-2</c:v>
                </c:pt>
                <c:pt idx="124">
                  <c:v>3.765833618623704E-3</c:v>
                </c:pt>
                <c:pt idx="125">
                  <c:v>5.1159618008185248E-3</c:v>
                </c:pt>
                <c:pt idx="126">
                  <c:v>2.5279945707499252E-2</c:v>
                </c:pt>
                <c:pt idx="127">
                  <c:v>2.2339897401952635E-2</c:v>
                </c:pt>
                <c:pt idx="128">
                  <c:v>-2.476529621236645E-2</c:v>
                </c:pt>
                <c:pt idx="129">
                  <c:v>7.5020746887966672E-2</c:v>
                </c:pt>
                <c:pt idx="130">
                  <c:v>-4.415624517523542E-2</c:v>
                </c:pt>
                <c:pt idx="131">
                  <c:v>-5.6210628331448853E-2</c:v>
                </c:pt>
                <c:pt idx="132">
                  <c:v>3.8507615950710283E-2</c:v>
                </c:pt>
                <c:pt idx="133">
                  <c:v>-2.2742254449571564E-2</c:v>
                </c:pt>
                <c:pt idx="134">
                  <c:v>4.6037099494097955E-2</c:v>
                </c:pt>
                <c:pt idx="135">
                  <c:v>-7.738191197807609E-3</c:v>
                </c:pt>
                <c:pt idx="136">
                  <c:v>1.7221770917952961E-2</c:v>
                </c:pt>
                <c:pt idx="137">
                  <c:v>1.3416387158600829E-2</c:v>
                </c:pt>
                <c:pt idx="138">
                  <c:v>7.8802206461769941E-4</c:v>
                </c:pt>
                <c:pt idx="139">
                  <c:v>5.4755944931164091E-3</c:v>
                </c:pt>
                <c:pt idx="140">
                  <c:v>1.1202738447176008E-2</c:v>
                </c:pt>
                <c:pt idx="141">
                  <c:v>1.7079550700107804E-2</c:v>
                </c:pt>
                <c:pt idx="142">
                  <c:v>3.1770045385779211E-2</c:v>
                </c:pt>
                <c:pt idx="143">
                  <c:v>7.3313782991202281E-3</c:v>
                </c:pt>
                <c:pt idx="144">
                  <c:v>-5.2401746724890952E-2</c:v>
                </c:pt>
                <c:pt idx="145">
                  <c:v>3.8402457757296116E-3</c:v>
                </c:pt>
                <c:pt idx="146">
                  <c:v>-7.3297628156082539E-2</c:v>
                </c:pt>
                <c:pt idx="147">
                  <c:v>-3.9134742404227318E-2</c:v>
                </c:pt>
                <c:pt idx="148">
                  <c:v>-6.341295755284404E-2</c:v>
                </c:pt>
                <c:pt idx="149">
                  <c:v>5.0275229357798157E-2</c:v>
                </c:pt>
                <c:pt idx="150">
                  <c:v>1.9566736547868668E-2</c:v>
                </c:pt>
                <c:pt idx="151">
                  <c:v>-0.13468128855380401</c:v>
                </c:pt>
                <c:pt idx="152">
                  <c:v>-9.9009900990098987E-2</c:v>
                </c:pt>
                <c:pt idx="153">
                  <c:v>-0.23142857142857143</c:v>
                </c:pt>
                <c:pt idx="154">
                  <c:v>-0.2219044895624821</c:v>
                </c:pt>
                <c:pt idx="155">
                  <c:v>-7.7545020213156901E-2</c:v>
                </c:pt>
                <c:pt idx="156">
                  <c:v>0.38047808764940227</c:v>
                </c:pt>
                <c:pt idx="157">
                  <c:v>-0.11801436153605993</c:v>
                </c:pt>
                <c:pt idx="158">
                  <c:v>-0.22831858407079642</c:v>
                </c:pt>
                <c:pt idx="159">
                  <c:v>6.0920285158781784E-2</c:v>
                </c:pt>
                <c:pt idx="160">
                  <c:v>7.2693952351863045E-2</c:v>
                </c:pt>
                <c:pt idx="161">
                  <c:v>5.4100227790434552E-3</c:v>
                </c:pt>
                <c:pt idx="162">
                  <c:v>0.19144718210138767</c:v>
                </c:pt>
                <c:pt idx="163">
                  <c:v>7.3770491803278659E-2</c:v>
                </c:pt>
                <c:pt idx="164">
                  <c:v>-2.9818702290076327E-2</c:v>
                </c:pt>
                <c:pt idx="165">
                  <c:v>9.1164095371669696E-3</c:v>
                </c:pt>
                <c:pt idx="166">
                  <c:v>-1.6214964095436768E-3</c:v>
                </c:pt>
                <c:pt idx="167">
                  <c:v>7.4245939675174899E-3</c:v>
                </c:pt>
                <c:pt idx="168">
                  <c:v>-2.3030861354215171E-3</c:v>
                </c:pt>
                <c:pt idx="169">
                  <c:v>3.1625115420129246E-2</c:v>
                </c:pt>
                <c:pt idx="170">
                  <c:v>5.8178563437012443E-3</c:v>
                </c:pt>
                <c:pt idx="171">
                  <c:v>-1.5350389321468372E-2</c:v>
                </c:pt>
                <c:pt idx="172">
                  <c:v>1.8526886579304014E-2</c:v>
                </c:pt>
                <c:pt idx="173">
                  <c:v>-6.0559006211180044E-2</c:v>
                </c:pt>
                <c:pt idx="174">
                  <c:v>-5.7378984651711873E-2</c:v>
                </c:pt>
                <c:pt idx="175">
                  <c:v>7.8156312625250468E-2</c:v>
                </c:pt>
                <c:pt idx="176">
                  <c:v>-2.9042750929368033E-2</c:v>
                </c:pt>
                <c:pt idx="177">
                  <c:v>-6.9155300311079193E-2</c:v>
                </c:pt>
                <c:pt idx="178">
                  <c:v>0.1007712082262211</c:v>
                </c:pt>
                <c:pt idx="179">
                  <c:v>7.0060719290054863E-4</c:v>
                </c:pt>
                <c:pt idx="180">
                  <c:v>-2.9404900816802804E-2</c:v>
                </c:pt>
                <c:pt idx="181">
                  <c:v>-9.9543159413320481E-2</c:v>
                </c:pt>
                <c:pt idx="182">
                  <c:v>5.7409879839786404E-2</c:v>
                </c:pt>
                <c:pt idx="183">
                  <c:v>7.6515151515151647E-2</c:v>
                </c:pt>
                <c:pt idx="184">
                  <c:v>6.1224489795918435E-2</c:v>
                </c:pt>
                <c:pt idx="185">
                  <c:v>6.6976127320955037E-2</c:v>
                </c:pt>
                <c:pt idx="186">
                  <c:v>1.5744769007665083E-2</c:v>
                </c:pt>
                <c:pt idx="187">
                  <c:v>2.1211503161329803E-2</c:v>
                </c:pt>
                <c:pt idx="188">
                  <c:v>4.5935690033952481E-2</c:v>
                </c:pt>
                <c:pt idx="189">
                  <c:v>8.9713843774168689E-2</c:v>
                </c:pt>
                <c:pt idx="190">
                  <c:v>-2.4130589070262554E-2</c:v>
                </c:pt>
                <c:pt idx="191">
                  <c:v>3.8181818181819427E-3</c:v>
                </c:pt>
                <c:pt idx="192">
                  <c:v>1.2316609309907633E-2</c:v>
                </c:pt>
                <c:pt idx="193">
                  <c:v>6.6738235820361425E-2</c:v>
                </c:pt>
                <c:pt idx="194">
                  <c:v>5.1828245555182839E-2</c:v>
                </c:pt>
                <c:pt idx="195">
                  <c:v>2.0730346037314273E-3</c:v>
                </c:pt>
                <c:pt idx="196">
                  <c:v>4.9809038828771302E-2</c:v>
                </c:pt>
                <c:pt idx="197">
                  <c:v>5.6389267849022318E-2</c:v>
                </c:pt>
                <c:pt idx="198">
                  <c:v>-6.6006600660064585E-3</c:v>
                </c:pt>
                <c:pt idx="199">
                  <c:v>-6.8900765564061994E-2</c:v>
                </c:pt>
                <c:pt idx="200">
                  <c:v>-2.0167545764814276E-3</c:v>
                </c:pt>
                <c:pt idx="201">
                  <c:v>-2.4748646558391485E-2</c:v>
                </c:pt>
                <c:pt idx="202">
                  <c:v>5.8207771609833481E-2</c:v>
                </c:pt>
                <c:pt idx="203">
                  <c:v>-8.9928057553956275E-3</c:v>
                </c:pt>
                <c:pt idx="204">
                  <c:v>1.7241379310344751E-2</c:v>
                </c:pt>
                <c:pt idx="205">
                  <c:v>1.5016354445435587E-2</c:v>
                </c:pt>
                <c:pt idx="206">
                  <c:v>8.2027244763440699E-3</c:v>
                </c:pt>
                <c:pt idx="207">
                  <c:v>-3.0509952055789546E-2</c:v>
                </c:pt>
                <c:pt idx="208">
                  <c:v>4.3758429491982609E-2</c:v>
                </c:pt>
                <c:pt idx="209">
                  <c:v>3.1155778894472075E-2</c:v>
                </c:pt>
                <c:pt idx="210">
                  <c:v>1.1138958507379781E-2</c:v>
                </c:pt>
                <c:pt idx="211">
                  <c:v>8.2621867254200065E-3</c:v>
                </c:pt>
                <c:pt idx="212">
                  <c:v>3.8104343075662461E-2</c:v>
                </c:pt>
                <c:pt idx="213">
                  <c:v>-5.2624654650712532E-4</c:v>
                </c:pt>
                <c:pt idx="214">
                  <c:v>-5.1336053705409723E-3</c:v>
                </c:pt>
                <c:pt idx="215">
                  <c:v>-3.0166710770044958E-2</c:v>
                </c:pt>
                <c:pt idx="216">
                  <c:v>1.2141882673942783E-2</c:v>
                </c:pt>
                <c:pt idx="217">
                  <c:v>2.8844857797546863E-2</c:v>
                </c:pt>
                <c:pt idx="218">
                  <c:v>-7.6509891261627216E-2</c:v>
                </c:pt>
                <c:pt idx="219">
                  <c:v>-3.4047382607461651E-3</c:v>
                </c:pt>
                <c:pt idx="220">
                  <c:v>-7.4733096085409234E-2</c:v>
                </c:pt>
                <c:pt idx="221">
                  <c:v>0.11923076923076925</c:v>
                </c:pt>
                <c:pt idx="222">
                  <c:v>-3.711340206185465E-3</c:v>
                </c:pt>
                <c:pt idx="223">
                  <c:v>6.4845474613686171E-3</c:v>
                </c:pt>
                <c:pt idx="224">
                  <c:v>3.4818368745716199E-2</c:v>
                </c:pt>
                <c:pt idx="225">
                  <c:v>3.4176712147304222E-2</c:v>
                </c:pt>
                <c:pt idx="226">
                  <c:v>1.4986550531574272E-2</c:v>
                </c:pt>
                <c:pt idx="227">
                  <c:v>4.2150429076224238E-2</c:v>
                </c:pt>
                <c:pt idx="228">
                  <c:v>2.8336158876241191E-2</c:v>
                </c:pt>
                <c:pt idx="229">
                  <c:v>1.0009420631182264E-2</c:v>
                </c:pt>
                <c:pt idx="230">
                  <c:v>-1.6206132680424368E-2</c:v>
                </c:pt>
                <c:pt idx="231">
                  <c:v>-2.1687603697558622E-2</c:v>
                </c:pt>
                <c:pt idx="232">
                  <c:v>-7.2683222289521288E-3</c:v>
                </c:pt>
                <c:pt idx="233">
                  <c:v>-4.0146430750457651E-2</c:v>
                </c:pt>
                <c:pt idx="234">
                  <c:v>-7.33536740401729E-2</c:v>
                </c:pt>
                <c:pt idx="235">
                  <c:v>-3.7728083413362645E-2</c:v>
                </c:pt>
                <c:pt idx="236">
                  <c:v>7.3139435414884435E-2</c:v>
                </c:pt>
                <c:pt idx="237">
                  <c:v>-3.1885213232363374E-2</c:v>
                </c:pt>
              </c:numCache>
            </c:numRef>
          </c:xVal>
          <c:yVal>
            <c:numRef>
              <c:f>Filtered_data_expand_reg!$J$31:$J$268</c:f>
              <c:numCache>
                <c:formatCode>General</c:formatCode>
                <c:ptCount val="238"/>
                <c:pt idx="0">
                  <c:v>2.0643175989526058E-2</c:v>
                </c:pt>
                <c:pt idx="1">
                  <c:v>1.162616200990617E-2</c:v>
                </c:pt>
                <c:pt idx="2">
                  <c:v>4.1537519016898693E-2</c:v>
                </c:pt>
                <c:pt idx="3">
                  <c:v>1.2461172735511672E-2</c:v>
                </c:pt>
                <c:pt idx="4">
                  <c:v>1.9036916525245966E-2</c:v>
                </c:pt>
                <c:pt idx="5">
                  <c:v>1.5327344932056874E-2</c:v>
                </c:pt>
                <c:pt idx="6">
                  <c:v>1.7495156068822161E-2</c:v>
                </c:pt>
                <c:pt idx="7">
                  <c:v>1.4727102938270193E-2</c:v>
                </c:pt>
                <c:pt idx="8">
                  <c:v>2.0154752760955998E-2</c:v>
                </c:pt>
                <c:pt idx="9">
                  <c:v>4.0795317990644862E-2</c:v>
                </c:pt>
                <c:pt idx="10">
                  <c:v>2.8684720015551286E-2</c:v>
                </c:pt>
                <c:pt idx="11">
                  <c:v>7.1710473505166763E-3</c:v>
                </c:pt>
                <c:pt idx="12">
                  <c:v>1.106769005787504E-2</c:v>
                </c:pt>
                <c:pt idx="13">
                  <c:v>3.2252486914117667E-2</c:v>
                </c:pt>
                <c:pt idx="14">
                  <c:v>3.5371972108104645E-2</c:v>
                </c:pt>
                <c:pt idx="15">
                  <c:v>2.2100669465428907E-2</c:v>
                </c:pt>
                <c:pt idx="16">
                  <c:v>1.5141263927572746E-2</c:v>
                </c:pt>
                <c:pt idx="17">
                  <c:v>6.6620192292338194E-3</c:v>
                </c:pt>
                <c:pt idx="18">
                  <c:v>2.337976479996224E-2</c:v>
                </c:pt>
                <c:pt idx="19">
                  <c:v>1.9251789017387815E-2</c:v>
                </c:pt>
                <c:pt idx="20">
                  <c:v>2.5250948175912221E-2</c:v>
                </c:pt>
                <c:pt idx="21">
                  <c:v>1.1501383624630955E-2</c:v>
                </c:pt>
                <c:pt idx="22">
                  <c:v>3.1818514685363966E-2</c:v>
                </c:pt>
                <c:pt idx="23">
                  <c:v>1.6692414434191418E-2</c:v>
                </c:pt>
                <c:pt idx="24">
                  <c:v>2.5061567568140063E-2</c:v>
                </c:pt>
                <c:pt idx="25">
                  <c:v>3.1001223038495895E-2</c:v>
                </c:pt>
                <c:pt idx="26">
                  <c:v>1.7247290866246615E-2</c:v>
                </c:pt>
                <c:pt idx="27">
                  <c:v>-1.4044166806871285E-3</c:v>
                </c:pt>
                <c:pt idx="28">
                  <c:v>2.1039975250731861E-2</c:v>
                </c:pt>
                <c:pt idx="29">
                  <c:v>2.0881184781081454E-2</c:v>
                </c:pt>
                <c:pt idx="30">
                  <c:v>3.4042999454558714E-2</c:v>
                </c:pt>
                <c:pt idx="31">
                  <c:v>4.8786410980742573E-2</c:v>
                </c:pt>
                <c:pt idx="32">
                  <c:v>3.1499403578408025E-2</c:v>
                </c:pt>
                <c:pt idx="33">
                  <c:v>2.1914252100854702E-2</c:v>
                </c:pt>
                <c:pt idx="34">
                  <c:v>2.6954608664808585E-2</c:v>
                </c:pt>
                <c:pt idx="35">
                  <c:v>1.4602129539792676E-2</c:v>
                </c:pt>
                <c:pt idx="36">
                  <c:v>2.5714412351209005E-2</c:v>
                </c:pt>
                <c:pt idx="37">
                  <c:v>2.1137132788771395E-2</c:v>
                </c:pt>
                <c:pt idx="38">
                  <c:v>2.8004614834181565E-2</c:v>
                </c:pt>
                <c:pt idx="39">
                  <c:v>-3.0396602707238735E-3</c:v>
                </c:pt>
                <c:pt idx="40">
                  <c:v>1.8291099914286298E-2</c:v>
                </c:pt>
                <c:pt idx="41">
                  <c:v>2.9873196453350726E-2</c:v>
                </c:pt>
                <c:pt idx="42">
                  <c:v>1.2668392708524458E-2</c:v>
                </c:pt>
                <c:pt idx="43">
                  <c:v>2.9125336182947197E-2</c:v>
                </c:pt>
                <c:pt idx="44">
                  <c:v>6.6271440479738174E-3</c:v>
                </c:pt>
                <c:pt idx="45">
                  <c:v>1.7580736599926802E-2</c:v>
                </c:pt>
                <c:pt idx="46">
                  <c:v>1.610347584368764E-2</c:v>
                </c:pt>
                <c:pt idx="47">
                  <c:v>6.3337922323995863E-2</c:v>
                </c:pt>
                <c:pt idx="48">
                  <c:v>3.2771899736543604E-2</c:v>
                </c:pt>
                <c:pt idx="49">
                  <c:v>4.4306848125649244E-2</c:v>
                </c:pt>
                <c:pt idx="50">
                  <c:v>2.4874742183530148E-2</c:v>
                </c:pt>
                <c:pt idx="51">
                  <c:v>3.0760914177672322E-2</c:v>
                </c:pt>
                <c:pt idx="52">
                  <c:v>1.6991514181372361E-2</c:v>
                </c:pt>
                <c:pt idx="53">
                  <c:v>3.3688822973677174E-2</c:v>
                </c:pt>
                <c:pt idx="54">
                  <c:v>2.6469962123374251E-2</c:v>
                </c:pt>
                <c:pt idx="55">
                  <c:v>3.5382972944005671E-2</c:v>
                </c:pt>
                <c:pt idx="56">
                  <c:v>2.4570749161030612E-2</c:v>
                </c:pt>
                <c:pt idx="57">
                  <c:v>2.704219553678E-2</c:v>
                </c:pt>
                <c:pt idx="58">
                  <c:v>9.3100434057787791E-3</c:v>
                </c:pt>
                <c:pt idx="59">
                  <c:v>4.8082118961849246E-3</c:v>
                </c:pt>
                <c:pt idx="60">
                  <c:v>2.9245158200095454E-2</c:v>
                </c:pt>
                <c:pt idx="61">
                  <c:v>-1.4549188274113011E-2</c:v>
                </c:pt>
                <c:pt idx="62">
                  <c:v>3.0497042498864913E-2</c:v>
                </c:pt>
                <c:pt idx="63">
                  <c:v>2.8045974325143809E-2</c:v>
                </c:pt>
                <c:pt idx="64">
                  <c:v>1.6863324273914404E-2</c:v>
                </c:pt>
                <c:pt idx="65">
                  <c:v>2.1502115474736381E-2</c:v>
                </c:pt>
                <c:pt idx="66">
                  <c:v>9.2432936901711074E-3</c:v>
                </c:pt>
                <c:pt idx="67">
                  <c:v>2.1854796735896846E-2</c:v>
                </c:pt>
                <c:pt idx="68">
                  <c:v>2.2454125346507831E-2</c:v>
                </c:pt>
                <c:pt idx="69">
                  <c:v>1.6833736495433484E-2</c:v>
                </c:pt>
                <c:pt idx="70">
                  <c:v>2.6953148576336135E-2</c:v>
                </c:pt>
                <c:pt idx="71">
                  <c:v>2.1324692621131985E-2</c:v>
                </c:pt>
                <c:pt idx="72">
                  <c:v>1.5310246288489903E-2</c:v>
                </c:pt>
                <c:pt idx="73">
                  <c:v>4.1300244447419011E-2</c:v>
                </c:pt>
                <c:pt idx="74">
                  <c:v>2.993379202643235E-2</c:v>
                </c:pt>
                <c:pt idx="75">
                  <c:v>1.144755462263369E-2</c:v>
                </c:pt>
                <c:pt idx="76">
                  <c:v>1.9564764167590603E-2</c:v>
                </c:pt>
                <c:pt idx="77">
                  <c:v>6.3682559909707896E-3</c:v>
                </c:pt>
                <c:pt idx="78">
                  <c:v>2.375887591041196E-2</c:v>
                </c:pt>
                <c:pt idx="79">
                  <c:v>1.1117517708385989E-2</c:v>
                </c:pt>
                <c:pt idx="80">
                  <c:v>1.4773199488112388E-2</c:v>
                </c:pt>
                <c:pt idx="81">
                  <c:v>1.0522877129659209E-2</c:v>
                </c:pt>
                <c:pt idx="82">
                  <c:v>5.4835721621213737E-2</c:v>
                </c:pt>
                <c:pt idx="83">
                  <c:v>5.971193056780072E-2</c:v>
                </c:pt>
                <c:pt idx="84">
                  <c:v>1.7236742683745192E-2</c:v>
                </c:pt>
                <c:pt idx="85">
                  <c:v>1.6043882408339965E-2</c:v>
                </c:pt>
                <c:pt idx="86">
                  <c:v>2.8204649085219177E-2</c:v>
                </c:pt>
                <c:pt idx="87">
                  <c:v>1.7889746348616054E-2</c:v>
                </c:pt>
                <c:pt idx="88">
                  <c:v>1.2205672641957845E-2</c:v>
                </c:pt>
                <c:pt idx="89">
                  <c:v>4.3523520683048794E-2</c:v>
                </c:pt>
                <c:pt idx="90">
                  <c:v>2.7773152551978254E-2</c:v>
                </c:pt>
                <c:pt idx="91">
                  <c:v>-3.784536631166853E-3</c:v>
                </c:pt>
                <c:pt idx="92">
                  <c:v>6.1586443434411518E-3</c:v>
                </c:pt>
                <c:pt idx="93">
                  <c:v>2.8801417712831803E-2</c:v>
                </c:pt>
                <c:pt idx="94">
                  <c:v>-4.3629132829230109E-3</c:v>
                </c:pt>
                <c:pt idx="95">
                  <c:v>6.4633066073867818E-2</c:v>
                </c:pt>
                <c:pt idx="96">
                  <c:v>7.9746631580762291E-3</c:v>
                </c:pt>
                <c:pt idx="97">
                  <c:v>1.7035340878632725E-2</c:v>
                </c:pt>
                <c:pt idx="98">
                  <c:v>-2.1987445063951828E-2</c:v>
                </c:pt>
                <c:pt idx="99">
                  <c:v>1.1740243461067092E-2</c:v>
                </c:pt>
                <c:pt idx="100">
                  <c:v>2.2303205795299583E-2</c:v>
                </c:pt>
                <c:pt idx="101">
                  <c:v>7.0761069892524578E-2</c:v>
                </c:pt>
                <c:pt idx="102">
                  <c:v>-3.953488603046524E-3</c:v>
                </c:pt>
                <c:pt idx="103">
                  <c:v>8.988013203094293E-2</c:v>
                </c:pt>
                <c:pt idx="104">
                  <c:v>4.5738227378080046E-2</c:v>
                </c:pt>
                <c:pt idx="105">
                  <c:v>9.4894439315968415E-3</c:v>
                </c:pt>
                <c:pt idx="106">
                  <c:v>2.3081858166826924E-2</c:v>
                </c:pt>
                <c:pt idx="107">
                  <c:v>5.5636909877438898E-3</c:v>
                </c:pt>
                <c:pt idx="108">
                  <c:v>-2.6461751240241138E-2</c:v>
                </c:pt>
                <c:pt idx="109">
                  <c:v>9.2606058129757959E-3</c:v>
                </c:pt>
                <c:pt idx="110">
                  <c:v>-3.7744090065220323E-3</c:v>
                </c:pt>
                <c:pt idx="111">
                  <c:v>7.7112350297098606E-2</c:v>
                </c:pt>
                <c:pt idx="112">
                  <c:v>-1.3936950823977261E-3</c:v>
                </c:pt>
                <c:pt idx="113">
                  <c:v>0.32978927366402</c:v>
                </c:pt>
                <c:pt idx="114">
                  <c:v>5.0603089638358467E-2</c:v>
                </c:pt>
                <c:pt idx="115">
                  <c:v>2.9449922427951171E-2</c:v>
                </c:pt>
                <c:pt idx="116">
                  <c:v>2.2326293293436123E-2</c:v>
                </c:pt>
                <c:pt idx="117">
                  <c:v>1.4817652255410626E-2</c:v>
                </c:pt>
                <c:pt idx="118">
                  <c:v>3.6518190031248191E-2</c:v>
                </c:pt>
                <c:pt idx="119">
                  <c:v>9.7863549756095191E-3</c:v>
                </c:pt>
                <c:pt idx="120">
                  <c:v>2.6770421983398015E-2</c:v>
                </c:pt>
                <c:pt idx="121">
                  <c:v>4.4090172278071146E-3</c:v>
                </c:pt>
                <c:pt idx="122">
                  <c:v>6.1030650173556612E-2</c:v>
                </c:pt>
                <c:pt idx="123">
                  <c:v>1.0532951655440818E-2</c:v>
                </c:pt>
                <c:pt idx="124">
                  <c:v>3.8027635115207875E-2</c:v>
                </c:pt>
                <c:pt idx="125">
                  <c:v>2.6527630964222868E-2</c:v>
                </c:pt>
                <c:pt idx="126">
                  <c:v>3.1983734517938428E-2</c:v>
                </c:pt>
                <c:pt idx="127">
                  <c:v>4.5366026832481046E-2</c:v>
                </c:pt>
                <c:pt idx="128">
                  <c:v>2.658217777023231E-2</c:v>
                </c:pt>
                <c:pt idx="129">
                  <c:v>-8.6034182907723453E-4</c:v>
                </c:pt>
                <c:pt idx="130">
                  <c:v>5.5550204583926455E-2</c:v>
                </c:pt>
                <c:pt idx="131">
                  <c:v>2.0425030235354469E-2</c:v>
                </c:pt>
                <c:pt idx="132">
                  <c:v>1.4773107072910456E-2</c:v>
                </c:pt>
                <c:pt idx="133">
                  <c:v>3.5043023836999754E-2</c:v>
                </c:pt>
                <c:pt idx="134">
                  <c:v>2.0091470254920814E-2</c:v>
                </c:pt>
                <c:pt idx="135">
                  <c:v>8.6416932145302848E-3</c:v>
                </c:pt>
                <c:pt idx="136">
                  <c:v>2.2835164023099676E-2</c:v>
                </c:pt>
                <c:pt idx="137">
                  <c:v>1.4520554499693633E-2</c:v>
                </c:pt>
                <c:pt idx="138">
                  <c:v>-2.7218216354665634E-2</c:v>
                </c:pt>
                <c:pt idx="139">
                  <c:v>2.0531175238836293E-2</c:v>
                </c:pt>
                <c:pt idx="140">
                  <c:v>3.5880702554961272E-2</c:v>
                </c:pt>
                <c:pt idx="141">
                  <c:v>2.5903834545213153E-2</c:v>
                </c:pt>
                <c:pt idx="142">
                  <c:v>1.8234490535928252E-2</c:v>
                </c:pt>
                <c:pt idx="143">
                  <c:v>1.8896836333685871E-2</c:v>
                </c:pt>
                <c:pt idx="144">
                  <c:v>3.7409376472976763E-2</c:v>
                </c:pt>
                <c:pt idx="145">
                  <c:v>2.544608507264623E-2</c:v>
                </c:pt>
                <c:pt idx="146">
                  <c:v>2.7786802126106479E-2</c:v>
                </c:pt>
                <c:pt idx="147">
                  <c:v>1.0263715643629209E-2</c:v>
                </c:pt>
                <c:pt idx="148">
                  <c:v>4.3536065554178445E-2</c:v>
                </c:pt>
                <c:pt idx="149">
                  <c:v>7.7522956055486123E-3</c:v>
                </c:pt>
                <c:pt idx="150">
                  <c:v>3.5238195554155652E-2</c:v>
                </c:pt>
                <c:pt idx="151">
                  <c:v>4.1850750478771371E-3</c:v>
                </c:pt>
                <c:pt idx="152">
                  <c:v>2.6687810413527985E-2</c:v>
                </c:pt>
                <c:pt idx="153">
                  <c:v>2.1728015310918704E-2</c:v>
                </c:pt>
                <c:pt idx="154">
                  <c:v>4.6970861537309727E-2</c:v>
                </c:pt>
                <c:pt idx="155">
                  <c:v>6.047540984992697E-2</c:v>
                </c:pt>
                <c:pt idx="156">
                  <c:v>-2.2855301873851468E-2</c:v>
                </c:pt>
                <c:pt idx="157">
                  <c:v>4.3969817871045369E-2</c:v>
                </c:pt>
                <c:pt idx="158">
                  <c:v>5.4363613660434108E-2</c:v>
                </c:pt>
                <c:pt idx="159">
                  <c:v>1.2769614928446653E-3</c:v>
                </c:pt>
                <c:pt idx="160">
                  <c:v>4.0840708324308903E-2</c:v>
                </c:pt>
                <c:pt idx="161">
                  <c:v>4.5036136757804539E-2</c:v>
                </c:pt>
                <c:pt idx="162">
                  <c:v>-8.3196780929090525E-3</c:v>
                </c:pt>
                <c:pt idx="163">
                  <c:v>7.8635531450708916E-3</c:v>
                </c:pt>
                <c:pt idx="164">
                  <c:v>3.4207870702805239E-2</c:v>
                </c:pt>
                <c:pt idx="165">
                  <c:v>1.7399056878399245E-2</c:v>
                </c:pt>
                <c:pt idx="166">
                  <c:v>1.6608339467837418E-2</c:v>
                </c:pt>
                <c:pt idx="167">
                  <c:v>2.443345816824713E-2</c:v>
                </c:pt>
                <c:pt idx="168">
                  <c:v>5.2813657597547935E-3</c:v>
                </c:pt>
                <c:pt idx="169">
                  <c:v>0.15501125080602179</c:v>
                </c:pt>
                <c:pt idx="170">
                  <c:v>5.0539869115975515E-2</c:v>
                </c:pt>
                <c:pt idx="171">
                  <c:v>3.6361321322271652E-3</c:v>
                </c:pt>
                <c:pt idx="172">
                  <c:v>-2.8084215081576179E-2</c:v>
                </c:pt>
                <c:pt idx="173">
                  <c:v>2.4651860795608552E-2</c:v>
                </c:pt>
                <c:pt idx="174">
                  <c:v>8.3920555714953778E-3</c:v>
                </c:pt>
                <c:pt idx="175">
                  <c:v>1.0149952919600254E-2</c:v>
                </c:pt>
                <c:pt idx="176">
                  <c:v>-3.2292158823055903E-3</c:v>
                </c:pt>
                <c:pt idx="177">
                  <c:v>1.8748632476330677E-3</c:v>
                </c:pt>
                <c:pt idx="178">
                  <c:v>4.0493544844238595E-2</c:v>
                </c:pt>
                <c:pt idx="179">
                  <c:v>-2.011917082828563E-2</c:v>
                </c:pt>
                <c:pt idx="180">
                  <c:v>3.0438592757022154E-2</c:v>
                </c:pt>
                <c:pt idx="181">
                  <c:v>3.030733625357241E-2</c:v>
                </c:pt>
                <c:pt idx="182">
                  <c:v>3.4875480387015032E-2</c:v>
                </c:pt>
                <c:pt idx="183">
                  <c:v>2.3983937879673414E-2</c:v>
                </c:pt>
                <c:pt idx="184">
                  <c:v>1.9658950531654631E-2</c:v>
                </c:pt>
                <c:pt idx="185">
                  <c:v>2.5123771873079952E-3</c:v>
                </c:pt>
                <c:pt idx="186">
                  <c:v>0.20149682138837421</c:v>
                </c:pt>
                <c:pt idx="187">
                  <c:v>3.0243792144716432E-2</c:v>
                </c:pt>
                <c:pt idx="188">
                  <c:v>2.650496265956458E-2</c:v>
                </c:pt>
                <c:pt idx="189">
                  <c:v>1.540924453973332E-2</c:v>
                </c:pt>
                <c:pt idx="190">
                  <c:v>1.7314058186610928E-2</c:v>
                </c:pt>
                <c:pt idx="191">
                  <c:v>-4.7529645885474904E-3</c:v>
                </c:pt>
                <c:pt idx="192">
                  <c:v>5.1854783610303231E-3</c:v>
                </c:pt>
                <c:pt idx="193">
                  <c:v>2.9043302014993576E-2</c:v>
                </c:pt>
                <c:pt idx="194">
                  <c:v>3.7034000295713299E-2</c:v>
                </c:pt>
                <c:pt idx="195">
                  <c:v>2.3696379113826691E-2</c:v>
                </c:pt>
                <c:pt idx="196">
                  <c:v>-2.2477044454299374E-3</c:v>
                </c:pt>
                <c:pt idx="197">
                  <c:v>2.630018214649215E-2</c:v>
                </c:pt>
                <c:pt idx="198">
                  <c:v>4.0248466149719067E-2</c:v>
                </c:pt>
                <c:pt idx="199">
                  <c:v>2.1868331315542108E-2</c:v>
                </c:pt>
                <c:pt idx="200">
                  <c:v>2.3318364137259694E-2</c:v>
                </c:pt>
                <c:pt idx="201">
                  <c:v>2.5980656672606611E-2</c:v>
                </c:pt>
                <c:pt idx="202">
                  <c:v>2.5793673329737282E-2</c:v>
                </c:pt>
                <c:pt idx="203">
                  <c:v>2.5364317107231499E-2</c:v>
                </c:pt>
                <c:pt idx="204">
                  <c:v>1.1529268743152254E-2</c:v>
                </c:pt>
                <c:pt idx="205">
                  <c:v>3.2394285013587952E-2</c:v>
                </c:pt>
                <c:pt idx="206">
                  <c:v>1.5530612007679058E-2</c:v>
                </c:pt>
                <c:pt idx="207">
                  <c:v>3.2466388621990479E-2</c:v>
                </c:pt>
                <c:pt idx="208">
                  <c:v>1.8327282245457561E-2</c:v>
                </c:pt>
                <c:pt idx="209">
                  <c:v>2.2183206277408316E-2</c:v>
                </c:pt>
                <c:pt idx="210">
                  <c:v>2.8518936504386527E-2</c:v>
                </c:pt>
                <c:pt idx="211">
                  <c:v>1.3738116319534512E-2</c:v>
                </c:pt>
                <c:pt idx="212">
                  <c:v>1.9703186672233315E-2</c:v>
                </c:pt>
                <c:pt idx="213">
                  <c:v>2.6815640972807319E-2</c:v>
                </c:pt>
                <c:pt idx="214">
                  <c:v>2.2559685405126907E-2</c:v>
                </c:pt>
                <c:pt idx="215">
                  <c:v>2.1213258785020291E-2</c:v>
                </c:pt>
                <c:pt idx="216">
                  <c:v>1.4320288600329054E-2</c:v>
                </c:pt>
                <c:pt idx="217">
                  <c:v>2.1058430687901433E-2</c:v>
                </c:pt>
                <c:pt idx="218">
                  <c:v>3.6968986473328538E-2</c:v>
                </c:pt>
                <c:pt idx="219">
                  <c:v>3.06191280182239E-2</c:v>
                </c:pt>
                <c:pt idx="220">
                  <c:v>3.0489038613460102E-2</c:v>
                </c:pt>
                <c:pt idx="221">
                  <c:v>2.4231658040367115E-3</c:v>
                </c:pt>
                <c:pt idx="222">
                  <c:v>3.2363022951492459E-2</c:v>
                </c:pt>
                <c:pt idx="223">
                  <c:v>1.3101553591878182E-2</c:v>
                </c:pt>
                <c:pt idx="224">
                  <c:v>3.9371105321698158E-2</c:v>
                </c:pt>
                <c:pt idx="225">
                  <c:v>1.5283845115086701E-2</c:v>
                </c:pt>
                <c:pt idx="226">
                  <c:v>2.0530671186021105E-2</c:v>
                </c:pt>
                <c:pt idx="227">
                  <c:v>3.0814491521218831E-2</c:v>
                </c:pt>
                <c:pt idx="228">
                  <c:v>2.0685240710092083E-2</c:v>
                </c:pt>
                <c:pt idx="229">
                  <c:v>1.4128763406753694E-2</c:v>
                </c:pt>
                <c:pt idx="230">
                  <c:v>1.567556843044943E-2</c:v>
                </c:pt>
                <c:pt idx="231">
                  <c:v>2.8947343722545968E-2</c:v>
                </c:pt>
                <c:pt idx="232">
                  <c:v>1.5395732616784719E-2</c:v>
                </c:pt>
                <c:pt idx="233">
                  <c:v>1.8658507339176452E-2</c:v>
                </c:pt>
                <c:pt idx="234">
                  <c:v>8.2045921064337318E-3</c:v>
                </c:pt>
                <c:pt idx="235">
                  <c:v>4.2140808188384837E-2</c:v>
                </c:pt>
                <c:pt idx="236">
                  <c:v>-6.0753199068341382E-3</c:v>
                </c:pt>
                <c:pt idx="237">
                  <c:v>1.9548720284574106E-2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4A-4775-88C5-72F760E17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108688"/>
        <c:axId val="704114096"/>
      </c:scatterChart>
      <c:valAx>
        <c:axId val="70410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</a:t>
                </a:r>
                <a:r>
                  <a:rPr lang="en-GB" baseline="0"/>
                  <a:t> Brent futures (</a:t>
                </a:r>
                <a:r>
                  <a:rPr lang="en-GB"/>
                  <a:t>LCOc1)</a:t>
                </a:r>
              </a:p>
            </c:rich>
          </c:tx>
          <c:layout>
            <c:manualLayout>
              <c:xMode val="edge"/>
              <c:yMode val="edge"/>
              <c:x val="0.18125366436353219"/>
              <c:y val="0.9388689563906456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04114096"/>
        <c:crosses val="autoZero"/>
        <c:crossBetween val="midCat"/>
      </c:valAx>
      <c:valAx>
        <c:axId val="704114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Urals loading</a:t>
                </a:r>
              </a:p>
            </c:rich>
          </c:tx>
          <c:layout>
            <c:manualLayout>
              <c:xMode val="edge"/>
              <c:yMode val="edge"/>
              <c:x val="1.8261156829906311E-2"/>
              <c:y val="0.45772465415409835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04108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baseline="0">
                <a:effectLst/>
              </a:rPr>
              <a:t>Regression % MOEX equity index (Ticker: .IMOEX) vs % change in Urals loading</a:t>
            </a:r>
            <a:endParaRPr lang="en-GB" sz="12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u="none" strike="noStrike" baseline="0">
                <a:effectLst/>
              </a:rPr>
              <a:t>Weekly data (2017- 2021), Data: Refinitiv Eikon, Petrologistics</a:t>
            </a:r>
            <a:endParaRPr lang="en-GB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3225840525358E-2"/>
          <c:y val="0.19857134921663594"/>
          <c:w val="0.5762365233117126"/>
          <c:h val="0.71576515213636327"/>
        </c:manualLayout>
      </c:layout>
      <c:scatterChart>
        <c:scatterStyle val="lineMarker"/>
        <c:varyColors val="0"/>
        <c:ser>
          <c:idx val="0"/>
          <c:order val="0"/>
          <c:tx>
            <c:v>Urals loading</c:v>
          </c:tx>
          <c:spPr>
            <a:ln w="19050">
              <a:noFill/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645857245749435"/>
                  <c:y val="0.17967667148003619"/>
                </c:manualLayout>
              </c:layout>
              <c:numFmt formatCode="General" sourceLinked="0"/>
            </c:trendlineLbl>
          </c:trendline>
          <c:xVal>
            <c:numRef>
              <c:f>Filtered_data_expand_reg!$D$4:$D$241</c:f>
              <c:numCache>
                <c:formatCode>0.000</c:formatCode>
                <c:ptCount val="238"/>
                <c:pt idx="0">
                  <c:v>-8.4645856011706933E-3</c:v>
                </c:pt>
                <c:pt idx="1">
                  <c:v>-1.6048724711756113E-2</c:v>
                </c:pt>
                <c:pt idx="2">
                  <c:v>4.9116650308339116E-2</c:v>
                </c:pt>
                <c:pt idx="3">
                  <c:v>-1.7404735111758329E-2</c:v>
                </c:pt>
                <c:pt idx="4">
                  <c:v>-2.8931874014757941E-2</c:v>
                </c:pt>
                <c:pt idx="5">
                  <c:v>-1.5715547662323859E-2</c:v>
                </c:pt>
                <c:pt idx="6">
                  <c:v>-1.6502130898736422E-2</c:v>
                </c:pt>
                <c:pt idx="7">
                  <c:v>-1.7295004037093609E-2</c:v>
                </c:pt>
                <c:pt idx="8">
                  <c:v>-4.0318150217075188E-2</c:v>
                </c:pt>
                <c:pt idx="9">
                  <c:v>3.1915540335163861E-2</c:v>
                </c:pt>
                <c:pt idx="10">
                  <c:v>1.3795067158903773E-3</c:v>
                </c:pt>
                <c:pt idx="11">
                  <c:v>-2.1507326806453619E-2</c:v>
                </c:pt>
                <c:pt idx="12">
                  <c:v>1.2189989478430752E-2</c:v>
                </c:pt>
                <c:pt idx="13">
                  <c:v>0</c:v>
                </c:pt>
                <c:pt idx="14">
                  <c:v>3.7018182566127766E-2</c:v>
                </c:pt>
                <c:pt idx="15">
                  <c:v>-7.0907567275413363E-3</c:v>
                </c:pt>
                <c:pt idx="16">
                  <c:v>-3.9102881028361125E-3</c:v>
                </c:pt>
                <c:pt idx="17">
                  <c:v>-1.6133722387670524E-2</c:v>
                </c:pt>
                <c:pt idx="18">
                  <c:v>-1.4344679983693487E-2</c:v>
                </c:pt>
                <c:pt idx="19">
                  <c:v>-2.7080263668088467E-2</c:v>
                </c:pt>
                <c:pt idx="20">
                  <c:v>7.8113791069522875E-4</c:v>
                </c:pt>
                <c:pt idx="21">
                  <c:v>-3.2086612082788957E-2</c:v>
                </c:pt>
                <c:pt idx="22">
                  <c:v>2.4438946519575788E-2</c:v>
                </c:pt>
                <c:pt idx="23">
                  <c:v>6.4472599145362075E-3</c:v>
                </c:pt>
                <c:pt idx="24">
                  <c:v>1.7547220005320607E-2</c:v>
                </c:pt>
                <c:pt idx="25">
                  <c:v>2.5208106751443138E-2</c:v>
                </c:pt>
                <c:pt idx="26">
                  <c:v>-1.8136472364320699E-2</c:v>
                </c:pt>
                <c:pt idx="27">
                  <c:v>-4.3529527876040586E-3</c:v>
                </c:pt>
                <c:pt idx="28">
                  <c:v>1.9167862266858071E-2</c:v>
                </c:pt>
                <c:pt idx="29">
                  <c:v>-4.4330915438522966E-3</c:v>
                </c:pt>
                <c:pt idx="30">
                  <c:v>-7.2602746769639959E-3</c:v>
                </c:pt>
                <c:pt idx="31">
                  <c:v>2.5084036442552193E-2</c:v>
                </c:pt>
                <c:pt idx="32">
                  <c:v>1.6087795709247343E-2</c:v>
                </c:pt>
                <c:pt idx="33">
                  <c:v>1.0825567633691024E-2</c:v>
                </c:pt>
                <c:pt idx="34">
                  <c:v>1.0360349280531311E-2</c:v>
                </c:pt>
                <c:pt idx="35">
                  <c:v>-1.0614419055315905E-3</c:v>
                </c:pt>
                <c:pt idx="36">
                  <c:v>1.2458386746148076E-2</c:v>
                </c:pt>
                <c:pt idx="37">
                  <c:v>8.0252649011405275E-3</c:v>
                </c:pt>
                <c:pt idx="38">
                  <c:v>2.3449514294173746E-3</c:v>
                </c:pt>
                <c:pt idx="39">
                  <c:v>-1.429885123191188E-2</c:v>
                </c:pt>
                <c:pt idx="40">
                  <c:v>5.9890949167615837E-3</c:v>
                </c:pt>
                <c:pt idx="41">
                  <c:v>4.2337169353482418E-2</c:v>
                </c:pt>
                <c:pt idx="42">
                  <c:v>-1.7217853092759916E-2</c:v>
                </c:pt>
                <c:pt idx="43">
                  <c:v>1.3724782002992653E-2</c:v>
                </c:pt>
                <c:pt idx="44">
                  <c:v>-2.5532466210432481E-2</c:v>
                </c:pt>
                <c:pt idx="45">
                  <c:v>-4.7483606284925983E-4</c:v>
                </c:pt>
                <c:pt idx="46">
                  <c:v>1.8527403930659991E-2</c:v>
                </c:pt>
                <c:pt idx="47">
                  <c:v>-1.914654452679343E-2</c:v>
                </c:pt>
                <c:pt idx="48">
                  <c:v>3.2335682425554957E-3</c:v>
                </c:pt>
                <c:pt idx="49">
                  <c:v>4.6294804099083375E-2</c:v>
                </c:pt>
                <c:pt idx="50">
                  <c:v>2.490248753063562E-2</c:v>
                </c:pt>
                <c:pt idx="51">
                  <c:v>1.0586196836959161E-2</c:v>
                </c:pt>
                <c:pt idx="52">
                  <c:v>3.9058228689647922E-3</c:v>
                </c:pt>
                <c:pt idx="53">
                  <c:v>-5.846832167161975E-3</c:v>
                </c:pt>
                <c:pt idx="54">
                  <c:v>-3.7127931844476492E-2</c:v>
                </c:pt>
                <c:pt idx="55">
                  <c:v>2.6466465190795319E-2</c:v>
                </c:pt>
                <c:pt idx="56">
                  <c:v>0</c:v>
                </c:pt>
                <c:pt idx="57">
                  <c:v>9.9832229426259911E-3</c:v>
                </c:pt>
                <c:pt idx="58">
                  <c:v>-7.3928597692597409E-3</c:v>
                </c:pt>
                <c:pt idx="59">
                  <c:v>-3.9527586507450696E-3</c:v>
                </c:pt>
                <c:pt idx="60">
                  <c:v>0</c:v>
                </c:pt>
                <c:pt idx="61">
                  <c:v>-4.6496845999745795E-2</c:v>
                </c:pt>
                <c:pt idx="62">
                  <c:v>2.6434836977509812E-2</c:v>
                </c:pt>
                <c:pt idx="63">
                  <c:v>3.0828697607338196E-2</c:v>
                </c:pt>
                <c:pt idx="64">
                  <c:v>-5.2227035529157639E-3</c:v>
                </c:pt>
                <c:pt idx="65">
                  <c:v>2.4368085190022315E-2</c:v>
                </c:pt>
                <c:pt idx="66">
                  <c:v>-7.811500643851943E-3</c:v>
                </c:pt>
                <c:pt idx="67">
                  <c:v>-8.753985921424623E-3</c:v>
                </c:pt>
                <c:pt idx="68">
                  <c:v>-4.8687011449901618E-3</c:v>
                </c:pt>
                <c:pt idx="69">
                  <c:v>-1.1945942649019381E-2</c:v>
                </c:pt>
                <c:pt idx="70">
                  <c:v>-1.3399943560619354E-2</c:v>
                </c:pt>
                <c:pt idx="71">
                  <c:v>5.4300947920249421E-3</c:v>
                </c:pt>
                <c:pt idx="72">
                  <c:v>2.0567369581451667E-2</c:v>
                </c:pt>
                <c:pt idx="73">
                  <c:v>2.1529214486378345E-2</c:v>
                </c:pt>
                <c:pt idx="74">
                  <c:v>4.4768864746846937E-4</c:v>
                </c:pt>
                <c:pt idx="75">
                  <c:v>-4.2025545189926738E-2</c:v>
                </c:pt>
                <c:pt idx="76">
                  <c:v>1.9974909022964393E-2</c:v>
                </c:pt>
                <c:pt idx="77">
                  <c:v>-7.7070030356953811E-3</c:v>
                </c:pt>
                <c:pt idx="78">
                  <c:v>-8.7602470275379707E-3</c:v>
                </c:pt>
                <c:pt idx="79">
                  <c:v>1.092624782716678E-2</c:v>
                </c:pt>
                <c:pt idx="80">
                  <c:v>2.8989893673017963E-2</c:v>
                </c:pt>
                <c:pt idx="81">
                  <c:v>-1.0243621714943307E-2</c:v>
                </c:pt>
                <c:pt idx="82">
                  <c:v>1.6555977638232022E-2</c:v>
                </c:pt>
                <c:pt idx="83">
                  <c:v>2.8191809376933108E-2</c:v>
                </c:pt>
                <c:pt idx="84">
                  <c:v>2.0009889566507288E-2</c:v>
                </c:pt>
                <c:pt idx="85">
                  <c:v>-9.8813909895933971E-3</c:v>
                </c:pt>
                <c:pt idx="86">
                  <c:v>-1.95356807703293E-2</c:v>
                </c:pt>
                <c:pt idx="87">
                  <c:v>-2.423200805652892E-2</c:v>
                </c:pt>
                <c:pt idx="88">
                  <c:v>-2.1993440777212547E-2</c:v>
                </c:pt>
                <c:pt idx="89">
                  <c:v>4.8076503780710045E-2</c:v>
                </c:pt>
                <c:pt idx="90">
                  <c:v>-1.2814805260727091E-2</c:v>
                </c:pt>
                <c:pt idx="91">
                  <c:v>-1.2517543526912811E-2</c:v>
                </c:pt>
                <c:pt idx="92">
                  <c:v>2.1139835337200319E-2</c:v>
                </c:pt>
                <c:pt idx="93">
                  <c:v>1.6213166144200652E-2</c:v>
                </c:pt>
                <c:pt idx="94">
                  <c:v>-2.6981561228812678E-2</c:v>
                </c:pt>
                <c:pt idx="95">
                  <c:v>-7.8285827813450171E-3</c:v>
                </c:pt>
                <c:pt idx="96">
                  <c:v>2.5277248771925276E-2</c:v>
                </c:pt>
                <c:pt idx="97">
                  <c:v>1.5769790151672458E-2</c:v>
                </c:pt>
                <c:pt idx="98">
                  <c:v>1.1929063797582407E-2</c:v>
                </c:pt>
                <c:pt idx="99">
                  <c:v>9.9530645493832726E-3</c:v>
                </c:pt>
                <c:pt idx="100">
                  <c:v>9.3946514132003944E-3</c:v>
                </c:pt>
                <c:pt idx="101">
                  <c:v>-7.4870127295076916E-3</c:v>
                </c:pt>
                <c:pt idx="102">
                  <c:v>-5.0582942440927647E-3</c:v>
                </c:pt>
                <c:pt idx="103">
                  <c:v>-6.1441835062792105E-4</c:v>
                </c:pt>
                <c:pt idx="104">
                  <c:v>-4.2674081723679258E-3</c:v>
                </c:pt>
                <c:pt idx="105">
                  <c:v>0</c:v>
                </c:pt>
                <c:pt idx="106">
                  <c:v>6.4480181529678049E-3</c:v>
                </c:pt>
                <c:pt idx="107">
                  <c:v>1.7651542504111273E-3</c:v>
                </c:pt>
                <c:pt idx="108">
                  <c:v>1.7576388610788474E-2</c:v>
                </c:pt>
                <c:pt idx="109">
                  <c:v>7.3711427435763088E-3</c:v>
                </c:pt>
                <c:pt idx="110">
                  <c:v>0</c:v>
                </c:pt>
                <c:pt idx="111">
                  <c:v>6.7207027288471721E-3</c:v>
                </c:pt>
                <c:pt idx="112">
                  <c:v>-1.3444661849317807E-3</c:v>
                </c:pt>
                <c:pt idx="113">
                  <c:v>3.4083678631841918E-2</c:v>
                </c:pt>
                <c:pt idx="114">
                  <c:v>2.4117088690706279E-2</c:v>
                </c:pt>
                <c:pt idx="115">
                  <c:v>3.5426306322148271E-3</c:v>
                </c:pt>
                <c:pt idx="116">
                  <c:v>8.0130545252765639E-3</c:v>
                </c:pt>
                <c:pt idx="117">
                  <c:v>1.6731673927923296E-3</c:v>
                </c:pt>
                <c:pt idx="118">
                  <c:v>2.5127899199161252E-2</c:v>
                </c:pt>
                <c:pt idx="119">
                  <c:v>-2.0374909623150583E-2</c:v>
                </c:pt>
                <c:pt idx="120">
                  <c:v>-2.7725574060873059E-2</c:v>
                </c:pt>
                <c:pt idx="121">
                  <c:v>5.5951151053295067E-3</c:v>
                </c:pt>
                <c:pt idx="122">
                  <c:v>-1.501649678901773E-2</c:v>
                </c:pt>
                <c:pt idx="123">
                  <c:v>1.7981980634789174E-3</c:v>
                </c:pt>
                <c:pt idx="124">
                  <c:v>-2.4073500490724875E-2</c:v>
                </c:pt>
                <c:pt idx="125">
                  <c:v>1.7413582135209493E-2</c:v>
                </c:pt>
                <c:pt idx="126">
                  <c:v>2.9803738809504265E-2</c:v>
                </c:pt>
                <c:pt idx="127">
                  <c:v>2.0988744689858674E-2</c:v>
                </c:pt>
                <c:pt idx="128">
                  <c:v>-2.0768172150633646E-3</c:v>
                </c:pt>
                <c:pt idx="129">
                  <c:v>1.6727918788999041E-3</c:v>
                </c:pt>
                <c:pt idx="130">
                  <c:v>-1.3742620002074046E-2</c:v>
                </c:pt>
                <c:pt idx="131">
                  <c:v>-2.3723884872261514E-2</c:v>
                </c:pt>
                <c:pt idx="132">
                  <c:v>5.7640526638316203E-3</c:v>
                </c:pt>
                <c:pt idx="133">
                  <c:v>1.6557917631375707E-2</c:v>
                </c:pt>
                <c:pt idx="134">
                  <c:v>4.3771863228365682E-2</c:v>
                </c:pt>
                <c:pt idx="135">
                  <c:v>1.9833577526353841E-2</c:v>
                </c:pt>
                <c:pt idx="136">
                  <c:v>1.460210210210211E-2</c:v>
                </c:pt>
                <c:pt idx="137">
                  <c:v>-1.2905330638136148E-2</c:v>
                </c:pt>
                <c:pt idx="138">
                  <c:v>4.3818700976550051E-3</c:v>
                </c:pt>
                <c:pt idx="139">
                  <c:v>0</c:v>
                </c:pt>
                <c:pt idx="140">
                  <c:v>2.3173629795544937E-2</c:v>
                </c:pt>
                <c:pt idx="141">
                  <c:v>6.440568238321065E-3</c:v>
                </c:pt>
                <c:pt idx="142">
                  <c:v>1.1452520449745096E-2</c:v>
                </c:pt>
                <c:pt idx="143">
                  <c:v>8.4904949073421054E-3</c:v>
                </c:pt>
                <c:pt idx="144">
                  <c:v>1.5372013119358208E-2</c:v>
                </c:pt>
                <c:pt idx="145">
                  <c:v>2.3440451265502649E-2</c:v>
                </c:pt>
                <c:pt idx="146">
                  <c:v>-1.5852956632717019E-2</c:v>
                </c:pt>
                <c:pt idx="147">
                  <c:v>-2.2106032674337195E-2</c:v>
                </c:pt>
                <c:pt idx="148">
                  <c:v>3.5688167324849918E-3</c:v>
                </c:pt>
                <c:pt idx="149">
                  <c:v>2.995825276992381E-3</c:v>
                </c:pt>
                <c:pt idx="150">
                  <c:v>2.9545865516262815E-3</c:v>
                </c:pt>
                <c:pt idx="151">
                  <c:v>-0.10333126209341192</c:v>
                </c:pt>
                <c:pt idx="152">
                  <c:v>-2.3543309348384889E-2</c:v>
                </c:pt>
                <c:pt idx="153">
                  <c:v>-0.14823626315034699</c:v>
                </c:pt>
                <c:pt idx="154">
                  <c:v>6.5749143059428139E-3</c:v>
                </c:pt>
                <c:pt idx="155">
                  <c:v>2.9807729423016793E-2</c:v>
                </c:pt>
                <c:pt idx="156">
                  <c:v>7.126703899446496E-2</c:v>
                </c:pt>
                <c:pt idx="157">
                  <c:v>0</c:v>
                </c:pt>
                <c:pt idx="158">
                  <c:v>1.0674682540621871E-2</c:v>
                </c:pt>
                <c:pt idx="159">
                  <c:v>-1.803486589313108E-2</c:v>
                </c:pt>
                <c:pt idx="160">
                  <c:v>4.4515808181471384E-2</c:v>
                </c:pt>
                <c:pt idx="161">
                  <c:v>9.3932929304858526E-3</c:v>
                </c:pt>
                <c:pt idx="162">
                  <c:v>2.117499076725049E-2</c:v>
                </c:pt>
                <c:pt idx="163">
                  <c:v>0</c:v>
                </c:pt>
                <c:pt idx="164">
                  <c:v>1.1128551077148607E-3</c:v>
                </c:pt>
                <c:pt idx="165">
                  <c:v>-2.5699049849015054E-4</c:v>
                </c:pt>
                <c:pt idx="166">
                  <c:v>-9.3361514348754282E-3</c:v>
                </c:pt>
                <c:pt idx="167">
                  <c:v>3.1833039617412462E-2</c:v>
                </c:pt>
                <c:pt idx="168">
                  <c:v>1.6922098968957133E-2</c:v>
                </c:pt>
                <c:pt idx="169">
                  <c:v>2.0875335300198694E-2</c:v>
                </c:pt>
                <c:pt idx="170">
                  <c:v>3.0157955826198179E-2</c:v>
                </c:pt>
                <c:pt idx="171">
                  <c:v>-2.1678712210033257E-2</c:v>
                </c:pt>
                <c:pt idx="172">
                  <c:v>-5.154208992492415E-3</c:v>
                </c:pt>
                <c:pt idx="173">
                  <c:v>-1.9670018824429425E-2</c:v>
                </c:pt>
                <c:pt idx="174">
                  <c:v>-3.7788160394310877E-3</c:v>
                </c:pt>
                <c:pt idx="175">
                  <c:v>1.4183081315645607E-2</c:v>
                </c:pt>
                <c:pt idx="176">
                  <c:v>-1.8619210716209533E-2</c:v>
                </c:pt>
                <c:pt idx="177">
                  <c:v>-1.5330550981590196E-2</c:v>
                </c:pt>
                <c:pt idx="178">
                  <c:v>-6.4261223802946077E-3</c:v>
                </c:pt>
                <c:pt idx="179">
                  <c:v>-1.2190861969803457E-2</c:v>
                </c:pt>
                <c:pt idx="180">
                  <c:v>6.1295784307422441E-3</c:v>
                </c:pt>
                <c:pt idx="181">
                  <c:v>-4.4772251215961845E-2</c:v>
                </c:pt>
                <c:pt idx="182">
                  <c:v>7.6202617269818029E-2</c:v>
                </c:pt>
                <c:pt idx="183">
                  <c:v>4.4757254059579532E-2</c:v>
                </c:pt>
                <c:pt idx="184">
                  <c:v>8.5349164688850454E-3</c:v>
                </c:pt>
                <c:pt idx="185">
                  <c:v>3.0035659971681783E-2</c:v>
                </c:pt>
                <c:pt idx="186">
                  <c:v>1.3377117619356671E-2</c:v>
                </c:pt>
                <c:pt idx="187">
                  <c:v>2.8843980004521708E-2</c:v>
                </c:pt>
                <c:pt idx="188">
                  <c:v>-8.6370544897418355E-4</c:v>
                </c:pt>
                <c:pt idx="189">
                  <c:v>0</c:v>
                </c:pt>
                <c:pt idx="190">
                  <c:v>-1.1201741335294946E-3</c:v>
                </c:pt>
                <c:pt idx="191">
                  <c:v>-1.9713412248800966E-2</c:v>
                </c:pt>
                <c:pt idx="192">
                  <c:v>-3.1286580823667198E-2</c:v>
                </c:pt>
                <c:pt idx="193">
                  <c:v>3.5290563550477883E-2</c:v>
                </c:pt>
                <c:pt idx="194">
                  <c:v>1.0124589932001715E-2</c:v>
                </c:pt>
                <c:pt idx="195">
                  <c:v>8.9288840645680434E-3</c:v>
                </c:pt>
                <c:pt idx="196">
                  <c:v>-3.211401864834218E-2</c:v>
                </c:pt>
                <c:pt idx="197">
                  <c:v>2.0166495350560698E-2</c:v>
                </c:pt>
                <c:pt idx="198">
                  <c:v>3.6720921581779198E-2</c:v>
                </c:pt>
                <c:pt idx="199">
                  <c:v>-1.8149456137872555E-2</c:v>
                </c:pt>
                <c:pt idx="200">
                  <c:v>4.1924920725355808E-3</c:v>
                </c:pt>
                <c:pt idx="201">
                  <c:v>0</c:v>
                </c:pt>
                <c:pt idx="202">
                  <c:v>3.2245849863598464E-2</c:v>
                </c:pt>
                <c:pt idx="203">
                  <c:v>-3.5293071442066282E-4</c:v>
                </c:pt>
                <c:pt idx="204">
                  <c:v>-1.4781064003091315E-2</c:v>
                </c:pt>
                <c:pt idx="205">
                  <c:v>3.9133747178329514E-2</c:v>
                </c:pt>
                <c:pt idx="206">
                  <c:v>-1.2243767463457456E-2</c:v>
                </c:pt>
                <c:pt idx="207">
                  <c:v>6.2898614471080805E-3</c:v>
                </c:pt>
                <c:pt idx="208">
                  <c:v>1.9142298277821546E-2</c:v>
                </c:pt>
                <c:pt idx="209">
                  <c:v>2.0608221307850005E-2</c:v>
                </c:pt>
                <c:pt idx="210">
                  <c:v>8.956172536330298E-3</c:v>
                </c:pt>
                <c:pt idx="211">
                  <c:v>-1.0042873542572939E-2</c:v>
                </c:pt>
                <c:pt idx="212">
                  <c:v>7.5967341143061695E-3</c:v>
                </c:pt>
                <c:pt idx="213">
                  <c:v>8.7634139212493523E-3</c:v>
                </c:pt>
                <c:pt idx="214">
                  <c:v>-2.61549844518838E-3</c:v>
                </c:pt>
                <c:pt idx="215">
                  <c:v>-2.2089014891150116E-2</c:v>
                </c:pt>
                <c:pt idx="216">
                  <c:v>-9.4452475365701671E-3</c:v>
                </c:pt>
                <c:pt idx="217">
                  <c:v>9.9182228601113476E-3</c:v>
                </c:pt>
                <c:pt idx="218">
                  <c:v>8.9564585664363427E-3</c:v>
                </c:pt>
                <c:pt idx="219">
                  <c:v>1.7774927996299983E-2</c:v>
                </c:pt>
                <c:pt idx="220">
                  <c:v>-1.0405370513813628E-2</c:v>
                </c:pt>
                <c:pt idx="221">
                  <c:v>1.4266704933858732E-2</c:v>
                </c:pt>
                <c:pt idx="222">
                  <c:v>2.940798172548087E-2</c:v>
                </c:pt>
                <c:pt idx="223">
                  <c:v>2.3989804333157672E-4</c:v>
                </c:pt>
                <c:pt idx="224">
                  <c:v>8.1220988042951525E-3</c:v>
                </c:pt>
                <c:pt idx="225">
                  <c:v>7.5833236270095306E-4</c:v>
                </c:pt>
                <c:pt idx="226">
                  <c:v>1.2074597038801649E-2</c:v>
                </c:pt>
                <c:pt idx="227">
                  <c:v>3.6948952652196443E-2</c:v>
                </c:pt>
                <c:pt idx="228">
                  <c:v>5.6205757432750136E-3</c:v>
                </c:pt>
                <c:pt idx="229">
                  <c:v>-1.521885016260649E-2</c:v>
                </c:pt>
                <c:pt idx="230">
                  <c:v>-1.1189051122717397E-2</c:v>
                </c:pt>
                <c:pt idx="231">
                  <c:v>5.966265060241005E-3</c:v>
                </c:pt>
                <c:pt idx="232">
                  <c:v>-1.2719294043250451E-2</c:v>
                </c:pt>
                <c:pt idx="233">
                  <c:v>-2.5521270556038145E-2</c:v>
                </c:pt>
                <c:pt idx="234">
                  <c:v>-5.1161841119191642E-2</c:v>
                </c:pt>
                <c:pt idx="235">
                  <c:v>2.6785761142803066E-2</c:v>
                </c:pt>
                <c:pt idx="236">
                  <c:v>-3.9056390650795025E-2</c:v>
                </c:pt>
                <c:pt idx="237">
                  <c:v>-9.8291859806448612E-3</c:v>
                </c:pt>
              </c:numCache>
            </c:numRef>
          </c:xVal>
          <c:yVal>
            <c:numRef>
              <c:f>Filtered_data_expand_reg!$G$4:$G$241</c:f>
              <c:numCache>
                <c:formatCode>0.000</c:formatCode>
                <c:ptCount val="238"/>
                <c:pt idx="0">
                  <c:v>6.374236733922034E-2</c:v>
                </c:pt>
                <c:pt idx="1">
                  <c:v>-6.9577381799054261E-2</c:v>
                </c:pt>
                <c:pt idx="2">
                  <c:v>-3.2640243025142679E-2</c:v>
                </c:pt>
                <c:pt idx="3">
                  <c:v>0.15472414485550567</c:v>
                </c:pt>
                <c:pt idx="4">
                  <c:v>-4.1196487061209153E-2</c:v>
                </c:pt>
                <c:pt idx="5">
                  <c:v>0.17402808976503037</c:v>
                </c:pt>
                <c:pt idx="6">
                  <c:v>0.10639211379737912</c:v>
                </c:pt>
                <c:pt idx="7">
                  <c:v>-0.24107527078096325</c:v>
                </c:pt>
                <c:pt idx="8">
                  <c:v>-6.3629395628308716E-2</c:v>
                </c:pt>
                <c:pt idx="9">
                  <c:v>0.30493137389590363</c:v>
                </c:pt>
                <c:pt idx="10">
                  <c:v>-9.9694088146233595E-2</c:v>
                </c:pt>
                <c:pt idx="11">
                  <c:v>4.9202239693840744E-2</c:v>
                </c:pt>
                <c:pt idx="12">
                  <c:v>-5.7338704383473105E-2</c:v>
                </c:pt>
                <c:pt idx="13">
                  <c:v>-0.22401247205316632</c:v>
                </c:pt>
                <c:pt idx="14">
                  <c:v>7.6149285977955339E-2</c:v>
                </c:pt>
                <c:pt idx="15">
                  <c:v>-0.23985292129727365</c:v>
                </c:pt>
                <c:pt idx="16">
                  <c:v>0.27851441062209092</c:v>
                </c:pt>
                <c:pt idx="17">
                  <c:v>9.3209512366019931E-2</c:v>
                </c:pt>
                <c:pt idx="18">
                  <c:v>-0.13874585480202728</c:v>
                </c:pt>
                <c:pt idx="19">
                  <c:v>-0.24798440302572866</c:v>
                </c:pt>
                <c:pt idx="20">
                  <c:v>5.7908757271350586E-2</c:v>
                </c:pt>
                <c:pt idx="21">
                  <c:v>0.45176735480827146</c:v>
                </c:pt>
                <c:pt idx="22">
                  <c:v>-0.22900369271421805</c:v>
                </c:pt>
                <c:pt idx="23">
                  <c:v>-9.7515808844483409E-2</c:v>
                </c:pt>
                <c:pt idx="24">
                  <c:v>-6.3114629752217377E-2</c:v>
                </c:pt>
                <c:pt idx="25">
                  <c:v>0.14647427994777207</c:v>
                </c:pt>
                <c:pt idx="26">
                  <c:v>0.3100288529003139</c:v>
                </c:pt>
                <c:pt idx="27">
                  <c:v>-0.20024269284474439</c:v>
                </c:pt>
                <c:pt idx="28">
                  <c:v>-0.24233667381361212</c:v>
                </c:pt>
                <c:pt idx="29">
                  <c:v>0.50448198944331679</c:v>
                </c:pt>
                <c:pt idx="30">
                  <c:v>3.8922328603336886E-3</c:v>
                </c:pt>
                <c:pt idx="31">
                  <c:v>-0.14904448957568295</c:v>
                </c:pt>
                <c:pt idx="32">
                  <c:v>0.26265966133675001</c:v>
                </c:pt>
                <c:pt idx="33">
                  <c:v>-0.14457564942087564</c:v>
                </c:pt>
                <c:pt idx="34">
                  <c:v>-6.7014366600345099E-2</c:v>
                </c:pt>
                <c:pt idx="35">
                  <c:v>0.17082776682243761</c:v>
                </c:pt>
                <c:pt idx="36">
                  <c:v>-2.7218942531175738E-2</c:v>
                </c:pt>
                <c:pt idx="37">
                  <c:v>0.13198899319506019</c:v>
                </c:pt>
                <c:pt idx="38">
                  <c:v>-0.12574177936326447</c:v>
                </c:pt>
                <c:pt idx="39">
                  <c:v>4.9332950956061383E-2</c:v>
                </c:pt>
                <c:pt idx="40">
                  <c:v>-0.15981484600416374</c:v>
                </c:pt>
                <c:pt idx="41">
                  <c:v>-5.6147842941778436E-2</c:v>
                </c:pt>
                <c:pt idx="42">
                  <c:v>0.19138308523306824</c:v>
                </c:pt>
                <c:pt idx="43">
                  <c:v>-0.24145184682630827</c:v>
                </c:pt>
                <c:pt idx="44">
                  <c:v>0.1229370475707674</c:v>
                </c:pt>
                <c:pt idx="45">
                  <c:v>-0.26101682549056582</c:v>
                </c:pt>
                <c:pt idx="46">
                  <c:v>0.98023452515681675</c:v>
                </c:pt>
                <c:pt idx="47">
                  <c:v>-0.2052681539008735</c:v>
                </c:pt>
                <c:pt idx="48">
                  <c:v>-0.19380487155676407</c:v>
                </c:pt>
                <c:pt idx="49">
                  <c:v>-0.23526110652294241</c:v>
                </c:pt>
                <c:pt idx="50">
                  <c:v>0.571186628275824</c:v>
                </c:pt>
                <c:pt idx="51">
                  <c:v>-2.1841314117574839E-2</c:v>
                </c:pt>
                <c:pt idx="52">
                  <c:v>-3.1885734273278454E-2</c:v>
                </c:pt>
                <c:pt idx="53">
                  <c:v>-0.31856331377488967</c:v>
                </c:pt>
                <c:pt idx="54">
                  <c:v>0.77252748703919116</c:v>
                </c:pt>
                <c:pt idx="55">
                  <c:v>-0.29979769633962927</c:v>
                </c:pt>
                <c:pt idx="56">
                  <c:v>4.6875369765686292E-2</c:v>
                </c:pt>
                <c:pt idx="57">
                  <c:v>-7.6978487502075588E-2</c:v>
                </c:pt>
                <c:pt idx="58">
                  <c:v>0.10459623186338107</c:v>
                </c:pt>
                <c:pt idx="59">
                  <c:v>-0.16197111998287583</c:v>
                </c:pt>
                <c:pt idx="60">
                  <c:v>0.17592276827397102</c:v>
                </c:pt>
                <c:pt idx="61">
                  <c:v>2.9713359148964003E-3</c:v>
                </c:pt>
                <c:pt idx="62">
                  <c:v>-0.10049912375329528</c:v>
                </c:pt>
                <c:pt idx="63">
                  <c:v>-3.5688725445889968E-2</c:v>
                </c:pt>
                <c:pt idx="64">
                  <c:v>-7.7802021574578939E-3</c:v>
                </c:pt>
                <c:pt idx="65">
                  <c:v>0.16097403220942796</c:v>
                </c:pt>
                <c:pt idx="66">
                  <c:v>-0.19787309206896009</c:v>
                </c:pt>
                <c:pt idx="67">
                  <c:v>1.9355352019896799E-2</c:v>
                </c:pt>
                <c:pt idx="68">
                  <c:v>-0.11192309402989487</c:v>
                </c:pt>
                <c:pt idx="69">
                  <c:v>0.15210129199046984</c:v>
                </c:pt>
                <c:pt idx="70">
                  <c:v>7.4524472747127701E-2</c:v>
                </c:pt>
                <c:pt idx="71">
                  <c:v>-4.333299226294951E-2</c:v>
                </c:pt>
                <c:pt idx="72">
                  <c:v>-2.3167208987580734E-2</c:v>
                </c:pt>
                <c:pt idx="73">
                  <c:v>-0.28399246253862664</c:v>
                </c:pt>
                <c:pt idx="74">
                  <c:v>0.52122088225672569</c:v>
                </c:pt>
                <c:pt idx="75">
                  <c:v>0.13531640419056523</c:v>
                </c:pt>
                <c:pt idx="76">
                  <c:v>-0.30188694023977491</c:v>
                </c:pt>
                <c:pt idx="77">
                  <c:v>0.18820821502106599</c:v>
                </c:pt>
                <c:pt idx="78">
                  <c:v>0.22989020585949738</c:v>
                </c:pt>
                <c:pt idx="79">
                  <c:v>-0.30543889449578554</c:v>
                </c:pt>
                <c:pt idx="80">
                  <c:v>0.2106411502165082</c:v>
                </c:pt>
                <c:pt idx="81">
                  <c:v>-0.18221279163474247</c:v>
                </c:pt>
                <c:pt idx="82">
                  <c:v>0.3750862258202412</c:v>
                </c:pt>
                <c:pt idx="83">
                  <c:v>-0.16207685838676988</c:v>
                </c:pt>
                <c:pt idx="84">
                  <c:v>-3.6737840098323038E-2</c:v>
                </c:pt>
                <c:pt idx="85">
                  <c:v>0.32225971017738209</c:v>
                </c:pt>
                <c:pt idx="86">
                  <c:v>0.13976680745721293</c:v>
                </c:pt>
                <c:pt idx="87">
                  <c:v>-0.2292567437715366</c:v>
                </c:pt>
                <c:pt idx="88">
                  <c:v>1.936421676373512E-2</c:v>
                </c:pt>
                <c:pt idx="89">
                  <c:v>-0.14396578167221041</c:v>
                </c:pt>
                <c:pt idx="90">
                  <c:v>0.13570814408350862</c:v>
                </c:pt>
                <c:pt idx="91">
                  <c:v>-7.5796938434797068E-2</c:v>
                </c:pt>
                <c:pt idx="92">
                  <c:v>5.1302925101365249E-2</c:v>
                </c:pt>
                <c:pt idx="93">
                  <c:v>2.0450380442365468E-2</c:v>
                </c:pt>
                <c:pt idx="94">
                  <c:v>0.12357405356520146</c:v>
                </c:pt>
                <c:pt idx="95">
                  <c:v>-0.13856735727056535</c:v>
                </c:pt>
                <c:pt idx="96">
                  <c:v>-0.10140229785473709</c:v>
                </c:pt>
                <c:pt idx="97">
                  <c:v>0.10004878378052084</c:v>
                </c:pt>
                <c:pt idx="98">
                  <c:v>7.8954027795812953E-2</c:v>
                </c:pt>
                <c:pt idx="99">
                  <c:v>-4.2749482979626219E-2</c:v>
                </c:pt>
                <c:pt idx="100">
                  <c:v>-7.9253408692884331E-2</c:v>
                </c:pt>
                <c:pt idx="101">
                  <c:v>0.26218617699153968</c:v>
                </c:pt>
                <c:pt idx="102">
                  <c:v>-8.0203455804175872E-2</c:v>
                </c:pt>
                <c:pt idx="103">
                  <c:v>-6.4953879054860386E-2</c:v>
                </c:pt>
                <c:pt idx="104">
                  <c:v>-3.3779418371947423E-2</c:v>
                </c:pt>
                <c:pt idx="105">
                  <c:v>-8.3000521699690855E-2</c:v>
                </c:pt>
                <c:pt idx="106">
                  <c:v>7.0996017700668768E-2</c:v>
                </c:pt>
                <c:pt idx="107">
                  <c:v>-1.8296491552647454E-2</c:v>
                </c:pt>
                <c:pt idx="108">
                  <c:v>-9.1051454596139392E-2</c:v>
                </c:pt>
                <c:pt idx="109">
                  <c:v>0.22894042869599041</c:v>
                </c:pt>
                <c:pt idx="110">
                  <c:v>0.13512029983184148</c:v>
                </c:pt>
                <c:pt idx="111">
                  <c:v>1.7552677745436007E-4</c:v>
                </c:pt>
                <c:pt idx="112">
                  <c:v>-8.2941997315965077E-3</c:v>
                </c:pt>
                <c:pt idx="113">
                  <c:v>-8.6993846905893069E-2</c:v>
                </c:pt>
                <c:pt idx="114">
                  <c:v>0.15200424063636064</c:v>
                </c:pt>
                <c:pt idx="115">
                  <c:v>-9.0410564082143319E-2</c:v>
                </c:pt>
                <c:pt idx="116">
                  <c:v>-9.1737892267886978E-2</c:v>
                </c:pt>
                <c:pt idx="117">
                  <c:v>1.0626430781072393E-2</c:v>
                </c:pt>
                <c:pt idx="118">
                  <c:v>-0.12866217778739752</c:v>
                </c:pt>
                <c:pt idx="119">
                  <c:v>0.17167152146226439</c:v>
                </c:pt>
                <c:pt idx="120">
                  <c:v>-0.20496662895837781</c:v>
                </c:pt>
                <c:pt idx="121">
                  <c:v>9.7200944323923233E-2</c:v>
                </c:pt>
                <c:pt idx="122">
                  <c:v>-9.9841543634592633E-2</c:v>
                </c:pt>
                <c:pt idx="123">
                  <c:v>0.17810585780260713</c:v>
                </c:pt>
                <c:pt idx="124">
                  <c:v>-1.5384905906818735E-2</c:v>
                </c:pt>
                <c:pt idx="125">
                  <c:v>2.1315581318713805E-2</c:v>
                </c:pt>
                <c:pt idx="126">
                  <c:v>-0.12470528417839277</c:v>
                </c:pt>
                <c:pt idx="127">
                  <c:v>0.33388515544610309</c:v>
                </c:pt>
                <c:pt idx="128">
                  <c:v>-6.3704862887431268E-2</c:v>
                </c:pt>
                <c:pt idx="129">
                  <c:v>-2.7267071558835676E-2</c:v>
                </c:pt>
                <c:pt idx="130">
                  <c:v>-0.11947212288368558</c:v>
                </c:pt>
                <c:pt idx="131">
                  <c:v>0.36921913769444137</c:v>
                </c:pt>
                <c:pt idx="132">
                  <c:v>-0.16090851806287232</c:v>
                </c:pt>
                <c:pt idx="133">
                  <c:v>-6.1262112888136766E-2</c:v>
                </c:pt>
                <c:pt idx="134">
                  <c:v>-8.2613868940551671E-2</c:v>
                </c:pt>
                <c:pt idx="135">
                  <c:v>-0.21344681249678477</c:v>
                </c:pt>
                <c:pt idx="136">
                  <c:v>-0.19595751046838938</c:v>
                </c:pt>
                <c:pt idx="137">
                  <c:v>0.42397523043300001</c:v>
                </c:pt>
                <c:pt idx="138">
                  <c:v>1.1213134735983399E-2</c:v>
                </c:pt>
                <c:pt idx="139">
                  <c:v>-0.30785508973904385</c:v>
                </c:pt>
                <c:pt idx="140">
                  <c:v>0.79934665392376747</c:v>
                </c:pt>
                <c:pt idx="141">
                  <c:v>-4.0300951325289103E-2</c:v>
                </c:pt>
                <c:pt idx="142">
                  <c:v>-8.6339509966433581E-2</c:v>
                </c:pt>
                <c:pt idx="143">
                  <c:v>5.8919888530980291E-2</c:v>
                </c:pt>
                <c:pt idx="144">
                  <c:v>-1.1179306313778836E-2</c:v>
                </c:pt>
                <c:pt idx="145">
                  <c:v>7.7052693011860462E-2</c:v>
                </c:pt>
                <c:pt idx="146">
                  <c:v>-0.12246354273405269</c:v>
                </c:pt>
                <c:pt idx="147">
                  <c:v>0.23245678575069095</c:v>
                </c:pt>
                <c:pt idx="148">
                  <c:v>-0.16048107499426345</c:v>
                </c:pt>
                <c:pt idx="149">
                  <c:v>4.0961890488400599E-2</c:v>
                </c:pt>
                <c:pt idx="150">
                  <c:v>0.13713002912188021</c:v>
                </c:pt>
                <c:pt idx="151">
                  <c:v>-8.9098709966752399E-2</c:v>
                </c:pt>
                <c:pt idx="152">
                  <c:v>-0.33320311602852482</c:v>
                </c:pt>
                <c:pt idx="153">
                  <c:v>0.25052017507228919</c:v>
                </c:pt>
                <c:pt idx="154">
                  <c:v>0.39878840883088129</c:v>
                </c:pt>
                <c:pt idx="155">
                  <c:v>-8.917158971879191E-2</c:v>
                </c:pt>
                <c:pt idx="156">
                  <c:v>-2.9455673524724779E-2</c:v>
                </c:pt>
                <c:pt idx="157">
                  <c:v>8.9038971766921549E-2</c:v>
                </c:pt>
                <c:pt idx="158">
                  <c:v>-0.48792706919901851</c:v>
                </c:pt>
                <c:pt idx="159">
                  <c:v>7.0192180053583852E-2</c:v>
                </c:pt>
                <c:pt idx="160">
                  <c:v>-0.21882214064068484</c:v>
                </c:pt>
                <c:pt idx="161">
                  <c:v>-0.21339142555966262</c:v>
                </c:pt>
                <c:pt idx="162">
                  <c:v>0.10375203794584431</c:v>
                </c:pt>
                <c:pt idx="163">
                  <c:v>-2.8949017574536273E-2</c:v>
                </c:pt>
                <c:pt idx="164">
                  <c:v>-0.50030284492936028</c:v>
                </c:pt>
                <c:pt idx="165">
                  <c:v>0.70946388753580147</c:v>
                </c:pt>
                <c:pt idx="166">
                  <c:v>0.13431810043201331</c:v>
                </c:pt>
                <c:pt idx="167">
                  <c:v>-0.2054424500551808</c:v>
                </c:pt>
                <c:pt idx="168">
                  <c:v>0.49306364352395837</c:v>
                </c:pt>
                <c:pt idx="169">
                  <c:v>-7.6975107640149587E-2</c:v>
                </c:pt>
                <c:pt idx="170">
                  <c:v>0.35269108902383239</c:v>
                </c:pt>
                <c:pt idx="171">
                  <c:v>-0.13069486526202068</c:v>
                </c:pt>
                <c:pt idx="172">
                  <c:v>-0.41664531513663172</c:v>
                </c:pt>
                <c:pt idx="173">
                  <c:v>0.45869365516186389</c:v>
                </c:pt>
                <c:pt idx="174">
                  <c:v>0.23636136238232974</c:v>
                </c:pt>
                <c:pt idx="175">
                  <c:v>-3.1505321445701728E-4</c:v>
                </c:pt>
                <c:pt idx="176">
                  <c:v>-0.12825527266265224</c:v>
                </c:pt>
                <c:pt idx="177">
                  <c:v>-0.16341464868075273</c:v>
                </c:pt>
                <c:pt idx="178">
                  <c:v>0.39165432979630221</c:v>
                </c:pt>
                <c:pt idx="179">
                  <c:v>6.4527838207053101E-2</c:v>
                </c:pt>
                <c:pt idx="180">
                  <c:v>-0.25124514885039406</c:v>
                </c:pt>
                <c:pt idx="181">
                  <c:v>-0.27509061474342311</c:v>
                </c:pt>
                <c:pt idx="182">
                  <c:v>0.48599880115219318</c:v>
                </c:pt>
                <c:pt idx="183">
                  <c:v>0.18003491830165608</c:v>
                </c:pt>
                <c:pt idx="184">
                  <c:v>-0.18327564460939505</c:v>
                </c:pt>
                <c:pt idx="185">
                  <c:v>-0.52745793193492618</c:v>
                </c:pt>
                <c:pt idx="186">
                  <c:v>1.1674211883655401</c:v>
                </c:pt>
                <c:pt idx="187">
                  <c:v>7.0343636212653937E-2</c:v>
                </c:pt>
                <c:pt idx="188">
                  <c:v>0.16723069058085738</c:v>
                </c:pt>
                <c:pt idx="189">
                  <c:v>-7.4838578731454719E-2</c:v>
                </c:pt>
                <c:pt idx="190">
                  <c:v>6.558618033040764E-2</c:v>
                </c:pt>
                <c:pt idx="191">
                  <c:v>-0.15494853220101901</c:v>
                </c:pt>
                <c:pt idx="192">
                  <c:v>3.4483507954985448E-4</c:v>
                </c:pt>
                <c:pt idx="193">
                  <c:v>0.14548290185257962</c:v>
                </c:pt>
                <c:pt idx="194">
                  <c:v>0.15507735347746587</c:v>
                </c:pt>
                <c:pt idx="195">
                  <c:v>-0.23025037395852643</c:v>
                </c:pt>
                <c:pt idx="196">
                  <c:v>-0.16056651348639661</c:v>
                </c:pt>
                <c:pt idx="197">
                  <c:v>-7.9462809137384571E-2</c:v>
                </c:pt>
                <c:pt idx="198">
                  <c:v>0.57285704709366292</c:v>
                </c:pt>
                <c:pt idx="199">
                  <c:v>2.3599990894461742E-2</c:v>
                </c:pt>
                <c:pt idx="200">
                  <c:v>-0.25415744490874215</c:v>
                </c:pt>
                <c:pt idx="201">
                  <c:v>0.33068977042551495</c:v>
                </c:pt>
                <c:pt idx="202">
                  <c:v>0.11862837552326733</c:v>
                </c:pt>
                <c:pt idx="203">
                  <c:v>-0.21629284093084478</c:v>
                </c:pt>
                <c:pt idx="204">
                  <c:v>-7.1437323116267493E-2</c:v>
                </c:pt>
                <c:pt idx="205">
                  <c:v>0.12593123862379763</c:v>
                </c:pt>
                <c:pt idx="206">
                  <c:v>0.1596756141949347</c:v>
                </c:pt>
                <c:pt idx="207">
                  <c:v>-0.17519687731870626</c:v>
                </c:pt>
                <c:pt idx="208">
                  <c:v>0.24609664825537547</c:v>
                </c:pt>
                <c:pt idx="209">
                  <c:v>-0.17435116731601275</c:v>
                </c:pt>
                <c:pt idx="210">
                  <c:v>0.41670339135074896</c:v>
                </c:pt>
                <c:pt idx="211">
                  <c:v>-6.8414070850575381E-2</c:v>
                </c:pt>
                <c:pt idx="212">
                  <c:v>-0.5187378485726053</c:v>
                </c:pt>
                <c:pt idx="213">
                  <c:v>0.26006395575701835</c:v>
                </c:pt>
                <c:pt idx="214">
                  <c:v>0.28202575091432758</c:v>
                </c:pt>
                <c:pt idx="215">
                  <c:v>1.6404287454819144E-2</c:v>
                </c:pt>
                <c:pt idx="216">
                  <c:v>-0.30712818936500585</c:v>
                </c:pt>
                <c:pt idx="217">
                  <c:v>7.5806655841493154E-2</c:v>
                </c:pt>
                <c:pt idx="218">
                  <c:v>0.39191389726641157</c:v>
                </c:pt>
                <c:pt idx="219">
                  <c:v>-8.8771280806000386E-2</c:v>
                </c:pt>
                <c:pt idx="220">
                  <c:v>0.1422901122757918</c:v>
                </c:pt>
                <c:pt idx="221">
                  <c:v>-0.4082142379698277</c:v>
                </c:pt>
                <c:pt idx="222">
                  <c:v>0.27188660040926615</c:v>
                </c:pt>
                <c:pt idx="223">
                  <c:v>0.60581736294816957</c:v>
                </c:pt>
                <c:pt idx="224">
                  <c:v>-0.22602437988642998</c:v>
                </c:pt>
                <c:pt idx="225">
                  <c:v>6.9797580133379444E-2</c:v>
                </c:pt>
                <c:pt idx="226">
                  <c:v>0.1368022427391471</c:v>
                </c:pt>
                <c:pt idx="227">
                  <c:v>-0.1334276238371267</c:v>
                </c:pt>
                <c:pt idx="228">
                  <c:v>0.20604073729449701</c:v>
                </c:pt>
                <c:pt idx="229">
                  <c:v>-0.11917404981914537</c:v>
                </c:pt>
                <c:pt idx="230">
                  <c:v>-0.30553802367495153</c:v>
                </c:pt>
                <c:pt idx="231">
                  <c:v>0.45688220932205614</c:v>
                </c:pt>
                <c:pt idx="232">
                  <c:v>-0.21878686095073174</c:v>
                </c:pt>
                <c:pt idx="233">
                  <c:v>0.11793600999234322</c:v>
                </c:pt>
                <c:pt idx="234">
                  <c:v>-0.36185127932269179</c:v>
                </c:pt>
                <c:pt idx="235">
                  <c:v>0.92052412478490875</c:v>
                </c:pt>
                <c:pt idx="236">
                  <c:v>-5.3619996842472539E-2</c:v>
                </c:pt>
                <c:pt idx="237">
                  <c:v>-0.25261086755876472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3-4EAE-82B6-BE403AD4508B}"/>
            </c:ext>
          </c:extLst>
        </c:ser>
        <c:ser>
          <c:idx val="1"/>
          <c:order val="1"/>
          <c:tx>
            <c:v>Predicted Urals loading</c:v>
          </c:tx>
          <c:spPr>
            <a:ln w="19050">
              <a:noFill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Filtered_data_expand_reg!$D$4:$D$241</c:f>
              <c:numCache>
                <c:formatCode>0.000</c:formatCode>
                <c:ptCount val="238"/>
                <c:pt idx="0">
                  <c:v>-8.4645856011706933E-3</c:v>
                </c:pt>
                <c:pt idx="1">
                  <c:v>-1.6048724711756113E-2</c:v>
                </c:pt>
                <c:pt idx="2">
                  <c:v>4.9116650308339116E-2</c:v>
                </c:pt>
                <c:pt idx="3">
                  <c:v>-1.7404735111758329E-2</c:v>
                </c:pt>
                <c:pt idx="4">
                  <c:v>-2.8931874014757941E-2</c:v>
                </c:pt>
                <c:pt idx="5">
                  <c:v>-1.5715547662323859E-2</c:v>
                </c:pt>
                <c:pt idx="6">
                  <c:v>-1.6502130898736422E-2</c:v>
                </c:pt>
                <c:pt idx="7">
                  <c:v>-1.7295004037093609E-2</c:v>
                </c:pt>
                <c:pt idx="8">
                  <c:v>-4.0318150217075188E-2</c:v>
                </c:pt>
                <c:pt idx="9">
                  <c:v>3.1915540335163861E-2</c:v>
                </c:pt>
                <c:pt idx="10">
                  <c:v>1.3795067158903773E-3</c:v>
                </c:pt>
                <c:pt idx="11">
                  <c:v>-2.1507326806453619E-2</c:v>
                </c:pt>
                <c:pt idx="12">
                  <c:v>1.2189989478430752E-2</c:v>
                </c:pt>
                <c:pt idx="13">
                  <c:v>0</c:v>
                </c:pt>
                <c:pt idx="14">
                  <c:v>3.7018182566127766E-2</c:v>
                </c:pt>
                <c:pt idx="15">
                  <c:v>-7.0907567275413363E-3</c:v>
                </c:pt>
                <c:pt idx="16">
                  <c:v>-3.9102881028361125E-3</c:v>
                </c:pt>
                <c:pt idx="17">
                  <c:v>-1.6133722387670524E-2</c:v>
                </c:pt>
                <c:pt idx="18">
                  <c:v>-1.4344679983693487E-2</c:v>
                </c:pt>
                <c:pt idx="19">
                  <c:v>-2.7080263668088467E-2</c:v>
                </c:pt>
                <c:pt idx="20">
                  <c:v>7.8113791069522875E-4</c:v>
                </c:pt>
                <c:pt idx="21">
                  <c:v>-3.2086612082788957E-2</c:v>
                </c:pt>
                <c:pt idx="22">
                  <c:v>2.4438946519575788E-2</c:v>
                </c:pt>
                <c:pt idx="23">
                  <c:v>6.4472599145362075E-3</c:v>
                </c:pt>
                <c:pt idx="24">
                  <c:v>1.7547220005320607E-2</c:v>
                </c:pt>
                <c:pt idx="25">
                  <c:v>2.5208106751443138E-2</c:v>
                </c:pt>
                <c:pt idx="26">
                  <c:v>-1.8136472364320699E-2</c:v>
                </c:pt>
                <c:pt idx="27">
                  <c:v>-4.3529527876040586E-3</c:v>
                </c:pt>
                <c:pt idx="28">
                  <c:v>1.9167862266858071E-2</c:v>
                </c:pt>
                <c:pt idx="29">
                  <c:v>-4.4330915438522966E-3</c:v>
                </c:pt>
                <c:pt idx="30">
                  <c:v>-7.2602746769639959E-3</c:v>
                </c:pt>
                <c:pt idx="31">
                  <c:v>2.5084036442552193E-2</c:v>
                </c:pt>
                <c:pt idx="32">
                  <c:v>1.6087795709247343E-2</c:v>
                </c:pt>
                <c:pt idx="33">
                  <c:v>1.0825567633691024E-2</c:v>
                </c:pt>
                <c:pt idx="34">
                  <c:v>1.0360349280531311E-2</c:v>
                </c:pt>
                <c:pt idx="35">
                  <c:v>-1.0614419055315905E-3</c:v>
                </c:pt>
                <c:pt idx="36">
                  <c:v>1.2458386746148076E-2</c:v>
                </c:pt>
                <c:pt idx="37">
                  <c:v>8.0252649011405275E-3</c:v>
                </c:pt>
                <c:pt idx="38">
                  <c:v>2.3449514294173746E-3</c:v>
                </c:pt>
                <c:pt idx="39">
                  <c:v>-1.429885123191188E-2</c:v>
                </c:pt>
                <c:pt idx="40">
                  <c:v>5.9890949167615837E-3</c:v>
                </c:pt>
                <c:pt idx="41">
                  <c:v>4.2337169353482418E-2</c:v>
                </c:pt>
                <c:pt idx="42">
                  <c:v>-1.7217853092759916E-2</c:v>
                </c:pt>
                <c:pt idx="43">
                  <c:v>1.3724782002992653E-2</c:v>
                </c:pt>
                <c:pt idx="44">
                  <c:v>-2.5532466210432481E-2</c:v>
                </c:pt>
                <c:pt idx="45">
                  <c:v>-4.7483606284925983E-4</c:v>
                </c:pt>
                <c:pt idx="46">
                  <c:v>1.8527403930659991E-2</c:v>
                </c:pt>
                <c:pt idx="47">
                  <c:v>-1.914654452679343E-2</c:v>
                </c:pt>
                <c:pt idx="48">
                  <c:v>3.2335682425554957E-3</c:v>
                </c:pt>
                <c:pt idx="49">
                  <c:v>4.6294804099083375E-2</c:v>
                </c:pt>
                <c:pt idx="50">
                  <c:v>2.490248753063562E-2</c:v>
                </c:pt>
                <c:pt idx="51">
                  <c:v>1.0586196836959161E-2</c:v>
                </c:pt>
                <c:pt idx="52">
                  <c:v>3.9058228689647922E-3</c:v>
                </c:pt>
                <c:pt idx="53">
                  <c:v>-5.846832167161975E-3</c:v>
                </c:pt>
                <c:pt idx="54">
                  <c:v>-3.7127931844476492E-2</c:v>
                </c:pt>
                <c:pt idx="55">
                  <c:v>2.6466465190795319E-2</c:v>
                </c:pt>
                <c:pt idx="56">
                  <c:v>0</c:v>
                </c:pt>
                <c:pt idx="57">
                  <c:v>9.9832229426259911E-3</c:v>
                </c:pt>
                <c:pt idx="58">
                  <c:v>-7.3928597692597409E-3</c:v>
                </c:pt>
                <c:pt idx="59">
                  <c:v>-3.9527586507450696E-3</c:v>
                </c:pt>
                <c:pt idx="60">
                  <c:v>0</c:v>
                </c:pt>
                <c:pt idx="61">
                  <c:v>-4.6496845999745795E-2</c:v>
                </c:pt>
                <c:pt idx="62">
                  <c:v>2.6434836977509812E-2</c:v>
                </c:pt>
                <c:pt idx="63">
                  <c:v>3.0828697607338196E-2</c:v>
                </c:pt>
                <c:pt idx="64">
                  <c:v>-5.2227035529157639E-3</c:v>
                </c:pt>
                <c:pt idx="65">
                  <c:v>2.4368085190022315E-2</c:v>
                </c:pt>
                <c:pt idx="66">
                  <c:v>-7.811500643851943E-3</c:v>
                </c:pt>
                <c:pt idx="67">
                  <c:v>-8.753985921424623E-3</c:v>
                </c:pt>
                <c:pt idx="68">
                  <c:v>-4.8687011449901618E-3</c:v>
                </c:pt>
                <c:pt idx="69">
                  <c:v>-1.1945942649019381E-2</c:v>
                </c:pt>
                <c:pt idx="70">
                  <c:v>-1.3399943560619354E-2</c:v>
                </c:pt>
                <c:pt idx="71">
                  <c:v>5.4300947920249421E-3</c:v>
                </c:pt>
                <c:pt idx="72">
                  <c:v>2.0567369581451667E-2</c:v>
                </c:pt>
                <c:pt idx="73">
                  <c:v>2.1529214486378345E-2</c:v>
                </c:pt>
                <c:pt idx="74">
                  <c:v>4.4768864746846937E-4</c:v>
                </c:pt>
                <c:pt idx="75">
                  <c:v>-4.2025545189926738E-2</c:v>
                </c:pt>
                <c:pt idx="76">
                  <c:v>1.9974909022964393E-2</c:v>
                </c:pt>
                <c:pt idx="77">
                  <c:v>-7.7070030356953811E-3</c:v>
                </c:pt>
                <c:pt idx="78">
                  <c:v>-8.7602470275379707E-3</c:v>
                </c:pt>
                <c:pt idx="79">
                  <c:v>1.092624782716678E-2</c:v>
                </c:pt>
                <c:pt idx="80">
                  <c:v>2.8989893673017963E-2</c:v>
                </c:pt>
                <c:pt idx="81">
                  <c:v>-1.0243621714943307E-2</c:v>
                </c:pt>
                <c:pt idx="82">
                  <c:v>1.6555977638232022E-2</c:v>
                </c:pt>
                <c:pt idx="83">
                  <c:v>2.8191809376933108E-2</c:v>
                </c:pt>
                <c:pt idx="84">
                  <c:v>2.0009889566507288E-2</c:v>
                </c:pt>
                <c:pt idx="85">
                  <c:v>-9.8813909895933971E-3</c:v>
                </c:pt>
                <c:pt idx="86">
                  <c:v>-1.95356807703293E-2</c:v>
                </c:pt>
                <c:pt idx="87">
                  <c:v>-2.423200805652892E-2</c:v>
                </c:pt>
                <c:pt idx="88">
                  <c:v>-2.1993440777212547E-2</c:v>
                </c:pt>
                <c:pt idx="89">
                  <c:v>4.8076503780710045E-2</c:v>
                </c:pt>
                <c:pt idx="90">
                  <c:v>-1.2814805260727091E-2</c:v>
                </c:pt>
                <c:pt idx="91">
                  <c:v>-1.2517543526912811E-2</c:v>
                </c:pt>
                <c:pt idx="92">
                  <c:v>2.1139835337200319E-2</c:v>
                </c:pt>
                <c:pt idx="93">
                  <c:v>1.6213166144200652E-2</c:v>
                </c:pt>
                <c:pt idx="94">
                  <c:v>-2.6981561228812678E-2</c:v>
                </c:pt>
                <c:pt idx="95">
                  <c:v>-7.8285827813450171E-3</c:v>
                </c:pt>
                <c:pt idx="96">
                  <c:v>2.5277248771925276E-2</c:v>
                </c:pt>
                <c:pt idx="97">
                  <c:v>1.5769790151672458E-2</c:v>
                </c:pt>
                <c:pt idx="98">
                  <c:v>1.1929063797582407E-2</c:v>
                </c:pt>
                <c:pt idx="99">
                  <c:v>9.9530645493832726E-3</c:v>
                </c:pt>
                <c:pt idx="100">
                  <c:v>9.3946514132003944E-3</c:v>
                </c:pt>
                <c:pt idx="101">
                  <c:v>-7.4870127295076916E-3</c:v>
                </c:pt>
                <c:pt idx="102">
                  <c:v>-5.0582942440927647E-3</c:v>
                </c:pt>
                <c:pt idx="103">
                  <c:v>-6.1441835062792105E-4</c:v>
                </c:pt>
                <c:pt idx="104">
                  <c:v>-4.2674081723679258E-3</c:v>
                </c:pt>
                <c:pt idx="105">
                  <c:v>0</c:v>
                </c:pt>
                <c:pt idx="106">
                  <c:v>6.4480181529678049E-3</c:v>
                </c:pt>
                <c:pt idx="107">
                  <c:v>1.7651542504111273E-3</c:v>
                </c:pt>
                <c:pt idx="108">
                  <c:v>1.7576388610788474E-2</c:v>
                </c:pt>
                <c:pt idx="109">
                  <c:v>7.3711427435763088E-3</c:v>
                </c:pt>
                <c:pt idx="110">
                  <c:v>0</c:v>
                </c:pt>
                <c:pt idx="111">
                  <c:v>6.7207027288471721E-3</c:v>
                </c:pt>
                <c:pt idx="112">
                  <c:v>-1.3444661849317807E-3</c:v>
                </c:pt>
                <c:pt idx="113">
                  <c:v>3.4083678631841918E-2</c:v>
                </c:pt>
                <c:pt idx="114">
                  <c:v>2.4117088690706279E-2</c:v>
                </c:pt>
                <c:pt idx="115">
                  <c:v>3.5426306322148271E-3</c:v>
                </c:pt>
                <c:pt idx="116">
                  <c:v>8.0130545252765639E-3</c:v>
                </c:pt>
                <c:pt idx="117">
                  <c:v>1.6731673927923296E-3</c:v>
                </c:pt>
                <c:pt idx="118">
                  <c:v>2.5127899199161252E-2</c:v>
                </c:pt>
                <c:pt idx="119">
                  <c:v>-2.0374909623150583E-2</c:v>
                </c:pt>
                <c:pt idx="120">
                  <c:v>-2.7725574060873059E-2</c:v>
                </c:pt>
                <c:pt idx="121">
                  <c:v>5.5951151053295067E-3</c:v>
                </c:pt>
                <c:pt idx="122">
                  <c:v>-1.501649678901773E-2</c:v>
                </c:pt>
                <c:pt idx="123">
                  <c:v>1.7981980634789174E-3</c:v>
                </c:pt>
                <c:pt idx="124">
                  <c:v>-2.4073500490724875E-2</c:v>
                </c:pt>
                <c:pt idx="125">
                  <c:v>1.7413582135209493E-2</c:v>
                </c:pt>
                <c:pt idx="126">
                  <c:v>2.9803738809504265E-2</c:v>
                </c:pt>
                <c:pt idx="127">
                  <c:v>2.0988744689858674E-2</c:v>
                </c:pt>
                <c:pt idx="128">
                  <c:v>-2.0768172150633646E-3</c:v>
                </c:pt>
                <c:pt idx="129">
                  <c:v>1.6727918788999041E-3</c:v>
                </c:pt>
                <c:pt idx="130">
                  <c:v>-1.3742620002074046E-2</c:v>
                </c:pt>
                <c:pt idx="131">
                  <c:v>-2.3723884872261514E-2</c:v>
                </c:pt>
                <c:pt idx="132">
                  <c:v>5.7640526638316203E-3</c:v>
                </c:pt>
                <c:pt idx="133">
                  <c:v>1.6557917631375707E-2</c:v>
                </c:pt>
                <c:pt idx="134">
                  <c:v>4.3771863228365682E-2</c:v>
                </c:pt>
                <c:pt idx="135">
                  <c:v>1.9833577526353841E-2</c:v>
                </c:pt>
                <c:pt idx="136">
                  <c:v>1.460210210210211E-2</c:v>
                </c:pt>
                <c:pt idx="137">
                  <c:v>-1.2905330638136148E-2</c:v>
                </c:pt>
                <c:pt idx="138">
                  <c:v>4.3818700976550051E-3</c:v>
                </c:pt>
                <c:pt idx="139">
                  <c:v>0</c:v>
                </c:pt>
                <c:pt idx="140">
                  <c:v>2.3173629795544937E-2</c:v>
                </c:pt>
                <c:pt idx="141">
                  <c:v>6.440568238321065E-3</c:v>
                </c:pt>
                <c:pt idx="142">
                  <c:v>1.1452520449745096E-2</c:v>
                </c:pt>
                <c:pt idx="143">
                  <c:v>8.4904949073421054E-3</c:v>
                </c:pt>
                <c:pt idx="144">
                  <c:v>1.5372013119358208E-2</c:v>
                </c:pt>
                <c:pt idx="145">
                  <c:v>2.3440451265502649E-2</c:v>
                </c:pt>
                <c:pt idx="146">
                  <c:v>-1.5852956632717019E-2</c:v>
                </c:pt>
                <c:pt idx="147">
                  <c:v>-2.2106032674337195E-2</c:v>
                </c:pt>
                <c:pt idx="148">
                  <c:v>3.5688167324849918E-3</c:v>
                </c:pt>
                <c:pt idx="149">
                  <c:v>2.995825276992381E-3</c:v>
                </c:pt>
                <c:pt idx="150">
                  <c:v>2.9545865516262815E-3</c:v>
                </c:pt>
                <c:pt idx="151">
                  <c:v>-0.10333126209341192</c:v>
                </c:pt>
                <c:pt idx="152">
                  <c:v>-2.3543309348384889E-2</c:v>
                </c:pt>
                <c:pt idx="153">
                  <c:v>-0.14823626315034699</c:v>
                </c:pt>
                <c:pt idx="154">
                  <c:v>6.5749143059428139E-3</c:v>
                </c:pt>
                <c:pt idx="155">
                  <c:v>2.9807729423016793E-2</c:v>
                </c:pt>
                <c:pt idx="156">
                  <c:v>7.126703899446496E-2</c:v>
                </c:pt>
                <c:pt idx="157">
                  <c:v>0</c:v>
                </c:pt>
                <c:pt idx="158">
                  <c:v>1.0674682540621871E-2</c:v>
                </c:pt>
                <c:pt idx="159">
                  <c:v>-1.803486589313108E-2</c:v>
                </c:pt>
                <c:pt idx="160">
                  <c:v>4.4515808181471384E-2</c:v>
                </c:pt>
                <c:pt idx="161">
                  <c:v>9.3932929304858526E-3</c:v>
                </c:pt>
                <c:pt idx="162">
                  <c:v>2.117499076725049E-2</c:v>
                </c:pt>
                <c:pt idx="163">
                  <c:v>0</c:v>
                </c:pt>
                <c:pt idx="164">
                  <c:v>1.1128551077148607E-3</c:v>
                </c:pt>
                <c:pt idx="165">
                  <c:v>-2.5699049849015054E-4</c:v>
                </c:pt>
                <c:pt idx="166">
                  <c:v>-9.3361514348754282E-3</c:v>
                </c:pt>
                <c:pt idx="167">
                  <c:v>3.1833039617412462E-2</c:v>
                </c:pt>
                <c:pt idx="168">
                  <c:v>1.6922098968957133E-2</c:v>
                </c:pt>
                <c:pt idx="169">
                  <c:v>2.0875335300198694E-2</c:v>
                </c:pt>
                <c:pt idx="170">
                  <c:v>3.0157955826198179E-2</c:v>
                </c:pt>
                <c:pt idx="171">
                  <c:v>-2.1678712210033257E-2</c:v>
                </c:pt>
                <c:pt idx="172">
                  <c:v>-5.154208992492415E-3</c:v>
                </c:pt>
                <c:pt idx="173">
                  <c:v>-1.9670018824429425E-2</c:v>
                </c:pt>
                <c:pt idx="174">
                  <c:v>-3.7788160394310877E-3</c:v>
                </c:pt>
                <c:pt idx="175">
                  <c:v>1.4183081315645607E-2</c:v>
                </c:pt>
                <c:pt idx="176">
                  <c:v>-1.8619210716209533E-2</c:v>
                </c:pt>
                <c:pt idx="177">
                  <c:v>-1.5330550981590196E-2</c:v>
                </c:pt>
                <c:pt idx="178">
                  <c:v>-6.4261223802946077E-3</c:v>
                </c:pt>
                <c:pt idx="179">
                  <c:v>-1.2190861969803457E-2</c:v>
                </c:pt>
                <c:pt idx="180">
                  <c:v>6.1295784307422441E-3</c:v>
                </c:pt>
                <c:pt idx="181">
                  <c:v>-4.4772251215961845E-2</c:v>
                </c:pt>
                <c:pt idx="182">
                  <c:v>7.6202617269818029E-2</c:v>
                </c:pt>
                <c:pt idx="183">
                  <c:v>4.4757254059579532E-2</c:v>
                </c:pt>
                <c:pt idx="184">
                  <c:v>8.5349164688850454E-3</c:v>
                </c:pt>
                <c:pt idx="185">
                  <c:v>3.0035659971681783E-2</c:v>
                </c:pt>
                <c:pt idx="186">
                  <c:v>1.3377117619356671E-2</c:v>
                </c:pt>
                <c:pt idx="187">
                  <c:v>2.8843980004521708E-2</c:v>
                </c:pt>
                <c:pt idx="188">
                  <c:v>-8.6370544897418355E-4</c:v>
                </c:pt>
                <c:pt idx="189">
                  <c:v>0</c:v>
                </c:pt>
                <c:pt idx="190">
                  <c:v>-1.1201741335294946E-3</c:v>
                </c:pt>
                <c:pt idx="191">
                  <c:v>-1.9713412248800966E-2</c:v>
                </c:pt>
                <c:pt idx="192">
                  <c:v>-3.1286580823667198E-2</c:v>
                </c:pt>
                <c:pt idx="193">
                  <c:v>3.5290563550477883E-2</c:v>
                </c:pt>
                <c:pt idx="194">
                  <c:v>1.0124589932001715E-2</c:v>
                </c:pt>
                <c:pt idx="195">
                  <c:v>8.9288840645680434E-3</c:v>
                </c:pt>
                <c:pt idx="196">
                  <c:v>-3.211401864834218E-2</c:v>
                </c:pt>
                <c:pt idx="197">
                  <c:v>2.0166495350560698E-2</c:v>
                </c:pt>
                <c:pt idx="198">
                  <c:v>3.6720921581779198E-2</c:v>
                </c:pt>
                <c:pt idx="199">
                  <c:v>-1.8149456137872555E-2</c:v>
                </c:pt>
                <c:pt idx="200">
                  <c:v>4.1924920725355808E-3</c:v>
                </c:pt>
                <c:pt idx="201">
                  <c:v>0</c:v>
                </c:pt>
                <c:pt idx="202">
                  <c:v>3.2245849863598464E-2</c:v>
                </c:pt>
                <c:pt idx="203">
                  <c:v>-3.5293071442066282E-4</c:v>
                </c:pt>
                <c:pt idx="204">
                  <c:v>-1.4781064003091315E-2</c:v>
                </c:pt>
                <c:pt idx="205">
                  <c:v>3.9133747178329514E-2</c:v>
                </c:pt>
                <c:pt idx="206">
                  <c:v>-1.2243767463457456E-2</c:v>
                </c:pt>
                <c:pt idx="207">
                  <c:v>6.2898614471080805E-3</c:v>
                </c:pt>
                <c:pt idx="208">
                  <c:v>1.9142298277821546E-2</c:v>
                </c:pt>
                <c:pt idx="209">
                  <c:v>2.0608221307850005E-2</c:v>
                </c:pt>
                <c:pt idx="210">
                  <c:v>8.956172536330298E-3</c:v>
                </c:pt>
                <c:pt idx="211">
                  <c:v>-1.0042873542572939E-2</c:v>
                </c:pt>
                <c:pt idx="212">
                  <c:v>7.5967341143061695E-3</c:v>
                </c:pt>
                <c:pt idx="213">
                  <c:v>8.7634139212493523E-3</c:v>
                </c:pt>
                <c:pt idx="214">
                  <c:v>-2.61549844518838E-3</c:v>
                </c:pt>
                <c:pt idx="215">
                  <c:v>-2.2089014891150116E-2</c:v>
                </c:pt>
                <c:pt idx="216">
                  <c:v>-9.4452475365701671E-3</c:v>
                </c:pt>
                <c:pt idx="217">
                  <c:v>9.9182228601113476E-3</c:v>
                </c:pt>
                <c:pt idx="218">
                  <c:v>8.9564585664363427E-3</c:v>
                </c:pt>
                <c:pt idx="219">
                  <c:v>1.7774927996299983E-2</c:v>
                </c:pt>
                <c:pt idx="220">
                  <c:v>-1.0405370513813628E-2</c:v>
                </c:pt>
                <c:pt idx="221">
                  <c:v>1.4266704933858732E-2</c:v>
                </c:pt>
                <c:pt idx="222">
                  <c:v>2.940798172548087E-2</c:v>
                </c:pt>
                <c:pt idx="223">
                  <c:v>2.3989804333157672E-4</c:v>
                </c:pt>
                <c:pt idx="224">
                  <c:v>8.1220988042951525E-3</c:v>
                </c:pt>
                <c:pt idx="225">
                  <c:v>7.5833236270095306E-4</c:v>
                </c:pt>
                <c:pt idx="226">
                  <c:v>1.2074597038801649E-2</c:v>
                </c:pt>
                <c:pt idx="227">
                  <c:v>3.6948952652196443E-2</c:v>
                </c:pt>
                <c:pt idx="228">
                  <c:v>5.6205757432750136E-3</c:v>
                </c:pt>
                <c:pt idx="229">
                  <c:v>-1.521885016260649E-2</c:v>
                </c:pt>
                <c:pt idx="230">
                  <c:v>-1.1189051122717397E-2</c:v>
                </c:pt>
                <c:pt idx="231">
                  <c:v>5.966265060241005E-3</c:v>
                </c:pt>
                <c:pt idx="232">
                  <c:v>-1.2719294043250451E-2</c:v>
                </c:pt>
                <c:pt idx="233">
                  <c:v>-2.5521270556038145E-2</c:v>
                </c:pt>
                <c:pt idx="234">
                  <c:v>-5.1161841119191642E-2</c:v>
                </c:pt>
                <c:pt idx="235">
                  <c:v>2.6785761142803066E-2</c:v>
                </c:pt>
                <c:pt idx="236">
                  <c:v>-3.9056390650795025E-2</c:v>
                </c:pt>
                <c:pt idx="237">
                  <c:v>-9.8291859806448612E-3</c:v>
                </c:pt>
              </c:numCache>
            </c:numRef>
          </c:xVal>
          <c:yVal>
            <c:numRef>
              <c:f>Filtered_data_expand_reg!$J$31:$J$268</c:f>
              <c:numCache>
                <c:formatCode>General</c:formatCode>
                <c:ptCount val="238"/>
                <c:pt idx="0">
                  <c:v>2.0643175989526058E-2</c:v>
                </c:pt>
                <c:pt idx="1">
                  <c:v>1.162616200990617E-2</c:v>
                </c:pt>
                <c:pt idx="2">
                  <c:v>4.1537519016898693E-2</c:v>
                </c:pt>
                <c:pt idx="3">
                  <c:v>1.2461172735511672E-2</c:v>
                </c:pt>
                <c:pt idx="4">
                  <c:v>1.9036916525245966E-2</c:v>
                </c:pt>
                <c:pt idx="5">
                  <c:v>1.5327344932056874E-2</c:v>
                </c:pt>
                <c:pt idx="6">
                  <c:v>1.7495156068822161E-2</c:v>
                </c:pt>
                <c:pt idx="7">
                  <c:v>1.4727102938270193E-2</c:v>
                </c:pt>
                <c:pt idx="8">
                  <c:v>2.0154752760955998E-2</c:v>
                </c:pt>
                <c:pt idx="9">
                  <c:v>4.0795317990644862E-2</c:v>
                </c:pt>
                <c:pt idx="10">
                  <c:v>2.8684720015551286E-2</c:v>
                </c:pt>
                <c:pt idx="11">
                  <c:v>7.1710473505166763E-3</c:v>
                </c:pt>
                <c:pt idx="12">
                  <c:v>1.106769005787504E-2</c:v>
                </c:pt>
                <c:pt idx="13">
                  <c:v>3.2252486914117667E-2</c:v>
                </c:pt>
                <c:pt idx="14">
                  <c:v>3.5371972108104645E-2</c:v>
                </c:pt>
                <c:pt idx="15">
                  <c:v>2.2100669465428907E-2</c:v>
                </c:pt>
                <c:pt idx="16">
                  <c:v>1.5141263927572746E-2</c:v>
                </c:pt>
                <c:pt idx="17">
                  <c:v>6.6620192292338194E-3</c:v>
                </c:pt>
                <c:pt idx="18">
                  <c:v>2.337976479996224E-2</c:v>
                </c:pt>
                <c:pt idx="19">
                  <c:v>1.9251789017387815E-2</c:v>
                </c:pt>
                <c:pt idx="20">
                  <c:v>2.5250948175912221E-2</c:v>
                </c:pt>
                <c:pt idx="21">
                  <c:v>1.1501383624630955E-2</c:v>
                </c:pt>
                <c:pt idx="22">
                  <c:v>3.1818514685363966E-2</c:v>
                </c:pt>
                <c:pt idx="23">
                  <c:v>1.6692414434191418E-2</c:v>
                </c:pt>
                <c:pt idx="24">
                  <c:v>2.5061567568140063E-2</c:v>
                </c:pt>
                <c:pt idx="25">
                  <c:v>3.1001223038495895E-2</c:v>
                </c:pt>
                <c:pt idx="26">
                  <c:v>1.7247290866246615E-2</c:v>
                </c:pt>
                <c:pt idx="27">
                  <c:v>-1.4044166806871285E-3</c:v>
                </c:pt>
                <c:pt idx="28">
                  <c:v>2.1039975250731861E-2</c:v>
                </c:pt>
                <c:pt idx="29">
                  <c:v>2.0881184781081454E-2</c:v>
                </c:pt>
                <c:pt idx="30">
                  <c:v>3.4042999454558714E-2</c:v>
                </c:pt>
                <c:pt idx="31">
                  <c:v>4.8786410980742573E-2</c:v>
                </c:pt>
                <c:pt idx="32">
                  <c:v>3.1499403578408025E-2</c:v>
                </c:pt>
                <c:pt idx="33">
                  <c:v>2.1914252100854702E-2</c:v>
                </c:pt>
                <c:pt idx="34">
                  <c:v>2.6954608664808585E-2</c:v>
                </c:pt>
                <c:pt idx="35">
                  <c:v>1.4602129539792676E-2</c:v>
                </c:pt>
                <c:pt idx="36">
                  <c:v>2.5714412351209005E-2</c:v>
                </c:pt>
                <c:pt idx="37">
                  <c:v>2.1137132788771395E-2</c:v>
                </c:pt>
                <c:pt idx="38">
                  <c:v>2.8004614834181565E-2</c:v>
                </c:pt>
                <c:pt idx="39">
                  <c:v>-3.0396602707238735E-3</c:v>
                </c:pt>
                <c:pt idx="40">
                  <c:v>1.8291099914286298E-2</c:v>
                </c:pt>
                <c:pt idx="41">
                  <c:v>2.9873196453350726E-2</c:v>
                </c:pt>
                <c:pt idx="42">
                  <c:v>1.2668392708524458E-2</c:v>
                </c:pt>
                <c:pt idx="43">
                  <c:v>2.9125336182947197E-2</c:v>
                </c:pt>
                <c:pt idx="44">
                  <c:v>6.6271440479738174E-3</c:v>
                </c:pt>
                <c:pt idx="45">
                  <c:v>1.7580736599926802E-2</c:v>
                </c:pt>
                <c:pt idx="46">
                  <c:v>1.610347584368764E-2</c:v>
                </c:pt>
                <c:pt idx="47">
                  <c:v>6.3337922323995863E-2</c:v>
                </c:pt>
                <c:pt idx="48">
                  <c:v>3.2771899736543604E-2</c:v>
                </c:pt>
                <c:pt idx="49">
                  <c:v>4.4306848125649244E-2</c:v>
                </c:pt>
                <c:pt idx="50">
                  <c:v>2.4874742183530148E-2</c:v>
                </c:pt>
                <c:pt idx="51">
                  <c:v>3.0760914177672322E-2</c:v>
                </c:pt>
                <c:pt idx="52">
                  <c:v>1.6991514181372361E-2</c:v>
                </c:pt>
                <c:pt idx="53">
                  <c:v>3.3688822973677174E-2</c:v>
                </c:pt>
                <c:pt idx="54">
                  <c:v>2.6469962123374251E-2</c:v>
                </c:pt>
                <c:pt idx="55">
                  <c:v>3.5382972944005671E-2</c:v>
                </c:pt>
                <c:pt idx="56">
                  <c:v>2.4570749161030612E-2</c:v>
                </c:pt>
                <c:pt idx="57">
                  <c:v>2.704219553678E-2</c:v>
                </c:pt>
                <c:pt idx="58">
                  <c:v>9.3100434057787791E-3</c:v>
                </c:pt>
                <c:pt idx="59">
                  <c:v>4.8082118961849246E-3</c:v>
                </c:pt>
                <c:pt idx="60">
                  <c:v>2.9245158200095454E-2</c:v>
                </c:pt>
                <c:pt idx="61">
                  <c:v>-1.4549188274113011E-2</c:v>
                </c:pt>
                <c:pt idx="62">
                  <c:v>3.0497042498864913E-2</c:v>
                </c:pt>
                <c:pt idx="63">
                  <c:v>2.8045974325143809E-2</c:v>
                </c:pt>
                <c:pt idx="64">
                  <c:v>1.6863324273914404E-2</c:v>
                </c:pt>
                <c:pt idx="65">
                  <c:v>2.1502115474736381E-2</c:v>
                </c:pt>
                <c:pt idx="66">
                  <c:v>9.2432936901711074E-3</c:v>
                </c:pt>
                <c:pt idx="67">
                  <c:v>2.1854796735896846E-2</c:v>
                </c:pt>
                <c:pt idx="68">
                  <c:v>2.2454125346507831E-2</c:v>
                </c:pt>
                <c:pt idx="69">
                  <c:v>1.6833736495433484E-2</c:v>
                </c:pt>
                <c:pt idx="70">
                  <c:v>2.6953148576336135E-2</c:v>
                </c:pt>
                <c:pt idx="71">
                  <c:v>2.1324692621131985E-2</c:v>
                </c:pt>
                <c:pt idx="72">
                  <c:v>1.5310246288489903E-2</c:v>
                </c:pt>
                <c:pt idx="73">
                  <c:v>4.1300244447419011E-2</c:v>
                </c:pt>
                <c:pt idx="74">
                  <c:v>2.993379202643235E-2</c:v>
                </c:pt>
                <c:pt idx="75">
                  <c:v>1.144755462263369E-2</c:v>
                </c:pt>
                <c:pt idx="76">
                  <c:v>1.9564764167590603E-2</c:v>
                </c:pt>
                <c:pt idx="77">
                  <c:v>6.3682559909707896E-3</c:v>
                </c:pt>
                <c:pt idx="78">
                  <c:v>2.375887591041196E-2</c:v>
                </c:pt>
                <c:pt idx="79">
                  <c:v>1.1117517708385989E-2</c:v>
                </c:pt>
                <c:pt idx="80">
                  <c:v>1.4773199488112388E-2</c:v>
                </c:pt>
                <c:pt idx="81">
                  <c:v>1.0522877129659209E-2</c:v>
                </c:pt>
                <c:pt idx="82">
                  <c:v>5.4835721621213737E-2</c:v>
                </c:pt>
                <c:pt idx="83">
                  <c:v>5.971193056780072E-2</c:v>
                </c:pt>
                <c:pt idx="84">
                  <c:v>1.7236742683745192E-2</c:v>
                </c:pt>
                <c:pt idx="85">
                  <c:v>1.6043882408339965E-2</c:v>
                </c:pt>
                <c:pt idx="86">
                  <c:v>2.8204649085219177E-2</c:v>
                </c:pt>
                <c:pt idx="87">
                  <c:v>1.7889746348616054E-2</c:v>
                </c:pt>
                <c:pt idx="88">
                  <c:v>1.2205672641957845E-2</c:v>
                </c:pt>
                <c:pt idx="89">
                  <c:v>4.3523520683048794E-2</c:v>
                </c:pt>
                <c:pt idx="90">
                  <c:v>2.7773152551978254E-2</c:v>
                </c:pt>
                <c:pt idx="91">
                  <c:v>-3.784536631166853E-3</c:v>
                </c:pt>
                <c:pt idx="92">
                  <c:v>6.1586443434411518E-3</c:v>
                </c:pt>
                <c:pt idx="93">
                  <c:v>2.8801417712831803E-2</c:v>
                </c:pt>
                <c:pt idx="94">
                  <c:v>-4.3629132829230109E-3</c:v>
                </c:pt>
                <c:pt idx="95">
                  <c:v>6.4633066073867818E-2</c:v>
                </c:pt>
                <c:pt idx="96">
                  <c:v>7.9746631580762291E-3</c:v>
                </c:pt>
                <c:pt idx="97">
                  <c:v>1.7035340878632725E-2</c:v>
                </c:pt>
                <c:pt idx="98">
                  <c:v>-2.1987445063951828E-2</c:v>
                </c:pt>
                <c:pt idx="99">
                  <c:v>1.1740243461067092E-2</c:v>
                </c:pt>
                <c:pt idx="100">
                  <c:v>2.2303205795299583E-2</c:v>
                </c:pt>
                <c:pt idx="101">
                  <c:v>7.0761069892524578E-2</c:v>
                </c:pt>
                <c:pt idx="102">
                  <c:v>-3.953488603046524E-3</c:v>
                </c:pt>
                <c:pt idx="103">
                  <c:v>8.988013203094293E-2</c:v>
                </c:pt>
                <c:pt idx="104">
                  <c:v>4.5738227378080046E-2</c:v>
                </c:pt>
                <c:pt idx="105">
                  <c:v>9.4894439315968415E-3</c:v>
                </c:pt>
                <c:pt idx="106">
                  <c:v>2.3081858166826924E-2</c:v>
                </c:pt>
                <c:pt idx="107">
                  <c:v>5.5636909877438898E-3</c:v>
                </c:pt>
                <c:pt idx="108">
                  <c:v>-2.6461751240241138E-2</c:v>
                </c:pt>
                <c:pt idx="109">
                  <c:v>9.2606058129757959E-3</c:v>
                </c:pt>
                <c:pt idx="110">
                  <c:v>-3.7744090065220323E-3</c:v>
                </c:pt>
                <c:pt idx="111">
                  <c:v>7.7112350297098606E-2</c:v>
                </c:pt>
                <c:pt idx="112">
                  <c:v>-1.3936950823977261E-3</c:v>
                </c:pt>
                <c:pt idx="113">
                  <c:v>0.32978927366402</c:v>
                </c:pt>
                <c:pt idx="114">
                  <c:v>5.0603089638358467E-2</c:v>
                </c:pt>
                <c:pt idx="115">
                  <c:v>2.9449922427951171E-2</c:v>
                </c:pt>
                <c:pt idx="116">
                  <c:v>2.2326293293436123E-2</c:v>
                </c:pt>
                <c:pt idx="117">
                  <c:v>1.4817652255410626E-2</c:v>
                </c:pt>
                <c:pt idx="118">
                  <c:v>3.6518190031248191E-2</c:v>
                </c:pt>
                <c:pt idx="119">
                  <c:v>9.7863549756095191E-3</c:v>
                </c:pt>
                <c:pt idx="120">
                  <c:v>2.6770421983398015E-2</c:v>
                </c:pt>
                <c:pt idx="121">
                  <c:v>4.4090172278071146E-3</c:v>
                </c:pt>
                <c:pt idx="122">
                  <c:v>6.1030650173556612E-2</c:v>
                </c:pt>
                <c:pt idx="123">
                  <c:v>1.0532951655440818E-2</c:v>
                </c:pt>
                <c:pt idx="124">
                  <c:v>3.8027635115207875E-2</c:v>
                </c:pt>
                <c:pt idx="125">
                  <c:v>2.6527630964222868E-2</c:v>
                </c:pt>
                <c:pt idx="126">
                  <c:v>3.1983734517938428E-2</c:v>
                </c:pt>
                <c:pt idx="127">
                  <c:v>4.5366026832481046E-2</c:v>
                </c:pt>
                <c:pt idx="128">
                  <c:v>2.658217777023231E-2</c:v>
                </c:pt>
                <c:pt idx="129">
                  <c:v>-8.6034182907723453E-4</c:v>
                </c:pt>
                <c:pt idx="130">
                  <c:v>5.5550204583926455E-2</c:v>
                </c:pt>
                <c:pt idx="131">
                  <c:v>2.0425030235354469E-2</c:v>
                </c:pt>
                <c:pt idx="132">
                  <c:v>1.4773107072910456E-2</c:v>
                </c:pt>
                <c:pt idx="133">
                  <c:v>3.5043023836999754E-2</c:v>
                </c:pt>
                <c:pt idx="134">
                  <c:v>2.0091470254920814E-2</c:v>
                </c:pt>
                <c:pt idx="135">
                  <c:v>8.6416932145302848E-3</c:v>
                </c:pt>
                <c:pt idx="136">
                  <c:v>2.2835164023099676E-2</c:v>
                </c:pt>
                <c:pt idx="137">
                  <c:v>1.4520554499693633E-2</c:v>
                </c:pt>
                <c:pt idx="138">
                  <c:v>-2.7218216354665634E-2</c:v>
                </c:pt>
                <c:pt idx="139">
                  <c:v>2.0531175238836293E-2</c:v>
                </c:pt>
                <c:pt idx="140">
                  <c:v>3.5880702554961272E-2</c:v>
                </c:pt>
                <c:pt idx="141">
                  <c:v>2.5903834545213153E-2</c:v>
                </c:pt>
                <c:pt idx="142">
                  <c:v>1.8234490535928252E-2</c:v>
                </c:pt>
                <c:pt idx="143">
                  <c:v>1.8896836333685871E-2</c:v>
                </c:pt>
                <c:pt idx="144">
                  <c:v>3.7409376472976763E-2</c:v>
                </c:pt>
                <c:pt idx="145">
                  <c:v>2.544608507264623E-2</c:v>
                </c:pt>
                <c:pt idx="146">
                  <c:v>2.7786802126106479E-2</c:v>
                </c:pt>
                <c:pt idx="147">
                  <c:v>1.0263715643629209E-2</c:v>
                </c:pt>
                <c:pt idx="148">
                  <c:v>4.3536065554178445E-2</c:v>
                </c:pt>
                <c:pt idx="149">
                  <c:v>7.7522956055486123E-3</c:v>
                </c:pt>
                <c:pt idx="150">
                  <c:v>3.5238195554155652E-2</c:v>
                </c:pt>
                <c:pt idx="151">
                  <c:v>4.1850750478771371E-3</c:v>
                </c:pt>
                <c:pt idx="152">
                  <c:v>2.6687810413527985E-2</c:v>
                </c:pt>
                <c:pt idx="153">
                  <c:v>2.1728015310918704E-2</c:v>
                </c:pt>
                <c:pt idx="154">
                  <c:v>4.6970861537309727E-2</c:v>
                </c:pt>
                <c:pt idx="155">
                  <c:v>6.047540984992697E-2</c:v>
                </c:pt>
                <c:pt idx="156">
                  <c:v>-2.2855301873851468E-2</c:v>
                </c:pt>
                <c:pt idx="157">
                  <c:v>4.3969817871045369E-2</c:v>
                </c:pt>
                <c:pt idx="158">
                  <c:v>5.4363613660434108E-2</c:v>
                </c:pt>
                <c:pt idx="159">
                  <c:v>1.2769614928446653E-3</c:v>
                </c:pt>
                <c:pt idx="160">
                  <c:v>4.0840708324308903E-2</c:v>
                </c:pt>
                <c:pt idx="161">
                  <c:v>4.5036136757804539E-2</c:v>
                </c:pt>
                <c:pt idx="162">
                  <c:v>-8.3196780929090525E-3</c:v>
                </c:pt>
                <c:pt idx="163">
                  <c:v>7.8635531450708916E-3</c:v>
                </c:pt>
                <c:pt idx="164">
                  <c:v>3.4207870702805239E-2</c:v>
                </c:pt>
                <c:pt idx="165">
                  <c:v>1.7399056878399245E-2</c:v>
                </c:pt>
                <c:pt idx="166">
                  <c:v>1.6608339467837418E-2</c:v>
                </c:pt>
                <c:pt idx="167">
                  <c:v>2.443345816824713E-2</c:v>
                </c:pt>
                <c:pt idx="168">
                  <c:v>5.2813657597547935E-3</c:v>
                </c:pt>
                <c:pt idx="169">
                  <c:v>0.15501125080602179</c:v>
                </c:pt>
                <c:pt idx="170">
                  <c:v>5.0539869115975515E-2</c:v>
                </c:pt>
                <c:pt idx="171">
                  <c:v>3.6361321322271652E-3</c:v>
                </c:pt>
                <c:pt idx="172">
                  <c:v>-2.8084215081576179E-2</c:v>
                </c:pt>
                <c:pt idx="173">
                  <c:v>2.4651860795608552E-2</c:v>
                </c:pt>
                <c:pt idx="174">
                  <c:v>8.3920555714953778E-3</c:v>
                </c:pt>
                <c:pt idx="175">
                  <c:v>1.0149952919600254E-2</c:v>
                </c:pt>
                <c:pt idx="176">
                  <c:v>-3.2292158823055903E-3</c:v>
                </c:pt>
                <c:pt idx="177">
                  <c:v>1.8748632476330677E-3</c:v>
                </c:pt>
                <c:pt idx="178">
                  <c:v>4.0493544844238595E-2</c:v>
                </c:pt>
                <c:pt idx="179">
                  <c:v>-2.011917082828563E-2</c:v>
                </c:pt>
                <c:pt idx="180">
                  <c:v>3.0438592757022154E-2</c:v>
                </c:pt>
                <c:pt idx="181">
                  <c:v>3.030733625357241E-2</c:v>
                </c:pt>
                <c:pt idx="182">
                  <c:v>3.4875480387015032E-2</c:v>
                </c:pt>
                <c:pt idx="183">
                  <c:v>2.3983937879673414E-2</c:v>
                </c:pt>
                <c:pt idx="184">
                  <c:v>1.9658950531654631E-2</c:v>
                </c:pt>
                <c:pt idx="185">
                  <c:v>2.5123771873079952E-3</c:v>
                </c:pt>
                <c:pt idx="186">
                  <c:v>0.20149682138837421</c:v>
                </c:pt>
                <c:pt idx="187">
                  <c:v>3.0243792144716432E-2</c:v>
                </c:pt>
                <c:pt idx="188">
                  <c:v>2.650496265956458E-2</c:v>
                </c:pt>
                <c:pt idx="189">
                  <c:v>1.540924453973332E-2</c:v>
                </c:pt>
                <c:pt idx="190">
                  <c:v>1.7314058186610928E-2</c:v>
                </c:pt>
                <c:pt idx="191">
                  <c:v>-4.7529645885474904E-3</c:v>
                </c:pt>
                <c:pt idx="192">
                  <c:v>5.1854783610303231E-3</c:v>
                </c:pt>
                <c:pt idx="193">
                  <c:v>2.9043302014993576E-2</c:v>
                </c:pt>
                <c:pt idx="194">
                  <c:v>3.7034000295713299E-2</c:v>
                </c:pt>
                <c:pt idx="195">
                  <c:v>2.3696379113826691E-2</c:v>
                </c:pt>
                <c:pt idx="196">
                  <c:v>-2.2477044454299374E-3</c:v>
                </c:pt>
                <c:pt idx="197">
                  <c:v>2.630018214649215E-2</c:v>
                </c:pt>
                <c:pt idx="198">
                  <c:v>4.0248466149719067E-2</c:v>
                </c:pt>
                <c:pt idx="199">
                  <c:v>2.1868331315542108E-2</c:v>
                </c:pt>
                <c:pt idx="200">
                  <c:v>2.3318364137259694E-2</c:v>
                </c:pt>
                <c:pt idx="201">
                  <c:v>2.5980656672606611E-2</c:v>
                </c:pt>
                <c:pt idx="202">
                  <c:v>2.5793673329737282E-2</c:v>
                </c:pt>
                <c:pt idx="203">
                  <c:v>2.5364317107231499E-2</c:v>
                </c:pt>
                <c:pt idx="204">
                  <c:v>1.1529268743152254E-2</c:v>
                </c:pt>
                <c:pt idx="205">
                  <c:v>3.2394285013587952E-2</c:v>
                </c:pt>
                <c:pt idx="206">
                  <c:v>1.5530612007679058E-2</c:v>
                </c:pt>
                <c:pt idx="207">
                  <c:v>3.2466388621990479E-2</c:v>
                </c:pt>
                <c:pt idx="208">
                  <c:v>1.8327282245457561E-2</c:v>
                </c:pt>
                <c:pt idx="209">
                  <c:v>2.2183206277408316E-2</c:v>
                </c:pt>
                <c:pt idx="210">
                  <c:v>2.8518936504386527E-2</c:v>
                </c:pt>
                <c:pt idx="211">
                  <c:v>1.3738116319534512E-2</c:v>
                </c:pt>
                <c:pt idx="212">
                  <c:v>1.9703186672233315E-2</c:v>
                </c:pt>
                <c:pt idx="213">
                  <c:v>2.6815640972807319E-2</c:v>
                </c:pt>
                <c:pt idx="214">
                  <c:v>2.2559685405126907E-2</c:v>
                </c:pt>
                <c:pt idx="215">
                  <c:v>2.1213258785020291E-2</c:v>
                </c:pt>
                <c:pt idx="216">
                  <c:v>1.4320288600329054E-2</c:v>
                </c:pt>
                <c:pt idx="217">
                  <c:v>2.1058430687901433E-2</c:v>
                </c:pt>
                <c:pt idx="218">
                  <c:v>3.6968986473328538E-2</c:v>
                </c:pt>
                <c:pt idx="219">
                  <c:v>3.06191280182239E-2</c:v>
                </c:pt>
                <c:pt idx="220">
                  <c:v>3.0489038613460102E-2</c:v>
                </c:pt>
                <c:pt idx="221">
                  <c:v>2.4231658040367115E-3</c:v>
                </c:pt>
                <c:pt idx="222">
                  <c:v>3.2363022951492459E-2</c:v>
                </c:pt>
                <c:pt idx="223">
                  <c:v>1.3101553591878182E-2</c:v>
                </c:pt>
                <c:pt idx="224">
                  <c:v>3.9371105321698158E-2</c:v>
                </c:pt>
                <c:pt idx="225">
                  <c:v>1.5283845115086701E-2</c:v>
                </c:pt>
                <c:pt idx="226">
                  <c:v>2.0530671186021105E-2</c:v>
                </c:pt>
                <c:pt idx="227">
                  <c:v>3.0814491521218831E-2</c:v>
                </c:pt>
                <c:pt idx="228">
                  <c:v>2.0685240710092083E-2</c:v>
                </c:pt>
                <c:pt idx="229">
                  <c:v>1.4128763406753694E-2</c:v>
                </c:pt>
                <c:pt idx="230">
                  <c:v>1.567556843044943E-2</c:v>
                </c:pt>
                <c:pt idx="231">
                  <c:v>2.8947343722545968E-2</c:v>
                </c:pt>
                <c:pt idx="232">
                  <c:v>1.5395732616784719E-2</c:v>
                </c:pt>
                <c:pt idx="233">
                  <c:v>1.8658507339176452E-2</c:v>
                </c:pt>
                <c:pt idx="234">
                  <c:v>8.2045921064337318E-3</c:v>
                </c:pt>
                <c:pt idx="235">
                  <c:v>4.2140808188384837E-2</c:v>
                </c:pt>
                <c:pt idx="236">
                  <c:v>-6.0753199068341382E-3</c:v>
                </c:pt>
                <c:pt idx="237">
                  <c:v>1.9548720284574106E-2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43-4EAE-82B6-BE403AD4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120432"/>
        <c:axId val="419118768"/>
      </c:scatterChart>
      <c:valAx>
        <c:axId val="41912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MOEX equity index (.IMOEX)</a:t>
                </a:r>
              </a:p>
            </c:rich>
          </c:tx>
          <c:layout>
            <c:manualLayout>
              <c:xMode val="edge"/>
              <c:yMode val="edge"/>
              <c:x val="0.29380680716683738"/>
              <c:y val="0.93906573996812182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419118768"/>
        <c:crosses val="autoZero"/>
        <c:crossBetween val="midCat"/>
      </c:valAx>
      <c:valAx>
        <c:axId val="419118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Urals loading</a:t>
                </a:r>
              </a:p>
            </c:rich>
          </c:tx>
          <c:layout>
            <c:manualLayout>
              <c:xMode val="edge"/>
              <c:yMode val="edge"/>
              <c:x val="1.6091951110154563E-2"/>
              <c:y val="0.46103369192103405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4191204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baseline="0">
                <a:effectLst/>
              </a:rPr>
              <a:t>Regression % differential Brent-Urals (Ticker: </a:t>
            </a:r>
            <a:r>
              <a:rPr lang="en-GB" sz="1200" b="1" i="0" u="none" strike="noStrike" baseline="0">
                <a:effectLst/>
              </a:rPr>
              <a:t>BFO-URL-NWE</a:t>
            </a:r>
            <a:r>
              <a:rPr lang="en-GB" sz="1200" b="1" i="0" baseline="0">
                <a:effectLst/>
              </a:rPr>
              <a:t>) vs % change in Urals loading</a:t>
            </a:r>
            <a:endParaRPr lang="en-GB" sz="12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</a:t>
            </a:r>
            <a:r>
              <a:rPr lang="en-GB" sz="1000" b="0" i="0" baseline="0">
                <a:effectLst/>
              </a:rPr>
              <a:t>Weekly data (2017- 2021), Data: Refinitiv Eikon, Petrologistics</a:t>
            </a:r>
            <a:endParaRPr lang="en-GB" sz="10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791362569938215E-2"/>
          <c:y val="0.22742130444345238"/>
          <c:w val="0.55850408603696577"/>
          <c:h val="0.68768273210598352"/>
        </c:manualLayout>
      </c:layout>
      <c:scatterChart>
        <c:scatterStyle val="lineMarker"/>
        <c:varyColors val="0"/>
        <c:ser>
          <c:idx val="0"/>
          <c:order val="0"/>
          <c:tx>
            <c:v>Urals loading</c:v>
          </c:tx>
          <c:spPr>
            <a:ln w="19050">
              <a:noFill/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1.6641489031287326E-2"/>
                  <c:y val="-5.0739437675118078E-2"/>
                </c:manualLayout>
              </c:layout>
              <c:numFmt formatCode="General" sourceLinked="0"/>
            </c:trendlineLbl>
          </c:trendline>
          <c:xVal>
            <c:numRef>
              <c:f>Filtered_data_expand_reg!$F$4:$F$241</c:f>
              <c:numCache>
                <c:formatCode>0.000</c:formatCode>
                <c:ptCount val="238"/>
                <c:pt idx="0">
                  <c:v>-0.18000000000000005</c:v>
                </c:pt>
                <c:pt idx="1">
                  <c:v>-0.26829268292682917</c:v>
                </c:pt>
                <c:pt idx="2">
                  <c:v>6.6666666666666652E-2</c:v>
                </c:pt>
                <c:pt idx="3">
                  <c:v>9.375E-2</c:v>
                </c:pt>
                <c:pt idx="4">
                  <c:v>0.25714285714285734</c:v>
                </c:pt>
                <c:pt idx="5">
                  <c:v>-0.13636363636363646</c:v>
                </c:pt>
                <c:pt idx="6">
                  <c:v>0.31578947368421062</c:v>
                </c:pt>
                <c:pt idx="7">
                  <c:v>-0.19999999999999996</c:v>
                </c:pt>
                <c:pt idx="8">
                  <c:v>2.4999999999999911E-2</c:v>
                </c:pt>
                <c:pt idx="9">
                  <c:v>9.7560975609756184E-2</c:v>
                </c:pt>
                <c:pt idx="10">
                  <c:v>0.24444444444444446</c:v>
                </c:pt>
                <c:pt idx="11">
                  <c:v>-3.5714285714285587E-2</c:v>
                </c:pt>
                <c:pt idx="12">
                  <c:v>-0.21111111111111125</c:v>
                </c:pt>
                <c:pt idx="13">
                  <c:v>-0.20833333333333337</c:v>
                </c:pt>
                <c:pt idx="14">
                  <c:v>-0.13157894736842102</c:v>
                </c:pt>
                <c:pt idx="15">
                  <c:v>-0.12121212121212122</c:v>
                </c:pt>
                <c:pt idx="16">
                  <c:v>-6.8965517241379226E-2</c:v>
                </c:pt>
                <c:pt idx="17">
                  <c:v>0.11111111111111094</c:v>
                </c:pt>
                <c:pt idx="18">
                  <c:v>-9.9999999999999978E-2</c:v>
                </c:pt>
                <c:pt idx="19">
                  <c:v>0</c:v>
                </c:pt>
                <c:pt idx="20">
                  <c:v>-3.703703703703709E-2</c:v>
                </c:pt>
                <c:pt idx="21">
                  <c:v>-0.11538461538461553</c:v>
                </c:pt>
                <c:pt idx="22">
                  <c:v>-0.21739130434782605</c:v>
                </c:pt>
                <c:pt idx="23">
                  <c:v>5.555555555555558E-2</c:v>
                </c:pt>
                <c:pt idx="24">
                  <c:v>-0.26315789473684215</c:v>
                </c:pt>
                <c:pt idx="25">
                  <c:v>0.21428571428571441</c:v>
                </c:pt>
                <c:pt idx="26">
                  <c:v>-0.23529411764705876</c:v>
                </c:pt>
                <c:pt idx="27">
                  <c:v>-0.15384615384615385</c:v>
                </c:pt>
                <c:pt idx="28">
                  <c:v>-0.45454545454545459</c:v>
                </c:pt>
                <c:pt idx="29">
                  <c:v>0</c:v>
                </c:pt>
                <c:pt idx="30">
                  <c:v>1</c:v>
                </c:pt>
                <c:pt idx="31">
                  <c:v>1.0833333333333335</c:v>
                </c:pt>
                <c:pt idx="32">
                  <c:v>4.0000000000000036E-2</c:v>
                </c:pt>
                <c:pt idx="33">
                  <c:v>0.11538461538461542</c:v>
                </c:pt>
                <c:pt idx="34">
                  <c:v>0.48275862068965525</c:v>
                </c:pt>
                <c:pt idx="35">
                  <c:v>-4.6511627906976827E-2</c:v>
                </c:pt>
                <c:pt idx="36">
                  <c:v>0</c:v>
                </c:pt>
                <c:pt idx="37">
                  <c:v>-0.51219512195121952</c:v>
                </c:pt>
                <c:pt idx="38">
                  <c:v>0.55000000000000004</c:v>
                </c:pt>
                <c:pt idx="39">
                  <c:v>-0.38709677419354849</c:v>
                </c:pt>
                <c:pt idx="40">
                  <c:v>0.15789473684210531</c:v>
                </c:pt>
                <c:pt idx="41">
                  <c:v>0</c:v>
                </c:pt>
                <c:pt idx="42">
                  <c:v>-0.36363636363636376</c:v>
                </c:pt>
                <c:pt idx="43">
                  <c:v>0.21428571428571441</c:v>
                </c:pt>
                <c:pt idx="44">
                  <c:v>-0.11764705882352944</c:v>
                </c:pt>
                <c:pt idx="45">
                  <c:v>-0.4</c:v>
                </c:pt>
                <c:pt idx="46">
                  <c:v>-0.88888888888888884</c:v>
                </c:pt>
                <c:pt idx="47">
                  <c:v>4</c:v>
                </c:pt>
                <c:pt idx="48">
                  <c:v>1</c:v>
                </c:pt>
                <c:pt idx="49">
                  <c:v>0.30000000000000004</c:v>
                </c:pt>
                <c:pt idx="50">
                  <c:v>-7.6923076923076983E-2</c:v>
                </c:pt>
                <c:pt idx="51">
                  <c:v>0.25</c:v>
                </c:pt>
                <c:pt idx="52">
                  <c:v>-0.20000000000000007</c:v>
                </c:pt>
                <c:pt idx="53">
                  <c:v>0.83333333333333348</c:v>
                </c:pt>
                <c:pt idx="54">
                  <c:v>0.45454545454545459</c:v>
                </c:pt>
                <c:pt idx="55">
                  <c:v>0.3125</c:v>
                </c:pt>
                <c:pt idx="56">
                  <c:v>-6.25E-2</c:v>
                </c:pt>
                <c:pt idx="57">
                  <c:v>0.31111111111111112</c:v>
                </c:pt>
                <c:pt idx="58">
                  <c:v>-0.28813559322033899</c:v>
                </c:pt>
                <c:pt idx="59">
                  <c:v>-4.7619047619047672E-2</c:v>
                </c:pt>
                <c:pt idx="60">
                  <c:v>7.1428571428571397E-2</c:v>
                </c:pt>
                <c:pt idx="61">
                  <c:v>0.42222222222222228</c:v>
                </c:pt>
                <c:pt idx="62">
                  <c:v>6.25E-2</c:v>
                </c:pt>
                <c:pt idx="63">
                  <c:v>-4.4117647058823484E-2</c:v>
                </c:pt>
                <c:pt idx="64">
                  <c:v>-6.1538461538461542E-2</c:v>
                </c:pt>
                <c:pt idx="65">
                  <c:v>-0.18032786885245899</c:v>
                </c:pt>
                <c:pt idx="66">
                  <c:v>-0.38</c:v>
                </c:pt>
                <c:pt idx="67">
                  <c:v>-0.22580645161290325</c:v>
                </c:pt>
                <c:pt idx="68">
                  <c:v>0.12500000000000022</c:v>
                </c:pt>
                <c:pt idx="69">
                  <c:v>0</c:v>
                </c:pt>
                <c:pt idx="70">
                  <c:v>0.33333333333333326</c:v>
                </c:pt>
                <c:pt idx="71">
                  <c:v>8.3333333333333259E-2</c:v>
                </c:pt>
                <c:pt idx="72">
                  <c:v>-0.25641025641025639</c:v>
                </c:pt>
                <c:pt idx="73">
                  <c:v>0.34482758620689657</c:v>
                </c:pt>
                <c:pt idx="74">
                  <c:v>0.15384615384615397</c:v>
                </c:pt>
                <c:pt idx="75">
                  <c:v>-2.2222222222222143E-2</c:v>
                </c:pt>
                <c:pt idx="76">
                  <c:v>-0.38636363636363635</c:v>
                </c:pt>
                <c:pt idx="77">
                  <c:v>-0.18518518518518512</c:v>
                </c:pt>
                <c:pt idx="78">
                  <c:v>-9.0909090909090939E-2</c:v>
                </c:pt>
                <c:pt idx="79">
                  <c:v>-0.25</c:v>
                </c:pt>
                <c:pt idx="80">
                  <c:v>-0.60000000000000009</c:v>
                </c:pt>
                <c:pt idx="81">
                  <c:v>-0.16666666666666663</c:v>
                </c:pt>
                <c:pt idx="82">
                  <c:v>1.6</c:v>
                </c:pt>
                <c:pt idx="83">
                  <c:v>1.7692307692307692</c:v>
                </c:pt>
                <c:pt idx="84">
                  <c:v>-0.16666666666666674</c:v>
                </c:pt>
                <c:pt idx="85">
                  <c:v>0.19999999999999996</c:v>
                </c:pt>
                <c:pt idx="86">
                  <c:v>0.19444444444444442</c:v>
                </c:pt>
                <c:pt idx="87">
                  <c:v>0.16279069767441867</c:v>
                </c:pt>
                <c:pt idx="88">
                  <c:v>-0.38</c:v>
                </c:pt>
                <c:pt idx="89">
                  <c:v>-0.80645161290322576</c:v>
                </c:pt>
                <c:pt idx="90">
                  <c:v>-0.16666666666666663</c:v>
                </c:pt>
                <c:pt idx="91">
                  <c:v>-2.6</c:v>
                </c:pt>
                <c:pt idx="92">
                  <c:v>-1.5</c:v>
                </c:pt>
                <c:pt idx="93">
                  <c:v>0.74999999999999978</c:v>
                </c:pt>
                <c:pt idx="94">
                  <c:v>-1.3714285714285714</c:v>
                </c:pt>
                <c:pt idx="95">
                  <c:v>2.4615384615384617</c:v>
                </c:pt>
                <c:pt idx="96">
                  <c:v>-1</c:v>
                </c:pt>
                <c:pt idx="97">
                  <c:v>0</c:v>
                </c:pt>
                <c:pt idx="98">
                  <c:v>-3</c:v>
                </c:pt>
                <c:pt idx="99">
                  <c:v>-1.2</c:v>
                </c:pt>
                <c:pt idx="100">
                  <c:v>0</c:v>
                </c:pt>
                <c:pt idx="101">
                  <c:v>3.5</c:v>
                </c:pt>
                <c:pt idx="102">
                  <c:v>-0.88888888888888884</c:v>
                </c:pt>
                <c:pt idx="103">
                  <c:v>4.9999999999999991</c:v>
                </c:pt>
                <c:pt idx="104">
                  <c:v>1.5</c:v>
                </c:pt>
                <c:pt idx="105">
                  <c:v>-1</c:v>
                </c:pt>
                <c:pt idx="106">
                  <c:v>0</c:v>
                </c:pt>
                <c:pt idx="107">
                  <c:v>-0.69230769230769229</c:v>
                </c:pt>
                <c:pt idx="108">
                  <c:v>-3.5</c:v>
                </c:pt>
                <c:pt idx="109">
                  <c:v>-0.9</c:v>
                </c:pt>
                <c:pt idx="110">
                  <c:v>-1.6666666666666667</c:v>
                </c:pt>
                <c:pt idx="111">
                  <c:v>3.5</c:v>
                </c:pt>
                <c:pt idx="112">
                  <c:v>-1.0555555555555556</c:v>
                </c:pt>
                <c:pt idx="113">
                  <c:v>19</c:v>
                </c:pt>
                <c:pt idx="114">
                  <c:v>1</c:v>
                </c:pt>
                <c:pt idx="115">
                  <c:v>-2.5000000000000022E-2</c:v>
                </c:pt>
                <c:pt idx="116">
                  <c:v>0.20512820512820529</c:v>
                </c:pt>
                <c:pt idx="117">
                  <c:v>-0.23404255319148937</c:v>
                </c:pt>
                <c:pt idx="118">
                  <c:v>0.11111111111111116</c:v>
                </c:pt>
                <c:pt idx="119">
                  <c:v>0</c:v>
                </c:pt>
                <c:pt idx="120">
                  <c:v>0</c:v>
                </c:pt>
                <c:pt idx="121">
                  <c:v>-1.1000000000000001</c:v>
                </c:pt>
                <c:pt idx="122">
                  <c:v>3</c:v>
                </c:pt>
                <c:pt idx="123">
                  <c:v>-1.3125</c:v>
                </c:pt>
                <c:pt idx="124">
                  <c:v>2</c:v>
                </c:pt>
                <c:pt idx="125">
                  <c:v>0</c:v>
                </c:pt>
                <c:pt idx="126">
                  <c:v>0.33333333333333326</c:v>
                </c:pt>
                <c:pt idx="127">
                  <c:v>1.2000000000000002</c:v>
                </c:pt>
                <c:pt idx="128">
                  <c:v>-0.25000000000000011</c:v>
                </c:pt>
                <c:pt idx="129">
                  <c:v>-0.45454545454545447</c:v>
                </c:pt>
                <c:pt idx="130">
                  <c:v>2.1666666666666665</c:v>
                </c:pt>
                <c:pt idx="131">
                  <c:v>-0.26315789473684215</c:v>
                </c:pt>
                <c:pt idx="132">
                  <c:v>-0.23809523809523814</c:v>
                </c:pt>
                <c:pt idx="133">
                  <c:v>0.3125</c:v>
                </c:pt>
                <c:pt idx="134">
                  <c:v>-0.69047619047619047</c:v>
                </c:pt>
                <c:pt idx="135">
                  <c:v>-1.6153846153846154</c:v>
                </c:pt>
                <c:pt idx="136">
                  <c:v>0</c:v>
                </c:pt>
                <c:pt idx="137">
                  <c:v>0</c:v>
                </c:pt>
                <c:pt idx="138">
                  <c:v>-3.3749999999999996</c:v>
                </c:pt>
                <c:pt idx="139">
                  <c:v>0</c:v>
                </c:pt>
                <c:pt idx="140">
                  <c:v>0.25</c:v>
                </c:pt>
                <c:pt idx="141">
                  <c:v>0.24</c:v>
                </c:pt>
                <c:pt idx="142">
                  <c:v>0.46774193548387077</c:v>
                </c:pt>
                <c:pt idx="143">
                  <c:v>-0.23076923076923073</c:v>
                </c:pt>
                <c:pt idx="144">
                  <c:v>-0.29999999999999993</c:v>
                </c:pt>
                <c:pt idx="145">
                  <c:v>-0.28571428571428581</c:v>
                </c:pt>
                <c:pt idx="146">
                  <c:v>-2.8571428571428581E-2</c:v>
                </c:pt>
                <c:pt idx="147">
                  <c:v>-0.41176470588235292</c:v>
                </c:pt>
                <c:pt idx="148">
                  <c:v>0.5</c:v>
                </c:pt>
                <c:pt idx="149">
                  <c:v>-0.4</c:v>
                </c:pt>
                <c:pt idx="150">
                  <c:v>1.1666666666666665</c:v>
                </c:pt>
                <c:pt idx="151">
                  <c:v>0.12820512820512842</c:v>
                </c:pt>
                <c:pt idx="152">
                  <c:v>-0.25000000000000011</c:v>
                </c:pt>
                <c:pt idx="153">
                  <c:v>0.90909090909090917</c:v>
                </c:pt>
                <c:pt idx="154">
                  <c:v>0.33333333333333348</c:v>
                </c:pt>
                <c:pt idx="155">
                  <c:v>3.5714285714285587E-2</c:v>
                </c:pt>
                <c:pt idx="156">
                  <c:v>0</c:v>
                </c:pt>
                <c:pt idx="157">
                  <c:v>0.16216216216216206</c:v>
                </c:pt>
                <c:pt idx="158">
                  <c:v>-1.0813953488372092</c:v>
                </c:pt>
                <c:pt idx="159">
                  <c:v>0</c:v>
                </c:pt>
                <c:pt idx="160">
                  <c:v>0.875</c:v>
                </c:pt>
                <c:pt idx="161">
                  <c:v>1.2666666666666666</c:v>
                </c:pt>
                <c:pt idx="162">
                  <c:v>-0.17647058823529416</c:v>
                </c:pt>
                <c:pt idx="163">
                  <c:v>0.10714285714285721</c:v>
                </c:pt>
                <c:pt idx="164">
                  <c:v>0.25806451612903225</c:v>
                </c:pt>
                <c:pt idx="165">
                  <c:v>-0.15999999999999992</c:v>
                </c:pt>
                <c:pt idx="166">
                  <c:v>0</c:v>
                </c:pt>
                <c:pt idx="167">
                  <c:v>-0.76190476190476186</c:v>
                </c:pt>
                <c:pt idx="168">
                  <c:v>-1.2</c:v>
                </c:pt>
                <c:pt idx="169">
                  <c:v>9</c:v>
                </c:pt>
                <c:pt idx="170">
                  <c:v>1.1000000000000001</c:v>
                </c:pt>
                <c:pt idx="171">
                  <c:v>-0.66666666666666674</c:v>
                </c:pt>
                <c:pt idx="172">
                  <c:v>-3.1428571428571428</c:v>
                </c:pt>
                <c:pt idx="173">
                  <c:v>0</c:v>
                </c:pt>
                <c:pt idx="174">
                  <c:v>-1.4666666666666666</c:v>
                </c:pt>
                <c:pt idx="175">
                  <c:v>0</c:v>
                </c:pt>
                <c:pt idx="176">
                  <c:v>-1.2857142857142858</c:v>
                </c:pt>
                <c:pt idx="177">
                  <c:v>-2</c:v>
                </c:pt>
                <c:pt idx="178">
                  <c:v>2.4999999999999996</c:v>
                </c:pt>
                <c:pt idx="179">
                  <c:v>-2.4285714285714288</c:v>
                </c:pt>
                <c:pt idx="180">
                  <c:v>-0.30000000000000004</c:v>
                </c:pt>
                <c:pt idx="181">
                  <c:v>1</c:v>
                </c:pt>
                <c:pt idx="182">
                  <c:v>-0.64285714285714279</c:v>
                </c:pt>
                <c:pt idx="183">
                  <c:v>0</c:v>
                </c:pt>
                <c:pt idx="184">
                  <c:v>0.39999999999999991</c:v>
                </c:pt>
                <c:pt idx="185">
                  <c:v>-1.1428571428571428</c:v>
                </c:pt>
                <c:pt idx="186">
                  <c:v>12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-0.5714285714285714</c:v>
                </c:pt>
                <c:pt idx="191">
                  <c:v>-1</c:v>
                </c:pt>
                <c:pt idx="192">
                  <c:v>0</c:v>
                </c:pt>
                <c:pt idx="193">
                  <c:v>0.25</c:v>
                </c:pt>
                <c:pt idx="194">
                  <c:v>1.4</c:v>
                </c:pt>
                <c:pt idx="195">
                  <c:v>0</c:v>
                </c:pt>
                <c:pt idx="196">
                  <c:v>0</c:v>
                </c:pt>
                <c:pt idx="197">
                  <c:v>0.27777777777777768</c:v>
                </c:pt>
                <c:pt idx="198">
                  <c:v>6.5217391304347894E-2</c:v>
                </c:pt>
                <c:pt idx="199">
                  <c:v>-0.26530612244897966</c:v>
                </c:pt>
                <c:pt idx="200">
                  <c:v>0.16666666666666674</c:v>
                </c:pt>
                <c:pt idx="201">
                  <c:v>0.23809523809523814</c:v>
                </c:pt>
                <c:pt idx="202">
                  <c:v>-1.9230769230769384E-2</c:v>
                </c:pt>
                <c:pt idx="203">
                  <c:v>-1.9607843137254832E-2</c:v>
                </c:pt>
                <c:pt idx="204">
                  <c:v>8.0000000000000071E-2</c:v>
                </c:pt>
                <c:pt idx="205">
                  <c:v>-0.33333333333333337</c:v>
                </c:pt>
                <c:pt idx="206">
                  <c:v>-2.777777777777779E-2</c:v>
                </c:pt>
                <c:pt idx="207">
                  <c:v>0.17142857142857126</c:v>
                </c:pt>
                <c:pt idx="208">
                  <c:v>-0.21951219512195108</c:v>
                </c:pt>
                <c:pt idx="209">
                  <c:v>-0.1875</c:v>
                </c:pt>
                <c:pt idx="210">
                  <c:v>0.26923076923076916</c:v>
                </c:pt>
                <c:pt idx="211">
                  <c:v>0</c:v>
                </c:pt>
                <c:pt idx="212">
                  <c:v>6.0606060606060552E-2</c:v>
                </c:pt>
                <c:pt idx="213">
                  <c:v>0.22857142857142843</c:v>
                </c:pt>
                <c:pt idx="214">
                  <c:v>0.23255813953488369</c:v>
                </c:pt>
                <c:pt idx="215">
                  <c:v>9.4339622641509413E-2</c:v>
                </c:pt>
                <c:pt idx="216">
                  <c:v>-0.13793103448275856</c:v>
                </c:pt>
                <c:pt idx="217">
                  <c:v>-4.0000000000000036E-2</c:v>
                </c:pt>
                <c:pt idx="218">
                  <c:v>-0.1875</c:v>
                </c:pt>
                <c:pt idx="219">
                  <c:v>0.15384615384615397</c:v>
                </c:pt>
                <c:pt idx="220">
                  <c:v>8.8888888888889017E-2</c:v>
                </c:pt>
                <c:pt idx="221">
                  <c:v>-0.22448979591836749</c:v>
                </c:pt>
                <c:pt idx="222">
                  <c:v>-0.18421052631578938</c:v>
                </c:pt>
                <c:pt idx="223">
                  <c:v>-0.35483870967741937</c:v>
                </c:pt>
                <c:pt idx="224">
                  <c:v>1.5</c:v>
                </c:pt>
                <c:pt idx="225">
                  <c:v>-1.9999999999999907E-2</c:v>
                </c:pt>
                <c:pt idx="226">
                  <c:v>-0.16326530612244916</c:v>
                </c:pt>
                <c:pt idx="227">
                  <c:v>4.8780487804878092E-2</c:v>
                </c:pt>
                <c:pt idx="228">
                  <c:v>0</c:v>
                </c:pt>
                <c:pt idx="229">
                  <c:v>-0.16279069767441856</c:v>
                </c:pt>
                <c:pt idx="230">
                  <c:v>-0.22222222222222232</c:v>
                </c:pt>
                <c:pt idx="231">
                  <c:v>0.14285714285714302</c:v>
                </c:pt>
                <c:pt idx="232">
                  <c:v>-9.3750000000000111E-2</c:v>
                </c:pt>
                <c:pt idx="233">
                  <c:v>0.13793103448275867</c:v>
                </c:pt>
                <c:pt idx="234">
                  <c:v>-0.15151515151515149</c:v>
                </c:pt>
                <c:pt idx="235">
                  <c:v>0</c:v>
                </c:pt>
                <c:pt idx="236">
                  <c:v>0</c:v>
                </c:pt>
                <c:pt idx="237">
                  <c:v>-0.1785714285714286</c:v>
                </c:pt>
              </c:numCache>
            </c:numRef>
          </c:xVal>
          <c:yVal>
            <c:numRef>
              <c:f>Filtered_data_expand_reg!$G$4:$G$241</c:f>
              <c:numCache>
                <c:formatCode>0.000</c:formatCode>
                <c:ptCount val="238"/>
                <c:pt idx="0">
                  <c:v>6.374236733922034E-2</c:v>
                </c:pt>
                <c:pt idx="1">
                  <c:v>-6.9577381799054261E-2</c:v>
                </c:pt>
                <c:pt idx="2">
                  <c:v>-3.2640243025142679E-2</c:v>
                </c:pt>
                <c:pt idx="3">
                  <c:v>0.15472414485550567</c:v>
                </c:pt>
                <c:pt idx="4">
                  <c:v>-4.1196487061209153E-2</c:v>
                </c:pt>
                <c:pt idx="5">
                  <c:v>0.17402808976503037</c:v>
                </c:pt>
                <c:pt idx="6">
                  <c:v>0.10639211379737912</c:v>
                </c:pt>
                <c:pt idx="7">
                  <c:v>-0.24107527078096325</c:v>
                </c:pt>
                <c:pt idx="8">
                  <c:v>-6.3629395628308716E-2</c:v>
                </c:pt>
                <c:pt idx="9">
                  <c:v>0.30493137389590363</c:v>
                </c:pt>
                <c:pt idx="10">
                  <c:v>-9.9694088146233595E-2</c:v>
                </c:pt>
                <c:pt idx="11">
                  <c:v>4.9202239693840744E-2</c:v>
                </c:pt>
                <c:pt idx="12">
                  <c:v>-5.7338704383473105E-2</c:v>
                </c:pt>
                <c:pt idx="13">
                  <c:v>-0.22401247205316632</c:v>
                </c:pt>
                <c:pt idx="14">
                  <c:v>7.6149285977955339E-2</c:v>
                </c:pt>
                <c:pt idx="15">
                  <c:v>-0.23985292129727365</c:v>
                </c:pt>
                <c:pt idx="16">
                  <c:v>0.27851441062209092</c:v>
                </c:pt>
                <c:pt idx="17">
                  <c:v>9.3209512366019931E-2</c:v>
                </c:pt>
                <c:pt idx="18">
                  <c:v>-0.13874585480202728</c:v>
                </c:pt>
                <c:pt idx="19">
                  <c:v>-0.24798440302572866</c:v>
                </c:pt>
                <c:pt idx="20">
                  <c:v>5.7908757271350586E-2</c:v>
                </c:pt>
                <c:pt idx="21">
                  <c:v>0.45176735480827146</c:v>
                </c:pt>
                <c:pt idx="22">
                  <c:v>-0.22900369271421805</c:v>
                </c:pt>
                <c:pt idx="23">
                  <c:v>-9.7515808844483409E-2</c:v>
                </c:pt>
                <c:pt idx="24">
                  <c:v>-6.3114629752217377E-2</c:v>
                </c:pt>
                <c:pt idx="25">
                  <c:v>0.14647427994777207</c:v>
                </c:pt>
                <c:pt idx="26">
                  <c:v>0.3100288529003139</c:v>
                </c:pt>
                <c:pt idx="27">
                  <c:v>-0.20024269284474439</c:v>
                </c:pt>
                <c:pt idx="28">
                  <c:v>-0.24233667381361212</c:v>
                </c:pt>
                <c:pt idx="29">
                  <c:v>0.50448198944331679</c:v>
                </c:pt>
                <c:pt idx="30">
                  <c:v>3.8922328603336886E-3</c:v>
                </c:pt>
                <c:pt idx="31">
                  <c:v>-0.14904448957568295</c:v>
                </c:pt>
                <c:pt idx="32">
                  <c:v>0.26265966133675001</c:v>
                </c:pt>
                <c:pt idx="33">
                  <c:v>-0.14457564942087564</c:v>
                </c:pt>
                <c:pt idx="34">
                  <c:v>-6.7014366600345099E-2</c:v>
                </c:pt>
                <c:pt idx="35">
                  <c:v>0.17082776682243761</c:v>
                </c:pt>
                <c:pt idx="36">
                  <c:v>-2.7218942531175738E-2</c:v>
                </c:pt>
                <c:pt idx="37">
                  <c:v>0.13198899319506019</c:v>
                </c:pt>
                <c:pt idx="38">
                  <c:v>-0.12574177936326447</c:v>
                </c:pt>
                <c:pt idx="39">
                  <c:v>4.9332950956061383E-2</c:v>
                </c:pt>
                <c:pt idx="40">
                  <c:v>-0.15981484600416374</c:v>
                </c:pt>
                <c:pt idx="41">
                  <c:v>-5.6147842941778436E-2</c:v>
                </c:pt>
                <c:pt idx="42">
                  <c:v>0.19138308523306824</c:v>
                </c:pt>
                <c:pt idx="43">
                  <c:v>-0.24145184682630827</c:v>
                </c:pt>
                <c:pt idx="44">
                  <c:v>0.1229370475707674</c:v>
                </c:pt>
                <c:pt idx="45">
                  <c:v>-0.26101682549056582</c:v>
                </c:pt>
                <c:pt idx="46">
                  <c:v>0.98023452515681675</c:v>
                </c:pt>
                <c:pt idx="47">
                  <c:v>-0.2052681539008735</c:v>
                </c:pt>
                <c:pt idx="48">
                  <c:v>-0.19380487155676407</c:v>
                </c:pt>
                <c:pt idx="49">
                  <c:v>-0.23526110652294241</c:v>
                </c:pt>
                <c:pt idx="50">
                  <c:v>0.571186628275824</c:v>
                </c:pt>
                <c:pt idx="51">
                  <c:v>-2.1841314117574839E-2</c:v>
                </c:pt>
                <c:pt idx="52">
                  <c:v>-3.1885734273278454E-2</c:v>
                </c:pt>
                <c:pt idx="53">
                  <c:v>-0.31856331377488967</c:v>
                </c:pt>
                <c:pt idx="54">
                  <c:v>0.77252748703919116</c:v>
                </c:pt>
                <c:pt idx="55">
                  <c:v>-0.29979769633962927</c:v>
                </c:pt>
                <c:pt idx="56">
                  <c:v>4.6875369765686292E-2</c:v>
                </c:pt>
                <c:pt idx="57">
                  <c:v>-7.6978487502075588E-2</c:v>
                </c:pt>
                <c:pt idx="58">
                  <c:v>0.10459623186338107</c:v>
                </c:pt>
                <c:pt idx="59">
                  <c:v>-0.16197111998287583</c:v>
                </c:pt>
                <c:pt idx="60">
                  <c:v>0.17592276827397102</c:v>
                </c:pt>
                <c:pt idx="61">
                  <c:v>2.9713359148964003E-3</c:v>
                </c:pt>
                <c:pt idx="62">
                  <c:v>-0.10049912375329528</c:v>
                </c:pt>
                <c:pt idx="63">
                  <c:v>-3.5688725445889968E-2</c:v>
                </c:pt>
                <c:pt idx="64">
                  <c:v>-7.7802021574578939E-3</c:v>
                </c:pt>
                <c:pt idx="65">
                  <c:v>0.16097403220942796</c:v>
                </c:pt>
                <c:pt idx="66">
                  <c:v>-0.19787309206896009</c:v>
                </c:pt>
                <c:pt idx="67">
                  <c:v>1.9355352019896799E-2</c:v>
                </c:pt>
                <c:pt idx="68">
                  <c:v>-0.11192309402989487</c:v>
                </c:pt>
                <c:pt idx="69">
                  <c:v>0.15210129199046984</c:v>
                </c:pt>
                <c:pt idx="70">
                  <c:v>7.4524472747127701E-2</c:v>
                </c:pt>
                <c:pt idx="71">
                  <c:v>-4.333299226294951E-2</c:v>
                </c:pt>
                <c:pt idx="72">
                  <c:v>-2.3167208987580734E-2</c:v>
                </c:pt>
                <c:pt idx="73">
                  <c:v>-0.28399246253862664</c:v>
                </c:pt>
                <c:pt idx="74">
                  <c:v>0.52122088225672569</c:v>
                </c:pt>
                <c:pt idx="75">
                  <c:v>0.13531640419056523</c:v>
                </c:pt>
                <c:pt idx="76">
                  <c:v>-0.30188694023977491</c:v>
                </c:pt>
                <c:pt idx="77">
                  <c:v>0.18820821502106599</c:v>
                </c:pt>
                <c:pt idx="78">
                  <c:v>0.22989020585949738</c:v>
                </c:pt>
                <c:pt idx="79">
                  <c:v>-0.30543889449578554</c:v>
                </c:pt>
                <c:pt idx="80">
                  <c:v>0.2106411502165082</c:v>
                </c:pt>
                <c:pt idx="81">
                  <c:v>-0.18221279163474247</c:v>
                </c:pt>
                <c:pt idx="82">
                  <c:v>0.3750862258202412</c:v>
                </c:pt>
                <c:pt idx="83">
                  <c:v>-0.16207685838676988</c:v>
                </c:pt>
                <c:pt idx="84">
                  <c:v>-3.6737840098323038E-2</c:v>
                </c:pt>
                <c:pt idx="85">
                  <c:v>0.32225971017738209</c:v>
                </c:pt>
                <c:pt idx="86">
                  <c:v>0.13976680745721293</c:v>
                </c:pt>
                <c:pt idx="87">
                  <c:v>-0.2292567437715366</c:v>
                </c:pt>
                <c:pt idx="88">
                  <c:v>1.936421676373512E-2</c:v>
                </c:pt>
                <c:pt idx="89">
                  <c:v>-0.14396578167221041</c:v>
                </c:pt>
                <c:pt idx="90">
                  <c:v>0.13570814408350862</c:v>
                </c:pt>
                <c:pt idx="91">
                  <c:v>-7.5796938434797068E-2</c:v>
                </c:pt>
                <c:pt idx="92">
                  <c:v>5.1302925101365249E-2</c:v>
                </c:pt>
                <c:pt idx="93">
                  <c:v>2.0450380442365468E-2</c:v>
                </c:pt>
                <c:pt idx="94">
                  <c:v>0.12357405356520146</c:v>
                </c:pt>
                <c:pt idx="95">
                  <c:v>-0.13856735727056535</c:v>
                </c:pt>
                <c:pt idx="96">
                  <c:v>-0.10140229785473709</c:v>
                </c:pt>
                <c:pt idx="97">
                  <c:v>0.10004878378052084</c:v>
                </c:pt>
                <c:pt idx="98">
                  <c:v>7.8954027795812953E-2</c:v>
                </c:pt>
                <c:pt idx="99">
                  <c:v>-4.2749482979626219E-2</c:v>
                </c:pt>
                <c:pt idx="100">
                  <c:v>-7.9253408692884331E-2</c:v>
                </c:pt>
                <c:pt idx="101">
                  <c:v>0.26218617699153968</c:v>
                </c:pt>
                <c:pt idx="102">
                  <c:v>-8.0203455804175872E-2</c:v>
                </c:pt>
                <c:pt idx="103">
                  <c:v>-6.4953879054860386E-2</c:v>
                </c:pt>
                <c:pt idx="104">
                  <c:v>-3.3779418371947423E-2</c:v>
                </c:pt>
                <c:pt idx="105">
                  <c:v>-8.3000521699690855E-2</c:v>
                </c:pt>
                <c:pt idx="106">
                  <c:v>7.0996017700668768E-2</c:v>
                </c:pt>
                <c:pt idx="107">
                  <c:v>-1.8296491552647454E-2</c:v>
                </c:pt>
                <c:pt idx="108">
                  <c:v>-9.1051454596139392E-2</c:v>
                </c:pt>
                <c:pt idx="109">
                  <c:v>0.22894042869599041</c:v>
                </c:pt>
                <c:pt idx="110">
                  <c:v>0.13512029983184148</c:v>
                </c:pt>
                <c:pt idx="111">
                  <c:v>1.7552677745436007E-4</c:v>
                </c:pt>
                <c:pt idx="112">
                  <c:v>-8.2941997315965077E-3</c:v>
                </c:pt>
                <c:pt idx="113">
                  <c:v>-8.6993846905893069E-2</c:v>
                </c:pt>
                <c:pt idx="114">
                  <c:v>0.15200424063636064</c:v>
                </c:pt>
                <c:pt idx="115">
                  <c:v>-9.0410564082143319E-2</c:v>
                </c:pt>
                <c:pt idx="116">
                  <c:v>-9.1737892267886978E-2</c:v>
                </c:pt>
                <c:pt idx="117">
                  <c:v>1.0626430781072393E-2</c:v>
                </c:pt>
                <c:pt idx="118">
                  <c:v>-0.12866217778739752</c:v>
                </c:pt>
                <c:pt idx="119">
                  <c:v>0.17167152146226439</c:v>
                </c:pt>
                <c:pt idx="120">
                  <c:v>-0.20496662895837781</c:v>
                </c:pt>
                <c:pt idx="121">
                  <c:v>9.7200944323923233E-2</c:v>
                </c:pt>
                <c:pt idx="122">
                  <c:v>-9.9841543634592633E-2</c:v>
                </c:pt>
                <c:pt idx="123">
                  <c:v>0.17810585780260713</c:v>
                </c:pt>
                <c:pt idx="124">
                  <c:v>-1.5384905906818735E-2</c:v>
                </c:pt>
                <c:pt idx="125">
                  <c:v>2.1315581318713805E-2</c:v>
                </c:pt>
                <c:pt idx="126">
                  <c:v>-0.12470528417839277</c:v>
                </c:pt>
                <c:pt idx="127">
                  <c:v>0.33388515544610309</c:v>
                </c:pt>
                <c:pt idx="128">
                  <c:v>-6.3704862887431268E-2</c:v>
                </c:pt>
                <c:pt idx="129">
                  <c:v>-2.7267071558835676E-2</c:v>
                </c:pt>
                <c:pt idx="130">
                  <c:v>-0.11947212288368558</c:v>
                </c:pt>
                <c:pt idx="131">
                  <c:v>0.36921913769444137</c:v>
                </c:pt>
                <c:pt idx="132">
                  <c:v>-0.16090851806287232</c:v>
                </c:pt>
                <c:pt idx="133">
                  <c:v>-6.1262112888136766E-2</c:v>
                </c:pt>
                <c:pt idx="134">
                  <c:v>-8.2613868940551671E-2</c:v>
                </c:pt>
                <c:pt idx="135">
                  <c:v>-0.21344681249678477</c:v>
                </c:pt>
                <c:pt idx="136">
                  <c:v>-0.19595751046838938</c:v>
                </c:pt>
                <c:pt idx="137">
                  <c:v>0.42397523043300001</c:v>
                </c:pt>
                <c:pt idx="138">
                  <c:v>1.1213134735983399E-2</c:v>
                </c:pt>
                <c:pt idx="139">
                  <c:v>-0.30785508973904385</c:v>
                </c:pt>
                <c:pt idx="140">
                  <c:v>0.79934665392376747</c:v>
                </c:pt>
                <c:pt idx="141">
                  <c:v>-4.0300951325289103E-2</c:v>
                </c:pt>
                <c:pt idx="142">
                  <c:v>-8.6339509966433581E-2</c:v>
                </c:pt>
                <c:pt idx="143">
                  <c:v>5.8919888530980291E-2</c:v>
                </c:pt>
                <c:pt idx="144">
                  <c:v>-1.1179306313778836E-2</c:v>
                </c:pt>
                <c:pt idx="145">
                  <c:v>7.7052693011860462E-2</c:v>
                </c:pt>
                <c:pt idx="146">
                  <c:v>-0.12246354273405269</c:v>
                </c:pt>
                <c:pt idx="147">
                  <c:v>0.23245678575069095</c:v>
                </c:pt>
                <c:pt idx="148">
                  <c:v>-0.16048107499426345</c:v>
                </c:pt>
                <c:pt idx="149">
                  <c:v>4.0961890488400599E-2</c:v>
                </c:pt>
                <c:pt idx="150">
                  <c:v>0.13713002912188021</c:v>
                </c:pt>
                <c:pt idx="151">
                  <c:v>-8.9098709966752399E-2</c:v>
                </c:pt>
                <c:pt idx="152">
                  <c:v>-0.33320311602852482</c:v>
                </c:pt>
                <c:pt idx="153">
                  <c:v>0.25052017507228919</c:v>
                </c:pt>
                <c:pt idx="154">
                  <c:v>0.39878840883088129</c:v>
                </c:pt>
                <c:pt idx="155">
                  <c:v>-8.917158971879191E-2</c:v>
                </c:pt>
                <c:pt idx="156">
                  <c:v>-2.9455673524724779E-2</c:v>
                </c:pt>
                <c:pt idx="157">
                  <c:v>8.9038971766921549E-2</c:v>
                </c:pt>
                <c:pt idx="158">
                  <c:v>-0.48792706919901851</c:v>
                </c:pt>
                <c:pt idx="159">
                  <c:v>7.0192180053583852E-2</c:v>
                </c:pt>
                <c:pt idx="160">
                  <c:v>-0.21882214064068484</c:v>
                </c:pt>
                <c:pt idx="161">
                  <c:v>-0.21339142555966262</c:v>
                </c:pt>
                <c:pt idx="162">
                  <c:v>0.10375203794584431</c:v>
                </c:pt>
                <c:pt idx="163">
                  <c:v>-2.8949017574536273E-2</c:v>
                </c:pt>
                <c:pt idx="164">
                  <c:v>-0.50030284492936028</c:v>
                </c:pt>
                <c:pt idx="165">
                  <c:v>0.70946388753580147</c:v>
                </c:pt>
                <c:pt idx="166">
                  <c:v>0.13431810043201331</c:v>
                </c:pt>
                <c:pt idx="167">
                  <c:v>-0.2054424500551808</c:v>
                </c:pt>
                <c:pt idx="168">
                  <c:v>0.49306364352395837</c:v>
                </c:pt>
                <c:pt idx="169">
                  <c:v>-7.6975107640149587E-2</c:v>
                </c:pt>
                <c:pt idx="170">
                  <c:v>0.35269108902383239</c:v>
                </c:pt>
                <c:pt idx="171">
                  <c:v>-0.13069486526202068</c:v>
                </c:pt>
                <c:pt idx="172">
                  <c:v>-0.41664531513663172</c:v>
                </c:pt>
                <c:pt idx="173">
                  <c:v>0.45869365516186389</c:v>
                </c:pt>
                <c:pt idx="174">
                  <c:v>0.23636136238232974</c:v>
                </c:pt>
                <c:pt idx="175">
                  <c:v>-3.1505321445701728E-4</c:v>
                </c:pt>
                <c:pt idx="176">
                  <c:v>-0.12825527266265224</c:v>
                </c:pt>
                <c:pt idx="177">
                  <c:v>-0.16341464868075273</c:v>
                </c:pt>
                <c:pt idx="178">
                  <c:v>0.39165432979630221</c:v>
                </c:pt>
                <c:pt idx="179">
                  <c:v>6.4527838207053101E-2</c:v>
                </c:pt>
                <c:pt idx="180">
                  <c:v>-0.25124514885039406</c:v>
                </c:pt>
                <c:pt idx="181">
                  <c:v>-0.27509061474342311</c:v>
                </c:pt>
                <c:pt idx="182">
                  <c:v>0.48599880115219318</c:v>
                </c:pt>
                <c:pt idx="183">
                  <c:v>0.18003491830165608</c:v>
                </c:pt>
                <c:pt idx="184">
                  <c:v>-0.18327564460939505</c:v>
                </c:pt>
                <c:pt idx="185">
                  <c:v>-0.52745793193492618</c:v>
                </c:pt>
                <c:pt idx="186">
                  <c:v>1.1674211883655401</c:v>
                </c:pt>
                <c:pt idx="187">
                  <c:v>7.0343636212653937E-2</c:v>
                </c:pt>
                <c:pt idx="188">
                  <c:v>0.16723069058085738</c:v>
                </c:pt>
                <c:pt idx="189">
                  <c:v>-7.4838578731454719E-2</c:v>
                </c:pt>
                <c:pt idx="190">
                  <c:v>6.558618033040764E-2</c:v>
                </c:pt>
                <c:pt idx="191">
                  <c:v>-0.15494853220101901</c:v>
                </c:pt>
                <c:pt idx="192">
                  <c:v>3.4483507954985448E-4</c:v>
                </c:pt>
                <c:pt idx="193">
                  <c:v>0.14548290185257962</c:v>
                </c:pt>
                <c:pt idx="194">
                  <c:v>0.15507735347746587</c:v>
                </c:pt>
                <c:pt idx="195">
                  <c:v>-0.23025037395852643</c:v>
                </c:pt>
                <c:pt idx="196">
                  <c:v>-0.16056651348639661</c:v>
                </c:pt>
                <c:pt idx="197">
                  <c:v>-7.9462809137384571E-2</c:v>
                </c:pt>
                <c:pt idx="198">
                  <c:v>0.57285704709366292</c:v>
                </c:pt>
                <c:pt idx="199">
                  <c:v>2.3599990894461742E-2</c:v>
                </c:pt>
                <c:pt idx="200">
                  <c:v>-0.25415744490874215</c:v>
                </c:pt>
                <c:pt idx="201">
                  <c:v>0.33068977042551495</c:v>
                </c:pt>
                <c:pt idx="202">
                  <c:v>0.11862837552326733</c:v>
                </c:pt>
                <c:pt idx="203">
                  <c:v>-0.21629284093084478</c:v>
                </c:pt>
                <c:pt idx="204">
                  <c:v>-7.1437323116267493E-2</c:v>
                </c:pt>
                <c:pt idx="205">
                  <c:v>0.12593123862379763</c:v>
                </c:pt>
                <c:pt idx="206">
                  <c:v>0.1596756141949347</c:v>
                </c:pt>
                <c:pt idx="207">
                  <c:v>-0.17519687731870626</c:v>
                </c:pt>
                <c:pt idx="208">
                  <c:v>0.24609664825537547</c:v>
                </c:pt>
                <c:pt idx="209">
                  <c:v>-0.17435116731601275</c:v>
                </c:pt>
                <c:pt idx="210">
                  <c:v>0.41670339135074896</c:v>
                </c:pt>
                <c:pt idx="211">
                  <c:v>-6.8414070850575381E-2</c:v>
                </c:pt>
                <c:pt idx="212">
                  <c:v>-0.5187378485726053</c:v>
                </c:pt>
                <c:pt idx="213">
                  <c:v>0.26006395575701835</c:v>
                </c:pt>
                <c:pt idx="214">
                  <c:v>0.28202575091432758</c:v>
                </c:pt>
                <c:pt idx="215">
                  <c:v>1.6404287454819144E-2</c:v>
                </c:pt>
                <c:pt idx="216">
                  <c:v>-0.30712818936500585</c:v>
                </c:pt>
                <c:pt idx="217">
                  <c:v>7.5806655841493154E-2</c:v>
                </c:pt>
                <c:pt idx="218">
                  <c:v>0.39191389726641157</c:v>
                </c:pt>
                <c:pt idx="219">
                  <c:v>-8.8771280806000386E-2</c:v>
                </c:pt>
                <c:pt idx="220">
                  <c:v>0.1422901122757918</c:v>
                </c:pt>
                <c:pt idx="221">
                  <c:v>-0.4082142379698277</c:v>
                </c:pt>
                <c:pt idx="222">
                  <c:v>0.27188660040926615</c:v>
                </c:pt>
                <c:pt idx="223">
                  <c:v>0.60581736294816957</c:v>
                </c:pt>
                <c:pt idx="224">
                  <c:v>-0.22602437988642998</c:v>
                </c:pt>
                <c:pt idx="225">
                  <c:v>6.9797580133379444E-2</c:v>
                </c:pt>
                <c:pt idx="226">
                  <c:v>0.1368022427391471</c:v>
                </c:pt>
                <c:pt idx="227">
                  <c:v>-0.1334276238371267</c:v>
                </c:pt>
                <c:pt idx="228">
                  <c:v>0.20604073729449701</c:v>
                </c:pt>
                <c:pt idx="229">
                  <c:v>-0.11917404981914537</c:v>
                </c:pt>
                <c:pt idx="230">
                  <c:v>-0.30553802367495153</c:v>
                </c:pt>
                <c:pt idx="231">
                  <c:v>0.45688220932205614</c:v>
                </c:pt>
                <c:pt idx="232">
                  <c:v>-0.21878686095073174</c:v>
                </c:pt>
                <c:pt idx="233">
                  <c:v>0.11793600999234322</c:v>
                </c:pt>
                <c:pt idx="234">
                  <c:v>-0.36185127932269179</c:v>
                </c:pt>
                <c:pt idx="235">
                  <c:v>0.92052412478490875</c:v>
                </c:pt>
                <c:pt idx="236">
                  <c:v>-5.3619996842472539E-2</c:v>
                </c:pt>
                <c:pt idx="237">
                  <c:v>-0.25261086755876472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69-4A62-AA59-26771A2D2E35}"/>
            </c:ext>
          </c:extLst>
        </c:ser>
        <c:ser>
          <c:idx val="1"/>
          <c:order val="1"/>
          <c:tx>
            <c:v>Predicted Urals loading</c:v>
          </c:tx>
          <c:spPr>
            <a:ln w="19050">
              <a:noFill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Filtered_data_expand_reg!$F$4:$F$241</c:f>
              <c:numCache>
                <c:formatCode>0.000</c:formatCode>
                <c:ptCount val="238"/>
                <c:pt idx="0">
                  <c:v>-0.18000000000000005</c:v>
                </c:pt>
                <c:pt idx="1">
                  <c:v>-0.26829268292682917</c:v>
                </c:pt>
                <c:pt idx="2">
                  <c:v>6.6666666666666652E-2</c:v>
                </c:pt>
                <c:pt idx="3">
                  <c:v>9.375E-2</c:v>
                </c:pt>
                <c:pt idx="4">
                  <c:v>0.25714285714285734</c:v>
                </c:pt>
                <c:pt idx="5">
                  <c:v>-0.13636363636363646</c:v>
                </c:pt>
                <c:pt idx="6">
                  <c:v>0.31578947368421062</c:v>
                </c:pt>
                <c:pt idx="7">
                  <c:v>-0.19999999999999996</c:v>
                </c:pt>
                <c:pt idx="8">
                  <c:v>2.4999999999999911E-2</c:v>
                </c:pt>
                <c:pt idx="9">
                  <c:v>9.7560975609756184E-2</c:v>
                </c:pt>
                <c:pt idx="10">
                  <c:v>0.24444444444444446</c:v>
                </c:pt>
                <c:pt idx="11">
                  <c:v>-3.5714285714285587E-2</c:v>
                </c:pt>
                <c:pt idx="12">
                  <c:v>-0.21111111111111125</c:v>
                </c:pt>
                <c:pt idx="13">
                  <c:v>-0.20833333333333337</c:v>
                </c:pt>
                <c:pt idx="14">
                  <c:v>-0.13157894736842102</c:v>
                </c:pt>
                <c:pt idx="15">
                  <c:v>-0.12121212121212122</c:v>
                </c:pt>
                <c:pt idx="16">
                  <c:v>-6.8965517241379226E-2</c:v>
                </c:pt>
                <c:pt idx="17">
                  <c:v>0.11111111111111094</c:v>
                </c:pt>
                <c:pt idx="18">
                  <c:v>-9.9999999999999978E-2</c:v>
                </c:pt>
                <c:pt idx="19">
                  <c:v>0</c:v>
                </c:pt>
                <c:pt idx="20">
                  <c:v>-3.703703703703709E-2</c:v>
                </c:pt>
                <c:pt idx="21">
                  <c:v>-0.11538461538461553</c:v>
                </c:pt>
                <c:pt idx="22">
                  <c:v>-0.21739130434782605</c:v>
                </c:pt>
                <c:pt idx="23">
                  <c:v>5.555555555555558E-2</c:v>
                </c:pt>
                <c:pt idx="24">
                  <c:v>-0.26315789473684215</c:v>
                </c:pt>
                <c:pt idx="25">
                  <c:v>0.21428571428571441</c:v>
                </c:pt>
                <c:pt idx="26">
                  <c:v>-0.23529411764705876</c:v>
                </c:pt>
                <c:pt idx="27">
                  <c:v>-0.15384615384615385</c:v>
                </c:pt>
                <c:pt idx="28">
                  <c:v>-0.45454545454545459</c:v>
                </c:pt>
                <c:pt idx="29">
                  <c:v>0</c:v>
                </c:pt>
                <c:pt idx="30">
                  <c:v>1</c:v>
                </c:pt>
                <c:pt idx="31">
                  <c:v>1.0833333333333335</c:v>
                </c:pt>
                <c:pt idx="32">
                  <c:v>4.0000000000000036E-2</c:v>
                </c:pt>
                <c:pt idx="33">
                  <c:v>0.11538461538461542</c:v>
                </c:pt>
                <c:pt idx="34">
                  <c:v>0.48275862068965525</c:v>
                </c:pt>
                <c:pt idx="35">
                  <c:v>-4.6511627906976827E-2</c:v>
                </c:pt>
                <c:pt idx="36">
                  <c:v>0</c:v>
                </c:pt>
                <c:pt idx="37">
                  <c:v>-0.51219512195121952</c:v>
                </c:pt>
                <c:pt idx="38">
                  <c:v>0.55000000000000004</c:v>
                </c:pt>
                <c:pt idx="39">
                  <c:v>-0.38709677419354849</c:v>
                </c:pt>
                <c:pt idx="40">
                  <c:v>0.15789473684210531</c:v>
                </c:pt>
                <c:pt idx="41">
                  <c:v>0</c:v>
                </c:pt>
                <c:pt idx="42">
                  <c:v>-0.36363636363636376</c:v>
                </c:pt>
                <c:pt idx="43">
                  <c:v>0.21428571428571441</c:v>
                </c:pt>
                <c:pt idx="44">
                  <c:v>-0.11764705882352944</c:v>
                </c:pt>
                <c:pt idx="45">
                  <c:v>-0.4</c:v>
                </c:pt>
                <c:pt idx="46">
                  <c:v>-0.88888888888888884</c:v>
                </c:pt>
                <c:pt idx="47">
                  <c:v>4</c:v>
                </c:pt>
                <c:pt idx="48">
                  <c:v>1</c:v>
                </c:pt>
                <c:pt idx="49">
                  <c:v>0.30000000000000004</c:v>
                </c:pt>
                <c:pt idx="50">
                  <c:v>-7.6923076923076983E-2</c:v>
                </c:pt>
                <c:pt idx="51">
                  <c:v>0.25</c:v>
                </c:pt>
                <c:pt idx="52">
                  <c:v>-0.20000000000000007</c:v>
                </c:pt>
                <c:pt idx="53">
                  <c:v>0.83333333333333348</c:v>
                </c:pt>
                <c:pt idx="54">
                  <c:v>0.45454545454545459</c:v>
                </c:pt>
                <c:pt idx="55">
                  <c:v>0.3125</c:v>
                </c:pt>
                <c:pt idx="56">
                  <c:v>-6.25E-2</c:v>
                </c:pt>
                <c:pt idx="57">
                  <c:v>0.31111111111111112</c:v>
                </c:pt>
                <c:pt idx="58">
                  <c:v>-0.28813559322033899</c:v>
                </c:pt>
                <c:pt idx="59">
                  <c:v>-4.7619047619047672E-2</c:v>
                </c:pt>
                <c:pt idx="60">
                  <c:v>7.1428571428571397E-2</c:v>
                </c:pt>
                <c:pt idx="61">
                  <c:v>0.42222222222222228</c:v>
                </c:pt>
                <c:pt idx="62">
                  <c:v>6.25E-2</c:v>
                </c:pt>
                <c:pt idx="63">
                  <c:v>-4.4117647058823484E-2</c:v>
                </c:pt>
                <c:pt idx="64">
                  <c:v>-6.1538461538461542E-2</c:v>
                </c:pt>
                <c:pt idx="65">
                  <c:v>-0.18032786885245899</c:v>
                </c:pt>
                <c:pt idx="66">
                  <c:v>-0.38</c:v>
                </c:pt>
                <c:pt idx="67">
                  <c:v>-0.22580645161290325</c:v>
                </c:pt>
                <c:pt idx="68">
                  <c:v>0.12500000000000022</c:v>
                </c:pt>
                <c:pt idx="69">
                  <c:v>0</c:v>
                </c:pt>
                <c:pt idx="70">
                  <c:v>0.33333333333333326</c:v>
                </c:pt>
                <c:pt idx="71">
                  <c:v>8.3333333333333259E-2</c:v>
                </c:pt>
                <c:pt idx="72">
                  <c:v>-0.25641025641025639</c:v>
                </c:pt>
                <c:pt idx="73">
                  <c:v>0.34482758620689657</c:v>
                </c:pt>
                <c:pt idx="74">
                  <c:v>0.15384615384615397</c:v>
                </c:pt>
                <c:pt idx="75">
                  <c:v>-2.2222222222222143E-2</c:v>
                </c:pt>
                <c:pt idx="76">
                  <c:v>-0.38636363636363635</c:v>
                </c:pt>
                <c:pt idx="77">
                  <c:v>-0.18518518518518512</c:v>
                </c:pt>
                <c:pt idx="78">
                  <c:v>-9.0909090909090939E-2</c:v>
                </c:pt>
                <c:pt idx="79">
                  <c:v>-0.25</c:v>
                </c:pt>
                <c:pt idx="80">
                  <c:v>-0.60000000000000009</c:v>
                </c:pt>
                <c:pt idx="81">
                  <c:v>-0.16666666666666663</c:v>
                </c:pt>
                <c:pt idx="82">
                  <c:v>1.6</c:v>
                </c:pt>
                <c:pt idx="83">
                  <c:v>1.7692307692307692</c:v>
                </c:pt>
                <c:pt idx="84">
                  <c:v>-0.16666666666666674</c:v>
                </c:pt>
                <c:pt idx="85">
                  <c:v>0.19999999999999996</c:v>
                </c:pt>
                <c:pt idx="86">
                  <c:v>0.19444444444444442</c:v>
                </c:pt>
                <c:pt idx="87">
                  <c:v>0.16279069767441867</c:v>
                </c:pt>
                <c:pt idx="88">
                  <c:v>-0.38</c:v>
                </c:pt>
                <c:pt idx="89">
                  <c:v>-0.80645161290322576</c:v>
                </c:pt>
                <c:pt idx="90">
                  <c:v>-0.16666666666666663</c:v>
                </c:pt>
                <c:pt idx="91">
                  <c:v>-2.6</c:v>
                </c:pt>
                <c:pt idx="92">
                  <c:v>-1.5</c:v>
                </c:pt>
                <c:pt idx="93">
                  <c:v>0.74999999999999978</c:v>
                </c:pt>
                <c:pt idx="94">
                  <c:v>-1.3714285714285714</c:v>
                </c:pt>
                <c:pt idx="95">
                  <c:v>2.4615384615384617</c:v>
                </c:pt>
                <c:pt idx="96">
                  <c:v>-1</c:v>
                </c:pt>
                <c:pt idx="97">
                  <c:v>0</c:v>
                </c:pt>
                <c:pt idx="98">
                  <c:v>-3</c:v>
                </c:pt>
                <c:pt idx="99">
                  <c:v>-1.2</c:v>
                </c:pt>
                <c:pt idx="100">
                  <c:v>0</c:v>
                </c:pt>
                <c:pt idx="101">
                  <c:v>3.5</c:v>
                </c:pt>
                <c:pt idx="102">
                  <c:v>-0.88888888888888884</c:v>
                </c:pt>
                <c:pt idx="103">
                  <c:v>4.9999999999999991</c:v>
                </c:pt>
                <c:pt idx="104">
                  <c:v>1.5</c:v>
                </c:pt>
                <c:pt idx="105">
                  <c:v>-1</c:v>
                </c:pt>
                <c:pt idx="106">
                  <c:v>0</c:v>
                </c:pt>
                <c:pt idx="107">
                  <c:v>-0.69230769230769229</c:v>
                </c:pt>
                <c:pt idx="108">
                  <c:v>-3.5</c:v>
                </c:pt>
                <c:pt idx="109">
                  <c:v>-0.9</c:v>
                </c:pt>
                <c:pt idx="110">
                  <c:v>-1.6666666666666667</c:v>
                </c:pt>
                <c:pt idx="111">
                  <c:v>3.5</c:v>
                </c:pt>
                <c:pt idx="112">
                  <c:v>-1.0555555555555556</c:v>
                </c:pt>
                <c:pt idx="113">
                  <c:v>19</c:v>
                </c:pt>
                <c:pt idx="114">
                  <c:v>1</c:v>
                </c:pt>
                <c:pt idx="115">
                  <c:v>-2.5000000000000022E-2</c:v>
                </c:pt>
                <c:pt idx="116">
                  <c:v>0.20512820512820529</c:v>
                </c:pt>
                <c:pt idx="117">
                  <c:v>-0.23404255319148937</c:v>
                </c:pt>
                <c:pt idx="118">
                  <c:v>0.11111111111111116</c:v>
                </c:pt>
                <c:pt idx="119">
                  <c:v>0</c:v>
                </c:pt>
                <c:pt idx="120">
                  <c:v>0</c:v>
                </c:pt>
                <c:pt idx="121">
                  <c:v>-1.1000000000000001</c:v>
                </c:pt>
                <c:pt idx="122">
                  <c:v>3</c:v>
                </c:pt>
                <c:pt idx="123">
                  <c:v>-1.3125</c:v>
                </c:pt>
                <c:pt idx="124">
                  <c:v>2</c:v>
                </c:pt>
                <c:pt idx="125">
                  <c:v>0</c:v>
                </c:pt>
                <c:pt idx="126">
                  <c:v>0.33333333333333326</c:v>
                </c:pt>
                <c:pt idx="127">
                  <c:v>1.2000000000000002</c:v>
                </c:pt>
                <c:pt idx="128">
                  <c:v>-0.25000000000000011</c:v>
                </c:pt>
                <c:pt idx="129">
                  <c:v>-0.45454545454545447</c:v>
                </c:pt>
                <c:pt idx="130">
                  <c:v>2.1666666666666665</c:v>
                </c:pt>
                <c:pt idx="131">
                  <c:v>-0.26315789473684215</c:v>
                </c:pt>
                <c:pt idx="132">
                  <c:v>-0.23809523809523814</c:v>
                </c:pt>
                <c:pt idx="133">
                  <c:v>0.3125</c:v>
                </c:pt>
                <c:pt idx="134">
                  <c:v>-0.69047619047619047</c:v>
                </c:pt>
                <c:pt idx="135">
                  <c:v>-1.6153846153846154</c:v>
                </c:pt>
                <c:pt idx="136">
                  <c:v>0</c:v>
                </c:pt>
                <c:pt idx="137">
                  <c:v>0</c:v>
                </c:pt>
                <c:pt idx="138">
                  <c:v>-3.3749999999999996</c:v>
                </c:pt>
                <c:pt idx="139">
                  <c:v>0</c:v>
                </c:pt>
                <c:pt idx="140">
                  <c:v>0.25</c:v>
                </c:pt>
                <c:pt idx="141">
                  <c:v>0.24</c:v>
                </c:pt>
                <c:pt idx="142">
                  <c:v>0.46774193548387077</c:v>
                </c:pt>
                <c:pt idx="143">
                  <c:v>-0.23076923076923073</c:v>
                </c:pt>
                <c:pt idx="144">
                  <c:v>-0.29999999999999993</c:v>
                </c:pt>
                <c:pt idx="145">
                  <c:v>-0.28571428571428581</c:v>
                </c:pt>
                <c:pt idx="146">
                  <c:v>-2.8571428571428581E-2</c:v>
                </c:pt>
                <c:pt idx="147">
                  <c:v>-0.41176470588235292</c:v>
                </c:pt>
                <c:pt idx="148">
                  <c:v>0.5</c:v>
                </c:pt>
                <c:pt idx="149">
                  <c:v>-0.4</c:v>
                </c:pt>
                <c:pt idx="150">
                  <c:v>1.1666666666666665</c:v>
                </c:pt>
                <c:pt idx="151">
                  <c:v>0.12820512820512842</c:v>
                </c:pt>
                <c:pt idx="152">
                  <c:v>-0.25000000000000011</c:v>
                </c:pt>
                <c:pt idx="153">
                  <c:v>0.90909090909090917</c:v>
                </c:pt>
                <c:pt idx="154">
                  <c:v>0.33333333333333348</c:v>
                </c:pt>
                <c:pt idx="155">
                  <c:v>3.5714285714285587E-2</c:v>
                </c:pt>
                <c:pt idx="156">
                  <c:v>0</c:v>
                </c:pt>
                <c:pt idx="157">
                  <c:v>0.16216216216216206</c:v>
                </c:pt>
                <c:pt idx="158">
                  <c:v>-1.0813953488372092</c:v>
                </c:pt>
                <c:pt idx="159">
                  <c:v>0</c:v>
                </c:pt>
                <c:pt idx="160">
                  <c:v>0.875</c:v>
                </c:pt>
                <c:pt idx="161">
                  <c:v>1.2666666666666666</c:v>
                </c:pt>
                <c:pt idx="162">
                  <c:v>-0.17647058823529416</c:v>
                </c:pt>
                <c:pt idx="163">
                  <c:v>0.10714285714285721</c:v>
                </c:pt>
                <c:pt idx="164">
                  <c:v>0.25806451612903225</c:v>
                </c:pt>
                <c:pt idx="165">
                  <c:v>-0.15999999999999992</c:v>
                </c:pt>
                <c:pt idx="166">
                  <c:v>0</c:v>
                </c:pt>
                <c:pt idx="167">
                  <c:v>-0.76190476190476186</c:v>
                </c:pt>
                <c:pt idx="168">
                  <c:v>-1.2</c:v>
                </c:pt>
                <c:pt idx="169">
                  <c:v>9</c:v>
                </c:pt>
                <c:pt idx="170">
                  <c:v>1.1000000000000001</c:v>
                </c:pt>
                <c:pt idx="171">
                  <c:v>-0.66666666666666674</c:v>
                </c:pt>
                <c:pt idx="172">
                  <c:v>-3.1428571428571428</c:v>
                </c:pt>
                <c:pt idx="173">
                  <c:v>0</c:v>
                </c:pt>
                <c:pt idx="174">
                  <c:v>-1.4666666666666666</c:v>
                </c:pt>
                <c:pt idx="175">
                  <c:v>0</c:v>
                </c:pt>
                <c:pt idx="176">
                  <c:v>-1.2857142857142858</c:v>
                </c:pt>
                <c:pt idx="177">
                  <c:v>-2</c:v>
                </c:pt>
                <c:pt idx="178">
                  <c:v>2.4999999999999996</c:v>
                </c:pt>
                <c:pt idx="179">
                  <c:v>-2.4285714285714288</c:v>
                </c:pt>
                <c:pt idx="180">
                  <c:v>-0.30000000000000004</c:v>
                </c:pt>
                <c:pt idx="181">
                  <c:v>1</c:v>
                </c:pt>
                <c:pt idx="182">
                  <c:v>-0.64285714285714279</c:v>
                </c:pt>
                <c:pt idx="183">
                  <c:v>0</c:v>
                </c:pt>
                <c:pt idx="184">
                  <c:v>0.39999999999999991</c:v>
                </c:pt>
                <c:pt idx="185">
                  <c:v>-1.1428571428571428</c:v>
                </c:pt>
                <c:pt idx="186">
                  <c:v>12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-0.5714285714285714</c:v>
                </c:pt>
                <c:pt idx="191">
                  <c:v>-1</c:v>
                </c:pt>
                <c:pt idx="192">
                  <c:v>0</c:v>
                </c:pt>
                <c:pt idx="193">
                  <c:v>0.25</c:v>
                </c:pt>
                <c:pt idx="194">
                  <c:v>1.4</c:v>
                </c:pt>
                <c:pt idx="195">
                  <c:v>0</c:v>
                </c:pt>
                <c:pt idx="196">
                  <c:v>0</c:v>
                </c:pt>
                <c:pt idx="197">
                  <c:v>0.27777777777777768</c:v>
                </c:pt>
                <c:pt idx="198">
                  <c:v>6.5217391304347894E-2</c:v>
                </c:pt>
                <c:pt idx="199">
                  <c:v>-0.26530612244897966</c:v>
                </c:pt>
                <c:pt idx="200">
                  <c:v>0.16666666666666674</c:v>
                </c:pt>
                <c:pt idx="201">
                  <c:v>0.23809523809523814</c:v>
                </c:pt>
                <c:pt idx="202">
                  <c:v>-1.9230769230769384E-2</c:v>
                </c:pt>
                <c:pt idx="203">
                  <c:v>-1.9607843137254832E-2</c:v>
                </c:pt>
                <c:pt idx="204">
                  <c:v>8.0000000000000071E-2</c:v>
                </c:pt>
                <c:pt idx="205">
                  <c:v>-0.33333333333333337</c:v>
                </c:pt>
                <c:pt idx="206">
                  <c:v>-2.777777777777779E-2</c:v>
                </c:pt>
                <c:pt idx="207">
                  <c:v>0.17142857142857126</c:v>
                </c:pt>
                <c:pt idx="208">
                  <c:v>-0.21951219512195108</c:v>
                </c:pt>
                <c:pt idx="209">
                  <c:v>-0.1875</c:v>
                </c:pt>
                <c:pt idx="210">
                  <c:v>0.26923076923076916</c:v>
                </c:pt>
                <c:pt idx="211">
                  <c:v>0</c:v>
                </c:pt>
                <c:pt idx="212">
                  <c:v>6.0606060606060552E-2</c:v>
                </c:pt>
                <c:pt idx="213">
                  <c:v>0.22857142857142843</c:v>
                </c:pt>
                <c:pt idx="214">
                  <c:v>0.23255813953488369</c:v>
                </c:pt>
                <c:pt idx="215">
                  <c:v>9.4339622641509413E-2</c:v>
                </c:pt>
                <c:pt idx="216">
                  <c:v>-0.13793103448275856</c:v>
                </c:pt>
                <c:pt idx="217">
                  <c:v>-4.0000000000000036E-2</c:v>
                </c:pt>
                <c:pt idx="218">
                  <c:v>-0.1875</c:v>
                </c:pt>
                <c:pt idx="219">
                  <c:v>0.15384615384615397</c:v>
                </c:pt>
                <c:pt idx="220">
                  <c:v>8.8888888888889017E-2</c:v>
                </c:pt>
                <c:pt idx="221">
                  <c:v>-0.22448979591836749</c:v>
                </c:pt>
                <c:pt idx="222">
                  <c:v>-0.18421052631578938</c:v>
                </c:pt>
                <c:pt idx="223">
                  <c:v>-0.35483870967741937</c:v>
                </c:pt>
                <c:pt idx="224">
                  <c:v>1.5</c:v>
                </c:pt>
                <c:pt idx="225">
                  <c:v>-1.9999999999999907E-2</c:v>
                </c:pt>
                <c:pt idx="226">
                  <c:v>-0.16326530612244916</c:v>
                </c:pt>
                <c:pt idx="227">
                  <c:v>4.8780487804878092E-2</c:v>
                </c:pt>
                <c:pt idx="228">
                  <c:v>0</c:v>
                </c:pt>
                <c:pt idx="229">
                  <c:v>-0.16279069767441856</c:v>
                </c:pt>
                <c:pt idx="230">
                  <c:v>-0.22222222222222232</c:v>
                </c:pt>
                <c:pt idx="231">
                  <c:v>0.14285714285714302</c:v>
                </c:pt>
                <c:pt idx="232">
                  <c:v>-9.3750000000000111E-2</c:v>
                </c:pt>
                <c:pt idx="233">
                  <c:v>0.13793103448275867</c:v>
                </c:pt>
                <c:pt idx="234">
                  <c:v>-0.15151515151515149</c:v>
                </c:pt>
                <c:pt idx="235">
                  <c:v>0</c:v>
                </c:pt>
                <c:pt idx="236">
                  <c:v>0</c:v>
                </c:pt>
                <c:pt idx="237">
                  <c:v>-0.1785714285714286</c:v>
                </c:pt>
              </c:numCache>
            </c:numRef>
          </c:xVal>
          <c:yVal>
            <c:numRef>
              <c:f>Filtered_data_expand_reg!$J$31:$J$268</c:f>
              <c:numCache>
                <c:formatCode>General</c:formatCode>
                <c:ptCount val="238"/>
                <c:pt idx="0">
                  <c:v>2.0643175989526058E-2</c:v>
                </c:pt>
                <c:pt idx="1">
                  <c:v>1.162616200990617E-2</c:v>
                </c:pt>
                <c:pt idx="2">
                  <c:v>4.1537519016898693E-2</c:v>
                </c:pt>
                <c:pt idx="3">
                  <c:v>1.2461172735511672E-2</c:v>
                </c:pt>
                <c:pt idx="4">
                  <c:v>1.9036916525245966E-2</c:v>
                </c:pt>
                <c:pt idx="5">
                  <c:v>1.5327344932056874E-2</c:v>
                </c:pt>
                <c:pt idx="6">
                  <c:v>1.7495156068822161E-2</c:v>
                </c:pt>
                <c:pt idx="7">
                  <c:v>1.4727102938270193E-2</c:v>
                </c:pt>
                <c:pt idx="8">
                  <c:v>2.0154752760955998E-2</c:v>
                </c:pt>
                <c:pt idx="9">
                  <c:v>4.0795317990644862E-2</c:v>
                </c:pt>
                <c:pt idx="10">
                  <c:v>2.8684720015551286E-2</c:v>
                </c:pt>
                <c:pt idx="11">
                  <c:v>7.1710473505166763E-3</c:v>
                </c:pt>
                <c:pt idx="12">
                  <c:v>1.106769005787504E-2</c:v>
                </c:pt>
                <c:pt idx="13">
                  <c:v>3.2252486914117667E-2</c:v>
                </c:pt>
                <c:pt idx="14">
                  <c:v>3.5371972108104645E-2</c:v>
                </c:pt>
                <c:pt idx="15">
                  <c:v>2.2100669465428907E-2</c:v>
                </c:pt>
                <c:pt idx="16">
                  <c:v>1.5141263927572746E-2</c:v>
                </c:pt>
                <c:pt idx="17">
                  <c:v>6.6620192292338194E-3</c:v>
                </c:pt>
                <c:pt idx="18">
                  <c:v>2.337976479996224E-2</c:v>
                </c:pt>
                <c:pt idx="19">
                  <c:v>1.9251789017387815E-2</c:v>
                </c:pt>
                <c:pt idx="20">
                  <c:v>2.5250948175912221E-2</c:v>
                </c:pt>
                <c:pt idx="21">
                  <c:v>1.1501383624630955E-2</c:v>
                </c:pt>
                <c:pt idx="22">
                  <c:v>3.1818514685363966E-2</c:v>
                </c:pt>
                <c:pt idx="23">
                  <c:v>1.6692414434191418E-2</c:v>
                </c:pt>
                <c:pt idx="24">
                  <c:v>2.5061567568140063E-2</c:v>
                </c:pt>
                <c:pt idx="25">
                  <c:v>3.1001223038495895E-2</c:v>
                </c:pt>
                <c:pt idx="26">
                  <c:v>1.7247290866246615E-2</c:v>
                </c:pt>
                <c:pt idx="27">
                  <c:v>-1.4044166806871285E-3</c:v>
                </c:pt>
                <c:pt idx="28">
                  <c:v>2.1039975250731861E-2</c:v>
                </c:pt>
                <c:pt idx="29">
                  <c:v>2.0881184781081454E-2</c:v>
                </c:pt>
                <c:pt idx="30">
                  <c:v>3.4042999454558714E-2</c:v>
                </c:pt>
                <c:pt idx="31">
                  <c:v>4.8786410980742573E-2</c:v>
                </c:pt>
                <c:pt idx="32">
                  <c:v>3.1499403578408025E-2</c:v>
                </c:pt>
                <c:pt idx="33">
                  <c:v>2.1914252100854702E-2</c:v>
                </c:pt>
                <c:pt idx="34">
                  <c:v>2.6954608664808585E-2</c:v>
                </c:pt>
                <c:pt idx="35">
                  <c:v>1.4602129539792676E-2</c:v>
                </c:pt>
                <c:pt idx="36">
                  <c:v>2.5714412351209005E-2</c:v>
                </c:pt>
                <c:pt idx="37">
                  <c:v>2.1137132788771395E-2</c:v>
                </c:pt>
                <c:pt idx="38">
                  <c:v>2.8004614834181565E-2</c:v>
                </c:pt>
                <c:pt idx="39">
                  <c:v>-3.0396602707238735E-3</c:v>
                </c:pt>
                <c:pt idx="40">
                  <c:v>1.8291099914286298E-2</c:v>
                </c:pt>
                <c:pt idx="41">
                  <c:v>2.9873196453350726E-2</c:v>
                </c:pt>
                <c:pt idx="42">
                  <c:v>1.2668392708524458E-2</c:v>
                </c:pt>
                <c:pt idx="43">
                  <c:v>2.9125336182947197E-2</c:v>
                </c:pt>
                <c:pt idx="44">
                  <c:v>6.6271440479738174E-3</c:v>
                </c:pt>
                <c:pt idx="45">
                  <c:v>1.7580736599926802E-2</c:v>
                </c:pt>
                <c:pt idx="46">
                  <c:v>1.610347584368764E-2</c:v>
                </c:pt>
                <c:pt idx="47">
                  <c:v>6.3337922323995863E-2</c:v>
                </c:pt>
                <c:pt idx="48">
                  <c:v>3.2771899736543604E-2</c:v>
                </c:pt>
                <c:pt idx="49">
                  <c:v>4.4306848125649244E-2</c:v>
                </c:pt>
                <c:pt idx="50">
                  <c:v>2.4874742183530148E-2</c:v>
                </c:pt>
                <c:pt idx="51">
                  <c:v>3.0760914177672322E-2</c:v>
                </c:pt>
                <c:pt idx="52">
                  <c:v>1.6991514181372361E-2</c:v>
                </c:pt>
                <c:pt idx="53">
                  <c:v>3.3688822973677174E-2</c:v>
                </c:pt>
                <c:pt idx="54">
                  <c:v>2.6469962123374251E-2</c:v>
                </c:pt>
                <c:pt idx="55">
                  <c:v>3.5382972944005671E-2</c:v>
                </c:pt>
                <c:pt idx="56">
                  <c:v>2.4570749161030612E-2</c:v>
                </c:pt>
                <c:pt idx="57">
                  <c:v>2.704219553678E-2</c:v>
                </c:pt>
                <c:pt idx="58">
                  <c:v>9.3100434057787791E-3</c:v>
                </c:pt>
                <c:pt idx="59">
                  <c:v>4.8082118961849246E-3</c:v>
                </c:pt>
                <c:pt idx="60">
                  <c:v>2.9245158200095454E-2</c:v>
                </c:pt>
                <c:pt idx="61">
                  <c:v>-1.4549188274113011E-2</c:v>
                </c:pt>
                <c:pt idx="62">
                  <c:v>3.0497042498864913E-2</c:v>
                </c:pt>
                <c:pt idx="63">
                  <c:v>2.8045974325143809E-2</c:v>
                </c:pt>
                <c:pt idx="64">
                  <c:v>1.6863324273914404E-2</c:v>
                </c:pt>
                <c:pt idx="65">
                  <c:v>2.1502115474736381E-2</c:v>
                </c:pt>
                <c:pt idx="66">
                  <c:v>9.2432936901711074E-3</c:v>
                </c:pt>
                <c:pt idx="67">
                  <c:v>2.1854796735896846E-2</c:v>
                </c:pt>
                <c:pt idx="68">
                  <c:v>2.2454125346507831E-2</c:v>
                </c:pt>
                <c:pt idx="69">
                  <c:v>1.6833736495433484E-2</c:v>
                </c:pt>
                <c:pt idx="70">
                  <c:v>2.6953148576336135E-2</c:v>
                </c:pt>
                <c:pt idx="71">
                  <c:v>2.1324692621131985E-2</c:v>
                </c:pt>
                <c:pt idx="72">
                  <c:v>1.5310246288489903E-2</c:v>
                </c:pt>
                <c:pt idx="73">
                  <c:v>4.1300244447419011E-2</c:v>
                </c:pt>
                <c:pt idx="74">
                  <c:v>2.993379202643235E-2</c:v>
                </c:pt>
                <c:pt idx="75">
                  <c:v>1.144755462263369E-2</c:v>
                </c:pt>
                <c:pt idx="76">
                  <c:v>1.9564764167590603E-2</c:v>
                </c:pt>
                <c:pt idx="77">
                  <c:v>6.3682559909707896E-3</c:v>
                </c:pt>
                <c:pt idx="78">
                  <c:v>2.375887591041196E-2</c:v>
                </c:pt>
                <c:pt idx="79">
                  <c:v>1.1117517708385989E-2</c:v>
                </c:pt>
                <c:pt idx="80">
                  <c:v>1.4773199488112388E-2</c:v>
                </c:pt>
                <c:pt idx="81">
                  <c:v>1.0522877129659209E-2</c:v>
                </c:pt>
                <c:pt idx="82">
                  <c:v>5.4835721621213737E-2</c:v>
                </c:pt>
                <c:pt idx="83">
                  <c:v>5.971193056780072E-2</c:v>
                </c:pt>
                <c:pt idx="84">
                  <c:v>1.7236742683745192E-2</c:v>
                </c:pt>
                <c:pt idx="85">
                  <c:v>1.6043882408339965E-2</c:v>
                </c:pt>
                <c:pt idx="86">
                  <c:v>2.8204649085219177E-2</c:v>
                </c:pt>
                <c:pt idx="87">
                  <c:v>1.7889746348616054E-2</c:v>
                </c:pt>
                <c:pt idx="88">
                  <c:v>1.2205672641957845E-2</c:v>
                </c:pt>
                <c:pt idx="89">
                  <c:v>4.3523520683048794E-2</c:v>
                </c:pt>
                <c:pt idx="90">
                  <c:v>2.7773152551978254E-2</c:v>
                </c:pt>
                <c:pt idx="91">
                  <c:v>-3.784536631166853E-3</c:v>
                </c:pt>
                <c:pt idx="92">
                  <c:v>6.1586443434411518E-3</c:v>
                </c:pt>
                <c:pt idx="93">
                  <c:v>2.8801417712831803E-2</c:v>
                </c:pt>
                <c:pt idx="94">
                  <c:v>-4.3629132829230109E-3</c:v>
                </c:pt>
                <c:pt idx="95">
                  <c:v>6.4633066073867818E-2</c:v>
                </c:pt>
                <c:pt idx="96">
                  <c:v>7.9746631580762291E-3</c:v>
                </c:pt>
                <c:pt idx="97">
                  <c:v>1.7035340878632725E-2</c:v>
                </c:pt>
                <c:pt idx="98">
                  <c:v>-2.1987445063951828E-2</c:v>
                </c:pt>
                <c:pt idx="99">
                  <c:v>1.1740243461067092E-2</c:v>
                </c:pt>
                <c:pt idx="100">
                  <c:v>2.2303205795299583E-2</c:v>
                </c:pt>
                <c:pt idx="101">
                  <c:v>7.0761069892524578E-2</c:v>
                </c:pt>
                <c:pt idx="102">
                  <c:v>-3.953488603046524E-3</c:v>
                </c:pt>
                <c:pt idx="103">
                  <c:v>8.988013203094293E-2</c:v>
                </c:pt>
                <c:pt idx="104">
                  <c:v>4.5738227378080046E-2</c:v>
                </c:pt>
                <c:pt idx="105">
                  <c:v>9.4894439315968415E-3</c:v>
                </c:pt>
                <c:pt idx="106">
                  <c:v>2.3081858166826924E-2</c:v>
                </c:pt>
                <c:pt idx="107">
                  <c:v>5.5636909877438898E-3</c:v>
                </c:pt>
                <c:pt idx="108">
                  <c:v>-2.6461751240241138E-2</c:v>
                </c:pt>
                <c:pt idx="109">
                  <c:v>9.2606058129757959E-3</c:v>
                </c:pt>
                <c:pt idx="110">
                  <c:v>-3.7744090065220323E-3</c:v>
                </c:pt>
                <c:pt idx="111">
                  <c:v>7.7112350297098606E-2</c:v>
                </c:pt>
                <c:pt idx="112">
                  <c:v>-1.3936950823977261E-3</c:v>
                </c:pt>
                <c:pt idx="113">
                  <c:v>0.32978927366402</c:v>
                </c:pt>
                <c:pt idx="114">
                  <c:v>5.0603089638358467E-2</c:v>
                </c:pt>
                <c:pt idx="115">
                  <c:v>2.9449922427951171E-2</c:v>
                </c:pt>
                <c:pt idx="116">
                  <c:v>2.2326293293436123E-2</c:v>
                </c:pt>
                <c:pt idx="117">
                  <c:v>1.4817652255410626E-2</c:v>
                </c:pt>
                <c:pt idx="118">
                  <c:v>3.6518190031248191E-2</c:v>
                </c:pt>
                <c:pt idx="119">
                  <c:v>9.7863549756095191E-3</c:v>
                </c:pt>
                <c:pt idx="120">
                  <c:v>2.6770421983398015E-2</c:v>
                </c:pt>
                <c:pt idx="121">
                  <c:v>4.4090172278071146E-3</c:v>
                </c:pt>
                <c:pt idx="122">
                  <c:v>6.1030650173556612E-2</c:v>
                </c:pt>
                <c:pt idx="123">
                  <c:v>1.0532951655440818E-2</c:v>
                </c:pt>
                <c:pt idx="124">
                  <c:v>3.8027635115207875E-2</c:v>
                </c:pt>
                <c:pt idx="125">
                  <c:v>2.6527630964222868E-2</c:v>
                </c:pt>
                <c:pt idx="126">
                  <c:v>3.1983734517938428E-2</c:v>
                </c:pt>
                <c:pt idx="127">
                  <c:v>4.5366026832481046E-2</c:v>
                </c:pt>
                <c:pt idx="128">
                  <c:v>2.658217777023231E-2</c:v>
                </c:pt>
                <c:pt idx="129">
                  <c:v>-8.6034182907723453E-4</c:v>
                </c:pt>
                <c:pt idx="130">
                  <c:v>5.5550204583926455E-2</c:v>
                </c:pt>
                <c:pt idx="131">
                  <c:v>2.0425030235354469E-2</c:v>
                </c:pt>
                <c:pt idx="132">
                  <c:v>1.4773107072910456E-2</c:v>
                </c:pt>
                <c:pt idx="133">
                  <c:v>3.5043023836999754E-2</c:v>
                </c:pt>
                <c:pt idx="134">
                  <c:v>2.0091470254920814E-2</c:v>
                </c:pt>
                <c:pt idx="135">
                  <c:v>8.6416932145302848E-3</c:v>
                </c:pt>
                <c:pt idx="136">
                  <c:v>2.2835164023099676E-2</c:v>
                </c:pt>
                <c:pt idx="137">
                  <c:v>1.4520554499693633E-2</c:v>
                </c:pt>
                <c:pt idx="138">
                  <c:v>-2.7218216354665634E-2</c:v>
                </c:pt>
                <c:pt idx="139">
                  <c:v>2.0531175238836293E-2</c:v>
                </c:pt>
                <c:pt idx="140">
                  <c:v>3.5880702554961272E-2</c:v>
                </c:pt>
                <c:pt idx="141">
                  <c:v>2.5903834545213153E-2</c:v>
                </c:pt>
                <c:pt idx="142">
                  <c:v>1.8234490535928252E-2</c:v>
                </c:pt>
                <c:pt idx="143">
                  <c:v>1.8896836333685871E-2</c:v>
                </c:pt>
                <c:pt idx="144">
                  <c:v>3.7409376472976763E-2</c:v>
                </c:pt>
                <c:pt idx="145">
                  <c:v>2.544608507264623E-2</c:v>
                </c:pt>
                <c:pt idx="146">
                  <c:v>2.7786802126106479E-2</c:v>
                </c:pt>
                <c:pt idx="147">
                  <c:v>1.0263715643629209E-2</c:v>
                </c:pt>
                <c:pt idx="148">
                  <c:v>4.3536065554178445E-2</c:v>
                </c:pt>
                <c:pt idx="149">
                  <c:v>7.7522956055486123E-3</c:v>
                </c:pt>
                <c:pt idx="150">
                  <c:v>3.5238195554155652E-2</c:v>
                </c:pt>
                <c:pt idx="151">
                  <c:v>4.1850750478771371E-3</c:v>
                </c:pt>
                <c:pt idx="152">
                  <c:v>2.6687810413527985E-2</c:v>
                </c:pt>
                <c:pt idx="153">
                  <c:v>2.1728015310918704E-2</c:v>
                </c:pt>
                <c:pt idx="154">
                  <c:v>4.6970861537309727E-2</c:v>
                </c:pt>
                <c:pt idx="155">
                  <c:v>6.047540984992697E-2</c:v>
                </c:pt>
                <c:pt idx="156">
                  <c:v>-2.2855301873851468E-2</c:v>
                </c:pt>
                <c:pt idx="157">
                  <c:v>4.3969817871045369E-2</c:v>
                </c:pt>
                <c:pt idx="158">
                  <c:v>5.4363613660434108E-2</c:v>
                </c:pt>
                <c:pt idx="159">
                  <c:v>1.2769614928446653E-3</c:v>
                </c:pt>
                <c:pt idx="160">
                  <c:v>4.0840708324308903E-2</c:v>
                </c:pt>
                <c:pt idx="161">
                  <c:v>4.5036136757804539E-2</c:v>
                </c:pt>
                <c:pt idx="162">
                  <c:v>-8.3196780929090525E-3</c:v>
                </c:pt>
                <c:pt idx="163">
                  <c:v>7.8635531450708916E-3</c:v>
                </c:pt>
                <c:pt idx="164">
                  <c:v>3.4207870702805239E-2</c:v>
                </c:pt>
                <c:pt idx="165">
                  <c:v>1.7399056878399245E-2</c:v>
                </c:pt>
                <c:pt idx="166">
                  <c:v>1.6608339467837418E-2</c:v>
                </c:pt>
                <c:pt idx="167">
                  <c:v>2.443345816824713E-2</c:v>
                </c:pt>
                <c:pt idx="168">
                  <c:v>5.2813657597547935E-3</c:v>
                </c:pt>
                <c:pt idx="169">
                  <c:v>0.15501125080602179</c:v>
                </c:pt>
                <c:pt idx="170">
                  <c:v>5.0539869115975515E-2</c:v>
                </c:pt>
                <c:pt idx="171">
                  <c:v>3.6361321322271652E-3</c:v>
                </c:pt>
                <c:pt idx="172">
                  <c:v>-2.8084215081576179E-2</c:v>
                </c:pt>
                <c:pt idx="173">
                  <c:v>2.4651860795608552E-2</c:v>
                </c:pt>
                <c:pt idx="174">
                  <c:v>8.3920555714953778E-3</c:v>
                </c:pt>
                <c:pt idx="175">
                  <c:v>1.0149952919600254E-2</c:v>
                </c:pt>
                <c:pt idx="176">
                  <c:v>-3.2292158823055903E-3</c:v>
                </c:pt>
                <c:pt idx="177">
                  <c:v>1.8748632476330677E-3</c:v>
                </c:pt>
                <c:pt idx="178">
                  <c:v>4.0493544844238595E-2</c:v>
                </c:pt>
                <c:pt idx="179">
                  <c:v>-2.011917082828563E-2</c:v>
                </c:pt>
                <c:pt idx="180">
                  <c:v>3.0438592757022154E-2</c:v>
                </c:pt>
                <c:pt idx="181">
                  <c:v>3.030733625357241E-2</c:v>
                </c:pt>
                <c:pt idx="182">
                  <c:v>3.4875480387015032E-2</c:v>
                </c:pt>
                <c:pt idx="183">
                  <c:v>2.3983937879673414E-2</c:v>
                </c:pt>
                <c:pt idx="184">
                  <c:v>1.9658950531654631E-2</c:v>
                </c:pt>
                <c:pt idx="185">
                  <c:v>2.5123771873079952E-3</c:v>
                </c:pt>
                <c:pt idx="186">
                  <c:v>0.20149682138837421</c:v>
                </c:pt>
                <c:pt idx="187">
                  <c:v>3.0243792144716432E-2</c:v>
                </c:pt>
                <c:pt idx="188">
                  <c:v>2.650496265956458E-2</c:v>
                </c:pt>
                <c:pt idx="189">
                  <c:v>1.540924453973332E-2</c:v>
                </c:pt>
                <c:pt idx="190">
                  <c:v>1.7314058186610928E-2</c:v>
                </c:pt>
                <c:pt idx="191">
                  <c:v>-4.7529645885474904E-3</c:v>
                </c:pt>
                <c:pt idx="192">
                  <c:v>5.1854783610303231E-3</c:v>
                </c:pt>
                <c:pt idx="193">
                  <c:v>2.9043302014993576E-2</c:v>
                </c:pt>
                <c:pt idx="194">
                  <c:v>3.7034000295713299E-2</c:v>
                </c:pt>
                <c:pt idx="195">
                  <c:v>2.3696379113826691E-2</c:v>
                </c:pt>
                <c:pt idx="196">
                  <c:v>-2.2477044454299374E-3</c:v>
                </c:pt>
                <c:pt idx="197">
                  <c:v>2.630018214649215E-2</c:v>
                </c:pt>
                <c:pt idx="198">
                  <c:v>4.0248466149719067E-2</c:v>
                </c:pt>
                <c:pt idx="199">
                  <c:v>2.1868331315542108E-2</c:v>
                </c:pt>
                <c:pt idx="200">
                  <c:v>2.3318364137259694E-2</c:v>
                </c:pt>
                <c:pt idx="201">
                  <c:v>2.5980656672606611E-2</c:v>
                </c:pt>
                <c:pt idx="202">
                  <c:v>2.5793673329737282E-2</c:v>
                </c:pt>
                <c:pt idx="203">
                  <c:v>2.5364317107231499E-2</c:v>
                </c:pt>
                <c:pt idx="204">
                  <c:v>1.1529268743152254E-2</c:v>
                </c:pt>
                <c:pt idx="205">
                  <c:v>3.2394285013587952E-2</c:v>
                </c:pt>
                <c:pt idx="206">
                  <c:v>1.5530612007679058E-2</c:v>
                </c:pt>
                <c:pt idx="207">
                  <c:v>3.2466388621990479E-2</c:v>
                </c:pt>
                <c:pt idx="208">
                  <c:v>1.8327282245457561E-2</c:v>
                </c:pt>
                <c:pt idx="209">
                  <c:v>2.2183206277408316E-2</c:v>
                </c:pt>
                <c:pt idx="210">
                  <c:v>2.8518936504386527E-2</c:v>
                </c:pt>
                <c:pt idx="211">
                  <c:v>1.3738116319534512E-2</c:v>
                </c:pt>
                <c:pt idx="212">
                  <c:v>1.9703186672233315E-2</c:v>
                </c:pt>
                <c:pt idx="213">
                  <c:v>2.6815640972807319E-2</c:v>
                </c:pt>
                <c:pt idx="214">
                  <c:v>2.2559685405126907E-2</c:v>
                </c:pt>
                <c:pt idx="215">
                  <c:v>2.1213258785020291E-2</c:v>
                </c:pt>
                <c:pt idx="216">
                  <c:v>1.4320288600329054E-2</c:v>
                </c:pt>
                <c:pt idx="217">
                  <c:v>2.1058430687901433E-2</c:v>
                </c:pt>
                <c:pt idx="218">
                  <c:v>3.6968986473328538E-2</c:v>
                </c:pt>
                <c:pt idx="219">
                  <c:v>3.06191280182239E-2</c:v>
                </c:pt>
                <c:pt idx="220">
                  <c:v>3.0489038613460102E-2</c:v>
                </c:pt>
                <c:pt idx="221">
                  <c:v>2.4231658040367115E-3</c:v>
                </c:pt>
                <c:pt idx="222">
                  <c:v>3.2363022951492459E-2</c:v>
                </c:pt>
                <c:pt idx="223">
                  <c:v>1.3101553591878182E-2</c:v>
                </c:pt>
                <c:pt idx="224">
                  <c:v>3.9371105321698158E-2</c:v>
                </c:pt>
                <c:pt idx="225">
                  <c:v>1.5283845115086701E-2</c:v>
                </c:pt>
                <c:pt idx="226">
                  <c:v>2.0530671186021105E-2</c:v>
                </c:pt>
                <c:pt idx="227">
                  <c:v>3.0814491521218831E-2</c:v>
                </c:pt>
                <c:pt idx="228">
                  <c:v>2.0685240710092083E-2</c:v>
                </c:pt>
                <c:pt idx="229">
                  <c:v>1.4128763406753694E-2</c:v>
                </c:pt>
                <c:pt idx="230">
                  <c:v>1.567556843044943E-2</c:v>
                </c:pt>
                <c:pt idx="231">
                  <c:v>2.8947343722545968E-2</c:v>
                </c:pt>
                <c:pt idx="232">
                  <c:v>1.5395732616784719E-2</c:v>
                </c:pt>
                <c:pt idx="233">
                  <c:v>1.8658507339176452E-2</c:v>
                </c:pt>
                <c:pt idx="234">
                  <c:v>8.2045921064337318E-3</c:v>
                </c:pt>
                <c:pt idx="235">
                  <c:v>4.2140808188384837E-2</c:v>
                </c:pt>
                <c:pt idx="236">
                  <c:v>-6.0753199068341382E-3</c:v>
                </c:pt>
                <c:pt idx="237">
                  <c:v>1.9548720284574106E-2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69-4A62-AA59-26771A2D2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580912"/>
        <c:axId val="589582160"/>
      </c:scatterChart>
      <c:valAx>
        <c:axId val="58958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differential Brent-Urals (BFO-URL-NWE)</a:t>
                </a:r>
              </a:p>
            </c:rich>
          </c:tx>
          <c:layout>
            <c:manualLayout>
              <c:xMode val="edge"/>
              <c:yMode val="edge"/>
              <c:x val="0.17966707638350307"/>
              <c:y val="0.21362115559698622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589582160"/>
        <c:crosses val="autoZero"/>
        <c:crossBetween val="midCat"/>
      </c:valAx>
      <c:valAx>
        <c:axId val="589582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Urals loading</a:t>
                </a:r>
              </a:p>
            </c:rich>
          </c:tx>
          <c:layout>
            <c:manualLayout>
              <c:xMode val="edge"/>
              <c:yMode val="edge"/>
              <c:x val="1.534493656793319E-2"/>
              <c:y val="0.47358567263796975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58958091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4.8709729458640535E-2"/>
          <c:y val="0.93320442743525056"/>
          <c:w val="0.84980645161290325"/>
          <c:h val="5.6807812158800673E-2"/>
        </c:manualLayout>
      </c:layout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100" b="1" i="0" baseline="0">
                <a:effectLst/>
              </a:rPr>
              <a:t>Regression % Russian Urals crude crack spread (Ticker: </a:t>
            </a:r>
            <a:r>
              <a:rPr lang="en-GB" sz="1100" b="1" i="0" u="none" strike="noStrike" baseline="0">
                <a:effectLst/>
              </a:rPr>
              <a:t>NWEMURLCRKMc1</a:t>
            </a:r>
            <a:r>
              <a:rPr lang="en-GB" sz="1100" b="1" i="0" baseline="0">
                <a:effectLst/>
              </a:rPr>
              <a:t>) vs % change in Urals loading</a:t>
            </a:r>
            <a:endParaRPr lang="en-GB" sz="11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Weekly data (2017- 2021), Data: Refinitiv Eikon, Petrologistics</a:t>
            </a:r>
            <a:endParaRPr lang="en-GB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46157053099986"/>
          <c:y val="0.18426140515924783"/>
          <c:w val="0.5405159923554953"/>
          <c:h val="0.73301560484848427"/>
        </c:manualLayout>
      </c:layout>
      <c:scatterChart>
        <c:scatterStyle val="lineMarker"/>
        <c:varyColors val="0"/>
        <c:ser>
          <c:idx val="0"/>
          <c:order val="0"/>
          <c:tx>
            <c:v>Urals loading</c:v>
          </c:tx>
          <c:spPr>
            <a:ln w="19050">
              <a:noFill/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25597063084493682"/>
                  <c:y val="0.15422317766711147"/>
                </c:manualLayout>
              </c:layout>
              <c:numFmt formatCode="General" sourceLinked="0"/>
            </c:trendlineLbl>
          </c:trendline>
          <c:xVal>
            <c:numRef>
              <c:f>Filtered_data_expand_reg!$C$4:$C$241</c:f>
              <c:numCache>
                <c:formatCode>0.000</c:formatCode>
                <c:ptCount val="238"/>
                <c:pt idx="0">
                  <c:v>-3.2708475885078898</c:v>
                </c:pt>
                <c:pt idx="1">
                  <c:v>-0.68786444564856231</c:v>
                </c:pt>
                <c:pt idx="2">
                  <c:v>-9.8072080267676665E-2</c:v>
                </c:pt>
                <c:pt idx="3">
                  <c:v>-0.36992986164245478</c:v>
                </c:pt>
                <c:pt idx="4">
                  <c:v>3.4432231026368552</c:v>
                </c:pt>
                <c:pt idx="5">
                  <c:v>-0.60063991302995512</c:v>
                </c:pt>
                <c:pt idx="6">
                  <c:v>0.38620501466037416</c:v>
                </c:pt>
                <c:pt idx="7">
                  <c:v>-1.0899342666922267</c:v>
                </c:pt>
                <c:pt idx="8">
                  <c:v>-6.722512870367483</c:v>
                </c:pt>
                <c:pt idx="9">
                  <c:v>2.1031949043830567</c:v>
                </c:pt>
                <c:pt idx="10">
                  <c:v>-0.12589177536922458</c:v>
                </c:pt>
                <c:pt idx="11">
                  <c:v>-0.35429898238375612</c:v>
                </c:pt>
                <c:pt idx="12">
                  <c:v>1.5921569000292934</c:v>
                </c:pt>
                <c:pt idx="13">
                  <c:v>0</c:v>
                </c:pt>
                <c:pt idx="14">
                  <c:v>-1.0932580690224021</c:v>
                </c:pt>
                <c:pt idx="15">
                  <c:v>-10.369685348733091</c:v>
                </c:pt>
                <c:pt idx="16">
                  <c:v>4.6809473381177025E-2</c:v>
                </c:pt>
                <c:pt idx="17">
                  <c:v>-0.22275859056284986</c:v>
                </c:pt>
                <c:pt idx="18">
                  <c:v>0.38153581855787699</c:v>
                </c:pt>
                <c:pt idx="19">
                  <c:v>0.14277347799905526</c:v>
                </c:pt>
                <c:pt idx="20">
                  <c:v>0.11936458897896296</c:v>
                </c:pt>
                <c:pt idx="21">
                  <c:v>4.5063391457363933E-2</c:v>
                </c:pt>
                <c:pt idx="22">
                  <c:v>0.28650388445343555</c:v>
                </c:pt>
                <c:pt idx="23">
                  <c:v>-0.14004266824710887</c:v>
                </c:pt>
                <c:pt idx="24">
                  <c:v>-6.0223117161325557E-2</c:v>
                </c:pt>
                <c:pt idx="25">
                  <c:v>0.27113554584821808</c:v>
                </c:pt>
                <c:pt idx="26">
                  <c:v>0.11372478579023748</c:v>
                </c:pt>
                <c:pt idx="27">
                  <c:v>-0.39989754919087228</c:v>
                </c:pt>
                <c:pt idx="28">
                  <c:v>-0.16464420529527912</c:v>
                </c:pt>
                <c:pt idx="29">
                  <c:v>0.71678930987418732</c:v>
                </c:pt>
                <c:pt idx="30">
                  <c:v>7.5801132861384124E-2</c:v>
                </c:pt>
                <c:pt idx="31">
                  <c:v>-0.27339847098185954</c:v>
                </c:pt>
                <c:pt idx="32">
                  <c:v>0.29011583460759005</c:v>
                </c:pt>
                <c:pt idx="33">
                  <c:v>-0.33018320890125297</c:v>
                </c:pt>
                <c:pt idx="34">
                  <c:v>-0.59973990590069215</c:v>
                </c:pt>
                <c:pt idx="35">
                  <c:v>-1.4392502949015371</c:v>
                </c:pt>
                <c:pt idx="36">
                  <c:v>-4.0587784621028238</c:v>
                </c:pt>
                <c:pt idx="37">
                  <c:v>2.1009285619899583</c:v>
                </c:pt>
                <c:pt idx="38">
                  <c:v>0.14769230769230779</c:v>
                </c:pt>
                <c:pt idx="39">
                  <c:v>-0.34048257372654156</c:v>
                </c:pt>
                <c:pt idx="40">
                  <c:v>0.42682926829268286</c:v>
                </c:pt>
                <c:pt idx="41">
                  <c:v>2.5641025641025772E-2</c:v>
                </c:pt>
                <c:pt idx="42">
                  <c:v>-0.93888888888888888</c:v>
                </c:pt>
                <c:pt idx="43">
                  <c:v>11.272727272727273</c:v>
                </c:pt>
                <c:pt idx="44">
                  <c:v>-0.24074074074074081</c:v>
                </c:pt>
                <c:pt idx="45">
                  <c:v>-0.58536585365853655</c:v>
                </c:pt>
                <c:pt idx="46">
                  <c:v>0.62352941176470589</c:v>
                </c:pt>
                <c:pt idx="47">
                  <c:v>1.3768115942028984</c:v>
                </c:pt>
                <c:pt idx="48">
                  <c:v>0.15243902439024382</c:v>
                </c:pt>
                <c:pt idx="49">
                  <c:v>-0.14814814814814803</c:v>
                </c:pt>
                <c:pt idx="50">
                  <c:v>-0.50621118012422361</c:v>
                </c:pt>
                <c:pt idx="51">
                  <c:v>-1.408805031446541</c:v>
                </c:pt>
                <c:pt idx="52">
                  <c:v>-3.5846153846153843</c:v>
                </c:pt>
                <c:pt idx="53">
                  <c:v>-0.29761904761904767</c:v>
                </c:pt>
                <c:pt idx="54">
                  <c:v>-2.8559322033898304</c:v>
                </c:pt>
                <c:pt idx="55">
                  <c:v>-1.8949771689497716</c:v>
                </c:pt>
                <c:pt idx="56">
                  <c:v>-0.95565460721649487</c:v>
                </c:pt>
                <c:pt idx="57">
                  <c:v>-2.8548928675652938</c:v>
                </c:pt>
                <c:pt idx="58">
                  <c:v>-2.3536642255134779</c:v>
                </c:pt>
                <c:pt idx="59">
                  <c:v>13.647262205781177</c:v>
                </c:pt>
                <c:pt idx="60">
                  <c:v>0</c:v>
                </c:pt>
                <c:pt idx="61">
                  <c:v>8.7941176470588225</c:v>
                </c:pt>
                <c:pt idx="62">
                  <c:v>-0.45645645645645649</c:v>
                </c:pt>
                <c:pt idx="63">
                  <c:v>-0.31767955801104975</c:v>
                </c:pt>
                <c:pt idx="64">
                  <c:v>-0.55060728744939269</c:v>
                </c:pt>
                <c:pt idx="65">
                  <c:v>3.8108108108108105</c:v>
                </c:pt>
                <c:pt idx="66">
                  <c:v>-0.13857677902621723</c:v>
                </c:pt>
                <c:pt idx="67">
                  <c:v>-1.1565217391304348</c:v>
                </c:pt>
                <c:pt idx="68">
                  <c:v>6.944444444444442E-2</c:v>
                </c:pt>
                <c:pt idx="69">
                  <c:v>-3.8311688311688314</c:v>
                </c:pt>
                <c:pt idx="70">
                  <c:v>-1.1055045871559632</c:v>
                </c:pt>
                <c:pt idx="71">
                  <c:v>-2.7391304347826084</c:v>
                </c:pt>
                <c:pt idx="72">
                  <c:v>11.074999999999999</c:v>
                </c:pt>
                <c:pt idx="73">
                  <c:v>-0.54865424430641818</c:v>
                </c:pt>
                <c:pt idx="74">
                  <c:v>-0.65596330275229353</c:v>
                </c:pt>
                <c:pt idx="75">
                  <c:v>1.52</c:v>
                </c:pt>
                <c:pt idx="76">
                  <c:v>2.7407407407407409</c:v>
                </c:pt>
                <c:pt idx="77">
                  <c:v>-0.49363507779349369</c:v>
                </c:pt>
                <c:pt idx="78">
                  <c:v>0.25977653631284903</c:v>
                </c:pt>
                <c:pt idx="79">
                  <c:v>0.84922394678492252</c:v>
                </c:pt>
                <c:pt idx="80">
                  <c:v>-0.10071942446043169</c:v>
                </c:pt>
                <c:pt idx="81">
                  <c:v>-0.84799999999999998</c:v>
                </c:pt>
                <c:pt idx="82">
                  <c:v>-7.8947368421052544E-2</c:v>
                </c:pt>
                <c:pt idx="83">
                  <c:v>-0.27619047619047621</c:v>
                </c:pt>
                <c:pt idx="84">
                  <c:v>2.763157894736842</c:v>
                </c:pt>
                <c:pt idx="85">
                  <c:v>-0.27622377622377625</c:v>
                </c:pt>
                <c:pt idx="86">
                  <c:v>-2.7391304347826089</c:v>
                </c:pt>
                <c:pt idx="87">
                  <c:v>-0.61111111111111116</c:v>
                </c:pt>
                <c:pt idx="88">
                  <c:v>-0.34285714285714275</c:v>
                </c:pt>
                <c:pt idx="89">
                  <c:v>7.25</c:v>
                </c:pt>
                <c:pt idx="90">
                  <c:v>-1.0144927536231885</c:v>
                </c:pt>
                <c:pt idx="91">
                  <c:v>-149.54545454545453</c:v>
                </c:pt>
                <c:pt idx="92">
                  <c:v>-0.90697674418604657</c:v>
                </c:pt>
                <c:pt idx="93">
                  <c:v>-3.7434210526315788</c:v>
                </c:pt>
                <c:pt idx="94">
                  <c:v>-1.0719424460431655</c:v>
                </c:pt>
                <c:pt idx="95">
                  <c:v>12.633333333333333</c:v>
                </c:pt>
                <c:pt idx="96">
                  <c:v>-2.657701711491443</c:v>
                </c:pt>
                <c:pt idx="97">
                  <c:v>-1.7699115044247815E-2</c:v>
                </c:pt>
                <c:pt idx="98">
                  <c:v>-0.53603603603603611</c:v>
                </c:pt>
                <c:pt idx="99">
                  <c:v>-0.89967637540453071</c:v>
                </c:pt>
                <c:pt idx="100">
                  <c:v>3.2258064516129004E-2</c:v>
                </c:pt>
                <c:pt idx="101">
                  <c:v>0.4375</c:v>
                </c:pt>
                <c:pt idx="102">
                  <c:v>8.8260869565217384</c:v>
                </c:pt>
                <c:pt idx="103">
                  <c:v>-0.27433628318584069</c:v>
                </c:pt>
                <c:pt idx="104">
                  <c:v>-0.4359756097560975</c:v>
                </c:pt>
                <c:pt idx="105">
                  <c:v>0.73228346456692917</c:v>
                </c:pt>
                <c:pt idx="106">
                  <c:v>-0.36818181818181828</c:v>
                </c:pt>
                <c:pt idx="107">
                  <c:v>-0.1223021582733812</c:v>
                </c:pt>
                <c:pt idx="108">
                  <c:v>0.10655737704918034</c:v>
                </c:pt>
                <c:pt idx="109">
                  <c:v>2.5925925925925908E-2</c:v>
                </c:pt>
                <c:pt idx="110">
                  <c:v>0</c:v>
                </c:pt>
                <c:pt idx="111">
                  <c:v>-1.6226415094339623</c:v>
                </c:pt>
                <c:pt idx="112">
                  <c:v>-4.1666666666666661</c:v>
                </c:pt>
                <c:pt idx="113">
                  <c:v>-3.1483253588516749</c:v>
                </c:pt>
                <c:pt idx="114">
                  <c:v>-0.31848552338530067</c:v>
                </c:pt>
                <c:pt idx="115">
                  <c:v>-1.6666666666666665</c:v>
                </c:pt>
                <c:pt idx="116">
                  <c:v>2.8186274509803919</c:v>
                </c:pt>
                <c:pt idx="117">
                  <c:v>3.4659820282413323E-2</c:v>
                </c:pt>
                <c:pt idx="118">
                  <c:v>-0.32630272952853601</c:v>
                </c:pt>
                <c:pt idx="119">
                  <c:v>0.68139963167587503</c:v>
                </c:pt>
                <c:pt idx="120">
                  <c:v>-0.69441401971522454</c:v>
                </c:pt>
                <c:pt idx="121">
                  <c:v>1.1326164874551972</c:v>
                </c:pt>
                <c:pt idx="122">
                  <c:v>-0.41344537815126048</c:v>
                </c:pt>
                <c:pt idx="123">
                  <c:v>-0.92550143266475648</c:v>
                </c:pt>
                <c:pt idx="124">
                  <c:v>15.461538461538463</c:v>
                </c:pt>
                <c:pt idx="125">
                  <c:v>-0.63317757009345788</c:v>
                </c:pt>
                <c:pt idx="126">
                  <c:v>0.42675159235668803</c:v>
                </c:pt>
                <c:pt idx="127">
                  <c:v>-0.65625</c:v>
                </c:pt>
                <c:pt idx="128">
                  <c:v>-0.32467532467532467</c:v>
                </c:pt>
                <c:pt idx="129">
                  <c:v>4.2692307692307692</c:v>
                </c:pt>
                <c:pt idx="130">
                  <c:v>-1.6277372262773722</c:v>
                </c:pt>
                <c:pt idx="131">
                  <c:v>-7.5581395348837122E-2</c:v>
                </c:pt>
                <c:pt idx="132">
                  <c:v>-3.0503144654088046</c:v>
                </c:pt>
                <c:pt idx="133">
                  <c:v>-0.44785276073619629</c:v>
                </c:pt>
                <c:pt idx="134">
                  <c:v>1.5444444444444443</c:v>
                </c:pt>
                <c:pt idx="135">
                  <c:v>-0.6506550218340611</c:v>
                </c:pt>
                <c:pt idx="136">
                  <c:v>-1.2250000000000001</c:v>
                </c:pt>
                <c:pt idx="137">
                  <c:v>1.3611111111111112</c:v>
                </c:pt>
                <c:pt idx="138">
                  <c:v>-0.74117647058823533</c:v>
                </c:pt>
                <c:pt idx="139">
                  <c:v>0</c:v>
                </c:pt>
                <c:pt idx="140">
                  <c:v>4.1666666666666741E-2</c:v>
                </c:pt>
                <c:pt idx="141">
                  <c:v>-0.60499999999999998</c:v>
                </c:pt>
                <c:pt idx="142">
                  <c:v>0.12658227848101267</c:v>
                </c:pt>
                <c:pt idx="143">
                  <c:v>-1</c:v>
                </c:pt>
                <c:pt idx="144">
                  <c:v>0</c:v>
                </c:pt>
                <c:pt idx="145">
                  <c:v>-2.5348837209302326</c:v>
                </c:pt>
                <c:pt idx="146">
                  <c:v>-2.9696969696969697</c:v>
                </c:pt>
                <c:pt idx="147">
                  <c:v>-0.93846153846153846</c:v>
                </c:pt>
                <c:pt idx="148">
                  <c:v>42.75</c:v>
                </c:pt>
                <c:pt idx="149">
                  <c:v>0.8342857142857143</c:v>
                </c:pt>
                <c:pt idx="150">
                  <c:v>-0.41588785046728971</c:v>
                </c:pt>
                <c:pt idx="151">
                  <c:v>-3.1760000000000002</c:v>
                </c:pt>
                <c:pt idx="152">
                  <c:v>-0.64950980392156865</c:v>
                </c:pt>
                <c:pt idx="153">
                  <c:v>2.9055944055944058</c:v>
                </c:pt>
                <c:pt idx="154">
                  <c:v>-0.95434198746642795</c:v>
                </c:pt>
                <c:pt idx="155">
                  <c:v>-16.117647058823529</c:v>
                </c:pt>
                <c:pt idx="156">
                  <c:v>0.96368352788586265</c:v>
                </c:pt>
                <c:pt idx="157">
                  <c:v>0</c:v>
                </c:pt>
                <c:pt idx="158">
                  <c:v>-0.19576059850374061</c:v>
                </c:pt>
                <c:pt idx="159">
                  <c:v>-0.74143302180685355</c:v>
                </c:pt>
                <c:pt idx="160">
                  <c:v>0.94377510040160617</c:v>
                </c:pt>
                <c:pt idx="161">
                  <c:v>-1.0991735537190084</c:v>
                </c:pt>
                <c:pt idx="162">
                  <c:v>-10.020833333333334</c:v>
                </c:pt>
                <c:pt idx="163">
                  <c:v>2.4700000000000002</c:v>
                </c:pt>
                <c:pt idx="164">
                  <c:v>-1.8674351585014408</c:v>
                </c:pt>
                <c:pt idx="165">
                  <c:v>-0.9943820224719101</c:v>
                </c:pt>
                <c:pt idx="166">
                  <c:v>-63</c:v>
                </c:pt>
                <c:pt idx="167">
                  <c:v>-1.370967741935484</c:v>
                </c:pt>
                <c:pt idx="168">
                  <c:v>-6.9565217391304346</c:v>
                </c:pt>
                <c:pt idx="169">
                  <c:v>-1.8321167883211678</c:v>
                </c:pt>
                <c:pt idx="170">
                  <c:v>-0.2807017543859649</c:v>
                </c:pt>
                <c:pt idx="171">
                  <c:v>-0.47560975609756095</c:v>
                </c:pt>
                <c:pt idx="172">
                  <c:v>-3.7441860465116279</c:v>
                </c:pt>
                <c:pt idx="173">
                  <c:v>0.31355932203389836</c:v>
                </c:pt>
                <c:pt idx="174">
                  <c:v>-0.21935483870967742</c:v>
                </c:pt>
                <c:pt idx="175">
                  <c:v>-4.9586776859504136</c:v>
                </c:pt>
                <c:pt idx="176">
                  <c:v>-0.75574112734864296</c:v>
                </c:pt>
                <c:pt idx="177">
                  <c:v>-0.29914529914529919</c:v>
                </c:pt>
                <c:pt idx="178">
                  <c:v>4.963414634146341</c:v>
                </c:pt>
                <c:pt idx="179">
                  <c:v>-0.44989775051124747</c:v>
                </c:pt>
                <c:pt idx="180">
                  <c:v>-0.44609665427509293</c:v>
                </c:pt>
                <c:pt idx="181">
                  <c:v>-2.2953020134228188</c:v>
                </c:pt>
                <c:pt idx="182">
                  <c:v>-2.6373056994818653</c:v>
                </c:pt>
                <c:pt idx="183">
                  <c:v>-1.6740506329113924</c:v>
                </c:pt>
                <c:pt idx="184">
                  <c:v>-1.0938967136150235</c:v>
                </c:pt>
                <c:pt idx="185">
                  <c:v>7.9499999999999993</c:v>
                </c:pt>
                <c:pt idx="186">
                  <c:v>-0.88268156424581012</c:v>
                </c:pt>
                <c:pt idx="187">
                  <c:v>1.5238095238095242</c:v>
                </c:pt>
                <c:pt idx="188">
                  <c:v>2.3584905660377355</c:v>
                </c:pt>
                <c:pt idx="189">
                  <c:v>0</c:v>
                </c:pt>
                <c:pt idx="190">
                  <c:v>-1.101522842639594</c:v>
                </c:pt>
                <c:pt idx="191">
                  <c:v>3.1999999999999993</c:v>
                </c:pt>
                <c:pt idx="192">
                  <c:v>-1.6071428571428572</c:v>
                </c:pt>
                <c:pt idx="193">
                  <c:v>6.3921568627450975</c:v>
                </c:pt>
                <c:pt idx="194">
                  <c:v>-0.41909814323607431</c:v>
                </c:pt>
                <c:pt idx="195">
                  <c:v>0.31050228310502281</c:v>
                </c:pt>
                <c:pt idx="196">
                  <c:v>-0.15679442508710806</c:v>
                </c:pt>
                <c:pt idx="197">
                  <c:v>0.73140495867768607</c:v>
                </c:pt>
                <c:pt idx="198">
                  <c:v>-0.15513126491646789</c:v>
                </c:pt>
                <c:pt idx="199">
                  <c:v>-2.2033898305084745</c:v>
                </c:pt>
                <c:pt idx="200">
                  <c:v>-0.96478873239436624</c:v>
                </c:pt>
                <c:pt idx="201">
                  <c:v>0</c:v>
                </c:pt>
                <c:pt idx="202">
                  <c:v>2.5837563451776648</c:v>
                </c:pt>
                <c:pt idx="203">
                  <c:v>-0.69546742209631729</c:v>
                </c:pt>
                <c:pt idx="204">
                  <c:v>0.46046511627906983</c:v>
                </c:pt>
                <c:pt idx="205">
                  <c:v>-0.14012738853503182</c:v>
                </c:pt>
                <c:pt idx="206">
                  <c:v>-0.6518518518518519</c:v>
                </c:pt>
                <c:pt idx="207">
                  <c:v>-1.946808510638298</c:v>
                </c:pt>
                <c:pt idx="208">
                  <c:v>-4.6853932584269664</c:v>
                </c:pt>
                <c:pt idx="209">
                  <c:v>0.59146341463414642</c:v>
                </c:pt>
                <c:pt idx="210">
                  <c:v>-0.29118773946360144</c:v>
                </c:pt>
                <c:pt idx="211">
                  <c:v>-0.24864864864864877</c:v>
                </c:pt>
                <c:pt idx="212">
                  <c:v>0.3633093525179858</c:v>
                </c:pt>
                <c:pt idx="213">
                  <c:v>-0.23218997361477567</c:v>
                </c:pt>
                <c:pt idx="214">
                  <c:v>-0.2371134020618556</c:v>
                </c:pt>
                <c:pt idx="215">
                  <c:v>-1.3513513513513598E-2</c:v>
                </c:pt>
                <c:pt idx="216">
                  <c:v>0.8447488584474887</c:v>
                </c:pt>
                <c:pt idx="217">
                  <c:v>0.83910891089108897</c:v>
                </c:pt>
                <c:pt idx="218">
                  <c:v>-0.62449528936742937</c:v>
                </c:pt>
                <c:pt idx="219">
                  <c:v>0.62724014336917566</c:v>
                </c:pt>
                <c:pt idx="220">
                  <c:v>-0.88546255506607929</c:v>
                </c:pt>
                <c:pt idx="221">
                  <c:v>18.288461538461537</c:v>
                </c:pt>
                <c:pt idx="222">
                  <c:v>-0.27916251246261203</c:v>
                </c:pt>
                <c:pt idx="223">
                  <c:v>-0.31811894882434311</c:v>
                </c:pt>
                <c:pt idx="224">
                  <c:v>0.4989858012170385</c:v>
                </c:pt>
                <c:pt idx="225">
                  <c:v>0.121786197564276</c:v>
                </c:pt>
                <c:pt idx="226">
                  <c:v>-8.4439083232810574E-2</c:v>
                </c:pt>
                <c:pt idx="227">
                  <c:v>0.15810276679841895</c:v>
                </c:pt>
                <c:pt idx="228">
                  <c:v>0.10238907849829348</c:v>
                </c:pt>
                <c:pt idx="229">
                  <c:v>-0.2683178534571723</c:v>
                </c:pt>
                <c:pt idx="230">
                  <c:v>-0.44569816643159377</c:v>
                </c:pt>
                <c:pt idx="231">
                  <c:v>-0.52671755725190839</c:v>
                </c:pt>
                <c:pt idx="232">
                  <c:v>-5.9139784946236618E-2</c:v>
                </c:pt>
                <c:pt idx="233">
                  <c:v>-0.98285714285714287</c:v>
                </c:pt>
                <c:pt idx="234">
                  <c:v>-68.333333333333343</c:v>
                </c:pt>
                <c:pt idx="235">
                  <c:v>-3.222772277227723</c:v>
                </c:pt>
                <c:pt idx="236">
                  <c:v>0.38975501113585742</c:v>
                </c:pt>
                <c:pt idx="237">
                  <c:v>6.0897435897435903E-2</c:v>
                </c:pt>
              </c:numCache>
            </c:numRef>
          </c:xVal>
          <c:yVal>
            <c:numRef>
              <c:f>Filtered_data_expand_reg!$G$4:$G$241</c:f>
              <c:numCache>
                <c:formatCode>0.000</c:formatCode>
                <c:ptCount val="238"/>
                <c:pt idx="0">
                  <c:v>6.374236733922034E-2</c:v>
                </c:pt>
                <c:pt idx="1">
                  <c:v>-6.9577381799054261E-2</c:v>
                </c:pt>
                <c:pt idx="2">
                  <c:v>-3.2640243025142679E-2</c:v>
                </c:pt>
                <c:pt idx="3">
                  <c:v>0.15472414485550567</c:v>
                </c:pt>
                <c:pt idx="4">
                  <c:v>-4.1196487061209153E-2</c:v>
                </c:pt>
                <c:pt idx="5">
                  <c:v>0.17402808976503037</c:v>
                </c:pt>
                <c:pt idx="6">
                  <c:v>0.10639211379737912</c:v>
                </c:pt>
                <c:pt idx="7">
                  <c:v>-0.24107527078096325</c:v>
                </c:pt>
                <c:pt idx="8">
                  <c:v>-6.3629395628308716E-2</c:v>
                </c:pt>
                <c:pt idx="9">
                  <c:v>0.30493137389590363</c:v>
                </c:pt>
                <c:pt idx="10">
                  <c:v>-9.9694088146233595E-2</c:v>
                </c:pt>
                <c:pt idx="11">
                  <c:v>4.9202239693840744E-2</c:v>
                </c:pt>
                <c:pt idx="12">
                  <c:v>-5.7338704383473105E-2</c:v>
                </c:pt>
                <c:pt idx="13">
                  <c:v>-0.22401247205316632</c:v>
                </c:pt>
                <c:pt idx="14">
                  <c:v>7.6149285977955339E-2</c:v>
                </c:pt>
                <c:pt idx="15">
                  <c:v>-0.23985292129727365</c:v>
                </c:pt>
                <c:pt idx="16">
                  <c:v>0.27851441062209092</c:v>
                </c:pt>
                <c:pt idx="17">
                  <c:v>9.3209512366019931E-2</c:v>
                </c:pt>
                <c:pt idx="18">
                  <c:v>-0.13874585480202728</c:v>
                </c:pt>
                <c:pt idx="19">
                  <c:v>-0.24798440302572866</c:v>
                </c:pt>
                <c:pt idx="20">
                  <c:v>5.7908757271350586E-2</c:v>
                </c:pt>
                <c:pt idx="21">
                  <c:v>0.45176735480827146</c:v>
                </c:pt>
                <c:pt idx="22">
                  <c:v>-0.22900369271421805</c:v>
                </c:pt>
                <c:pt idx="23">
                  <c:v>-9.7515808844483409E-2</c:v>
                </c:pt>
                <c:pt idx="24">
                  <c:v>-6.3114629752217377E-2</c:v>
                </c:pt>
                <c:pt idx="25">
                  <c:v>0.14647427994777207</c:v>
                </c:pt>
                <c:pt idx="26">
                  <c:v>0.3100288529003139</c:v>
                </c:pt>
                <c:pt idx="27">
                  <c:v>-0.20024269284474439</c:v>
                </c:pt>
                <c:pt idx="28">
                  <c:v>-0.24233667381361212</c:v>
                </c:pt>
                <c:pt idx="29">
                  <c:v>0.50448198944331679</c:v>
                </c:pt>
                <c:pt idx="30">
                  <c:v>3.8922328603336886E-3</c:v>
                </c:pt>
                <c:pt idx="31">
                  <c:v>-0.14904448957568295</c:v>
                </c:pt>
                <c:pt idx="32">
                  <c:v>0.26265966133675001</c:v>
                </c:pt>
                <c:pt idx="33">
                  <c:v>-0.14457564942087564</c:v>
                </c:pt>
                <c:pt idx="34">
                  <c:v>-6.7014366600345099E-2</c:v>
                </c:pt>
                <c:pt idx="35">
                  <c:v>0.17082776682243761</c:v>
                </c:pt>
                <c:pt idx="36">
                  <c:v>-2.7218942531175738E-2</c:v>
                </c:pt>
                <c:pt idx="37">
                  <c:v>0.13198899319506019</c:v>
                </c:pt>
                <c:pt idx="38">
                  <c:v>-0.12574177936326447</c:v>
                </c:pt>
                <c:pt idx="39">
                  <c:v>4.9332950956061383E-2</c:v>
                </c:pt>
                <c:pt idx="40">
                  <c:v>-0.15981484600416374</c:v>
                </c:pt>
                <c:pt idx="41">
                  <c:v>-5.6147842941778436E-2</c:v>
                </c:pt>
                <c:pt idx="42">
                  <c:v>0.19138308523306824</c:v>
                </c:pt>
                <c:pt idx="43">
                  <c:v>-0.24145184682630827</c:v>
                </c:pt>
                <c:pt idx="44">
                  <c:v>0.1229370475707674</c:v>
                </c:pt>
                <c:pt idx="45">
                  <c:v>-0.26101682549056582</c:v>
                </c:pt>
                <c:pt idx="46">
                  <c:v>0.98023452515681675</c:v>
                </c:pt>
                <c:pt idx="47">
                  <c:v>-0.2052681539008735</c:v>
                </c:pt>
                <c:pt idx="48">
                  <c:v>-0.19380487155676407</c:v>
                </c:pt>
                <c:pt idx="49">
                  <c:v>-0.23526110652294241</c:v>
                </c:pt>
                <c:pt idx="50">
                  <c:v>0.571186628275824</c:v>
                </c:pt>
                <c:pt idx="51">
                  <c:v>-2.1841314117574839E-2</c:v>
                </c:pt>
                <c:pt idx="52">
                  <c:v>-3.1885734273278454E-2</c:v>
                </c:pt>
                <c:pt idx="53">
                  <c:v>-0.31856331377488967</c:v>
                </c:pt>
                <c:pt idx="54">
                  <c:v>0.77252748703919116</c:v>
                </c:pt>
                <c:pt idx="55">
                  <c:v>-0.29979769633962927</c:v>
                </c:pt>
                <c:pt idx="56">
                  <c:v>4.6875369765686292E-2</c:v>
                </c:pt>
                <c:pt idx="57">
                  <c:v>-7.6978487502075588E-2</c:v>
                </c:pt>
                <c:pt idx="58">
                  <c:v>0.10459623186338107</c:v>
                </c:pt>
                <c:pt idx="59">
                  <c:v>-0.16197111998287583</c:v>
                </c:pt>
                <c:pt idx="60">
                  <c:v>0.17592276827397102</c:v>
                </c:pt>
                <c:pt idx="61">
                  <c:v>2.9713359148964003E-3</c:v>
                </c:pt>
                <c:pt idx="62">
                  <c:v>-0.10049912375329528</c:v>
                </c:pt>
                <c:pt idx="63">
                  <c:v>-3.5688725445889968E-2</c:v>
                </c:pt>
                <c:pt idx="64">
                  <c:v>-7.7802021574578939E-3</c:v>
                </c:pt>
                <c:pt idx="65">
                  <c:v>0.16097403220942796</c:v>
                </c:pt>
                <c:pt idx="66">
                  <c:v>-0.19787309206896009</c:v>
                </c:pt>
                <c:pt idx="67">
                  <c:v>1.9355352019896799E-2</c:v>
                </c:pt>
                <c:pt idx="68">
                  <c:v>-0.11192309402989487</c:v>
                </c:pt>
                <c:pt idx="69">
                  <c:v>0.15210129199046984</c:v>
                </c:pt>
                <c:pt idx="70">
                  <c:v>7.4524472747127701E-2</c:v>
                </c:pt>
                <c:pt idx="71">
                  <c:v>-4.333299226294951E-2</c:v>
                </c:pt>
                <c:pt idx="72">
                  <c:v>-2.3167208987580734E-2</c:v>
                </c:pt>
                <c:pt idx="73">
                  <c:v>-0.28399246253862664</c:v>
                </c:pt>
                <c:pt idx="74">
                  <c:v>0.52122088225672569</c:v>
                </c:pt>
                <c:pt idx="75">
                  <c:v>0.13531640419056523</c:v>
                </c:pt>
                <c:pt idx="76">
                  <c:v>-0.30188694023977491</c:v>
                </c:pt>
                <c:pt idx="77">
                  <c:v>0.18820821502106599</c:v>
                </c:pt>
                <c:pt idx="78">
                  <c:v>0.22989020585949738</c:v>
                </c:pt>
                <c:pt idx="79">
                  <c:v>-0.30543889449578554</c:v>
                </c:pt>
                <c:pt idx="80">
                  <c:v>0.2106411502165082</c:v>
                </c:pt>
                <c:pt idx="81">
                  <c:v>-0.18221279163474247</c:v>
                </c:pt>
                <c:pt idx="82">
                  <c:v>0.3750862258202412</c:v>
                </c:pt>
                <c:pt idx="83">
                  <c:v>-0.16207685838676988</c:v>
                </c:pt>
                <c:pt idx="84">
                  <c:v>-3.6737840098323038E-2</c:v>
                </c:pt>
                <c:pt idx="85">
                  <c:v>0.32225971017738209</c:v>
                </c:pt>
                <c:pt idx="86">
                  <c:v>0.13976680745721293</c:v>
                </c:pt>
                <c:pt idx="87">
                  <c:v>-0.2292567437715366</c:v>
                </c:pt>
                <c:pt idx="88">
                  <c:v>1.936421676373512E-2</c:v>
                </c:pt>
                <c:pt idx="89">
                  <c:v>-0.14396578167221041</c:v>
                </c:pt>
                <c:pt idx="90">
                  <c:v>0.13570814408350862</c:v>
                </c:pt>
                <c:pt idx="91">
                  <c:v>-7.5796938434797068E-2</c:v>
                </c:pt>
                <c:pt idx="92">
                  <c:v>5.1302925101365249E-2</c:v>
                </c:pt>
                <c:pt idx="93">
                  <c:v>2.0450380442365468E-2</c:v>
                </c:pt>
                <c:pt idx="94">
                  <c:v>0.12357405356520146</c:v>
                </c:pt>
                <c:pt idx="95">
                  <c:v>-0.13856735727056535</c:v>
                </c:pt>
                <c:pt idx="96">
                  <c:v>-0.10140229785473709</c:v>
                </c:pt>
                <c:pt idx="97">
                  <c:v>0.10004878378052084</c:v>
                </c:pt>
                <c:pt idx="98">
                  <c:v>7.8954027795812953E-2</c:v>
                </c:pt>
                <c:pt idx="99">
                  <c:v>-4.2749482979626219E-2</c:v>
                </c:pt>
                <c:pt idx="100">
                  <c:v>-7.9253408692884331E-2</c:v>
                </c:pt>
                <c:pt idx="101">
                  <c:v>0.26218617699153968</c:v>
                </c:pt>
                <c:pt idx="102">
                  <c:v>-8.0203455804175872E-2</c:v>
                </c:pt>
                <c:pt idx="103">
                  <c:v>-6.4953879054860386E-2</c:v>
                </c:pt>
                <c:pt idx="104">
                  <c:v>-3.3779418371947423E-2</c:v>
                </c:pt>
                <c:pt idx="105">
                  <c:v>-8.3000521699690855E-2</c:v>
                </c:pt>
                <c:pt idx="106">
                  <c:v>7.0996017700668768E-2</c:v>
                </c:pt>
                <c:pt idx="107">
                  <c:v>-1.8296491552647454E-2</c:v>
                </c:pt>
                <c:pt idx="108">
                  <c:v>-9.1051454596139392E-2</c:v>
                </c:pt>
                <c:pt idx="109">
                  <c:v>0.22894042869599041</c:v>
                </c:pt>
                <c:pt idx="110">
                  <c:v>0.13512029983184148</c:v>
                </c:pt>
                <c:pt idx="111">
                  <c:v>1.7552677745436007E-4</c:v>
                </c:pt>
                <c:pt idx="112">
                  <c:v>-8.2941997315965077E-3</c:v>
                </c:pt>
                <c:pt idx="113">
                  <c:v>-8.6993846905893069E-2</c:v>
                </c:pt>
                <c:pt idx="114">
                  <c:v>0.15200424063636064</c:v>
                </c:pt>
                <c:pt idx="115">
                  <c:v>-9.0410564082143319E-2</c:v>
                </c:pt>
                <c:pt idx="116">
                  <c:v>-9.1737892267886978E-2</c:v>
                </c:pt>
                <c:pt idx="117">
                  <c:v>1.0626430781072393E-2</c:v>
                </c:pt>
                <c:pt idx="118">
                  <c:v>-0.12866217778739752</c:v>
                </c:pt>
                <c:pt idx="119">
                  <c:v>0.17167152146226439</c:v>
                </c:pt>
                <c:pt idx="120">
                  <c:v>-0.20496662895837781</c:v>
                </c:pt>
                <c:pt idx="121">
                  <c:v>9.7200944323923233E-2</c:v>
                </c:pt>
                <c:pt idx="122">
                  <c:v>-9.9841543634592633E-2</c:v>
                </c:pt>
                <c:pt idx="123">
                  <c:v>0.17810585780260713</c:v>
                </c:pt>
                <c:pt idx="124">
                  <c:v>-1.5384905906818735E-2</c:v>
                </c:pt>
                <c:pt idx="125">
                  <c:v>2.1315581318713805E-2</c:v>
                </c:pt>
                <c:pt idx="126">
                  <c:v>-0.12470528417839277</c:v>
                </c:pt>
                <c:pt idx="127">
                  <c:v>0.33388515544610309</c:v>
                </c:pt>
                <c:pt idx="128">
                  <c:v>-6.3704862887431268E-2</c:v>
                </c:pt>
                <c:pt idx="129">
                  <c:v>-2.7267071558835676E-2</c:v>
                </c:pt>
                <c:pt idx="130">
                  <c:v>-0.11947212288368558</c:v>
                </c:pt>
                <c:pt idx="131">
                  <c:v>0.36921913769444137</c:v>
                </c:pt>
                <c:pt idx="132">
                  <c:v>-0.16090851806287232</c:v>
                </c:pt>
                <c:pt idx="133">
                  <c:v>-6.1262112888136766E-2</c:v>
                </c:pt>
                <c:pt idx="134">
                  <c:v>-8.2613868940551671E-2</c:v>
                </c:pt>
                <c:pt idx="135">
                  <c:v>-0.21344681249678477</c:v>
                </c:pt>
                <c:pt idx="136">
                  <c:v>-0.19595751046838938</c:v>
                </c:pt>
                <c:pt idx="137">
                  <c:v>0.42397523043300001</c:v>
                </c:pt>
                <c:pt idx="138">
                  <c:v>1.1213134735983399E-2</c:v>
                </c:pt>
                <c:pt idx="139">
                  <c:v>-0.30785508973904385</c:v>
                </c:pt>
                <c:pt idx="140">
                  <c:v>0.79934665392376747</c:v>
                </c:pt>
                <c:pt idx="141">
                  <c:v>-4.0300951325289103E-2</c:v>
                </c:pt>
                <c:pt idx="142">
                  <c:v>-8.6339509966433581E-2</c:v>
                </c:pt>
                <c:pt idx="143">
                  <c:v>5.8919888530980291E-2</c:v>
                </c:pt>
                <c:pt idx="144">
                  <c:v>-1.1179306313778836E-2</c:v>
                </c:pt>
                <c:pt idx="145">
                  <c:v>7.7052693011860462E-2</c:v>
                </c:pt>
                <c:pt idx="146">
                  <c:v>-0.12246354273405269</c:v>
                </c:pt>
                <c:pt idx="147">
                  <c:v>0.23245678575069095</c:v>
                </c:pt>
                <c:pt idx="148">
                  <c:v>-0.16048107499426345</c:v>
                </c:pt>
                <c:pt idx="149">
                  <c:v>4.0961890488400599E-2</c:v>
                </c:pt>
                <c:pt idx="150">
                  <c:v>0.13713002912188021</c:v>
                </c:pt>
                <c:pt idx="151">
                  <c:v>-8.9098709966752399E-2</c:v>
                </c:pt>
                <c:pt idx="152">
                  <c:v>-0.33320311602852482</c:v>
                </c:pt>
                <c:pt idx="153">
                  <c:v>0.25052017507228919</c:v>
                </c:pt>
                <c:pt idx="154">
                  <c:v>0.39878840883088129</c:v>
                </c:pt>
                <c:pt idx="155">
                  <c:v>-8.917158971879191E-2</c:v>
                </c:pt>
                <c:pt idx="156">
                  <c:v>-2.9455673524724779E-2</c:v>
                </c:pt>
                <c:pt idx="157">
                  <c:v>8.9038971766921549E-2</c:v>
                </c:pt>
                <c:pt idx="158">
                  <c:v>-0.48792706919901851</c:v>
                </c:pt>
                <c:pt idx="159">
                  <c:v>7.0192180053583852E-2</c:v>
                </c:pt>
                <c:pt idx="160">
                  <c:v>-0.21882214064068484</c:v>
                </c:pt>
                <c:pt idx="161">
                  <c:v>-0.21339142555966262</c:v>
                </c:pt>
                <c:pt idx="162">
                  <c:v>0.10375203794584431</c:v>
                </c:pt>
                <c:pt idx="163">
                  <c:v>-2.8949017574536273E-2</c:v>
                </c:pt>
                <c:pt idx="164">
                  <c:v>-0.50030284492936028</c:v>
                </c:pt>
                <c:pt idx="165">
                  <c:v>0.70946388753580147</c:v>
                </c:pt>
                <c:pt idx="166">
                  <c:v>0.13431810043201331</c:v>
                </c:pt>
                <c:pt idx="167">
                  <c:v>-0.2054424500551808</c:v>
                </c:pt>
                <c:pt idx="168">
                  <c:v>0.49306364352395837</c:v>
                </c:pt>
                <c:pt idx="169">
                  <c:v>-7.6975107640149587E-2</c:v>
                </c:pt>
                <c:pt idx="170">
                  <c:v>0.35269108902383239</c:v>
                </c:pt>
                <c:pt idx="171">
                  <c:v>-0.13069486526202068</c:v>
                </c:pt>
                <c:pt idx="172">
                  <c:v>-0.41664531513663172</c:v>
                </c:pt>
                <c:pt idx="173">
                  <c:v>0.45869365516186389</c:v>
                </c:pt>
                <c:pt idx="174">
                  <c:v>0.23636136238232974</c:v>
                </c:pt>
                <c:pt idx="175">
                  <c:v>-3.1505321445701728E-4</c:v>
                </c:pt>
                <c:pt idx="176">
                  <c:v>-0.12825527266265224</c:v>
                </c:pt>
                <c:pt idx="177">
                  <c:v>-0.16341464868075273</c:v>
                </c:pt>
                <c:pt idx="178">
                  <c:v>0.39165432979630221</c:v>
                </c:pt>
                <c:pt idx="179">
                  <c:v>6.4527838207053101E-2</c:v>
                </c:pt>
                <c:pt idx="180">
                  <c:v>-0.25124514885039406</c:v>
                </c:pt>
                <c:pt idx="181">
                  <c:v>-0.27509061474342311</c:v>
                </c:pt>
                <c:pt idx="182">
                  <c:v>0.48599880115219318</c:v>
                </c:pt>
                <c:pt idx="183">
                  <c:v>0.18003491830165608</c:v>
                </c:pt>
                <c:pt idx="184">
                  <c:v>-0.18327564460939505</c:v>
                </c:pt>
                <c:pt idx="185">
                  <c:v>-0.52745793193492618</c:v>
                </c:pt>
                <c:pt idx="186">
                  <c:v>1.1674211883655401</c:v>
                </c:pt>
                <c:pt idx="187">
                  <c:v>7.0343636212653937E-2</c:v>
                </c:pt>
                <c:pt idx="188">
                  <c:v>0.16723069058085738</c:v>
                </c:pt>
                <c:pt idx="189">
                  <c:v>-7.4838578731454719E-2</c:v>
                </c:pt>
                <c:pt idx="190">
                  <c:v>6.558618033040764E-2</c:v>
                </c:pt>
                <c:pt idx="191">
                  <c:v>-0.15494853220101901</c:v>
                </c:pt>
                <c:pt idx="192">
                  <c:v>3.4483507954985448E-4</c:v>
                </c:pt>
                <c:pt idx="193">
                  <c:v>0.14548290185257962</c:v>
                </c:pt>
                <c:pt idx="194">
                  <c:v>0.15507735347746587</c:v>
                </c:pt>
                <c:pt idx="195">
                  <c:v>-0.23025037395852643</c:v>
                </c:pt>
                <c:pt idx="196">
                  <c:v>-0.16056651348639661</c:v>
                </c:pt>
                <c:pt idx="197">
                  <c:v>-7.9462809137384571E-2</c:v>
                </c:pt>
                <c:pt idx="198">
                  <c:v>0.57285704709366292</c:v>
                </c:pt>
                <c:pt idx="199">
                  <c:v>2.3599990894461742E-2</c:v>
                </c:pt>
                <c:pt idx="200">
                  <c:v>-0.25415744490874215</c:v>
                </c:pt>
                <c:pt idx="201">
                  <c:v>0.33068977042551495</c:v>
                </c:pt>
                <c:pt idx="202">
                  <c:v>0.11862837552326733</c:v>
                </c:pt>
                <c:pt idx="203">
                  <c:v>-0.21629284093084478</c:v>
                </c:pt>
                <c:pt idx="204">
                  <c:v>-7.1437323116267493E-2</c:v>
                </c:pt>
                <c:pt idx="205">
                  <c:v>0.12593123862379763</c:v>
                </c:pt>
                <c:pt idx="206">
                  <c:v>0.1596756141949347</c:v>
                </c:pt>
                <c:pt idx="207">
                  <c:v>-0.17519687731870626</c:v>
                </c:pt>
                <c:pt idx="208">
                  <c:v>0.24609664825537547</c:v>
                </c:pt>
                <c:pt idx="209">
                  <c:v>-0.17435116731601275</c:v>
                </c:pt>
                <c:pt idx="210">
                  <c:v>0.41670339135074896</c:v>
                </c:pt>
                <c:pt idx="211">
                  <c:v>-6.8414070850575381E-2</c:v>
                </c:pt>
                <c:pt idx="212">
                  <c:v>-0.5187378485726053</c:v>
                </c:pt>
                <c:pt idx="213">
                  <c:v>0.26006395575701835</c:v>
                </c:pt>
                <c:pt idx="214">
                  <c:v>0.28202575091432758</c:v>
                </c:pt>
                <c:pt idx="215">
                  <c:v>1.6404287454819144E-2</c:v>
                </c:pt>
                <c:pt idx="216">
                  <c:v>-0.30712818936500585</c:v>
                </c:pt>
                <c:pt idx="217">
                  <c:v>7.5806655841493154E-2</c:v>
                </c:pt>
                <c:pt idx="218">
                  <c:v>0.39191389726641157</c:v>
                </c:pt>
                <c:pt idx="219">
                  <c:v>-8.8771280806000386E-2</c:v>
                </c:pt>
                <c:pt idx="220">
                  <c:v>0.1422901122757918</c:v>
                </c:pt>
                <c:pt idx="221">
                  <c:v>-0.4082142379698277</c:v>
                </c:pt>
                <c:pt idx="222">
                  <c:v>0.27188660040926615</c:v>
                </c:pt>
                <c:pt idx="223">
                  <c:v>0.60581736294816957</c:v>
                </c:pt>
                <c:pt idx="224">
                  <c:v>-0.22602437988642998</c:v>
                </c:pt>
                <c:pt idx="225">
                  <c:v>6.9797580133379444E-2</c:v>
                </c:pt>
                <c:pt idx="226">
                  <c:v>0.1368022427391471</c:v>
                </c:pt>
                <c:pt idx="227">
                  <c:v>-0.1334276238371267</c:v>
                </c:pt>
                <c:pt idx="228">
                  <c:v>0.20604073729449701</c:v>
                </c:pt>
                <c:pt idx="229">
                  <c:v>-0.11917404981914537</c:v>
                </c:pt>
                <c:pt idx="230">
                  <c:v>-0.30553802367495153</c:v>
                </c:pt>
                <c:pt idx="231">
                  <c:v>0.45688220932205614</c:v>
                </c:pt>
                <c:pt idx="232">
                  <c:v>-0.21878686095073174</c:v>
                </c:pt>
                <c:pt idx="233">
                  <c:v>0.11793600999234322</c:v>
                </c:pt>
                <c:pt idx="234">
                  <c:v>-0.36185127932269179</c:v>
                </c:pt>
                <c:pt idx="235">
                  <c:v>0.92052412478490875</c:v>
                </c:pt>
                <c:pt idx="236">
                  <c:v>-5.3619996842472539E-2</c:v>
                </c:pt>
                <c:pt idx="237">
                  <c:v>-0.25261086755876472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9-4D3D-9A4C-8096794E5410}"/>
            </c:ext>
          </c:extLst>
        </c:ser>
        <c:ser>
          <c:idx val="1"/>
          <c:order val="1"/>
          <c:tx>
            <c:v>Predicted Urals loading</c:v>
          </c:tx>
          <c:spPr>
            <a:ln w="19050">
              <a:noFill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Filtered_data_expand_reg!$C$4:$C$241</c:f>
              <c:numCache>
                <c:formatCode>0.000</c:formatCode>
                <c:ptCount val="238"/>
                <c:pt idx="0">
                  <c:v>-3.2708475885078898</c:v>
                </c:pt>
                <c:pt idx="1">
                  <c:v>-0.68786444564856231</c:v>
                </c:pt>
                <c:pt idx="2">
                  <c:v>-9.8072080267676665E-2</c:v>
                </c:pt>
                <c:pt idx="3">
                  <c:v>-0.36992986164245478</c:v>
                </c:pt>
                <c:pt idx="4">
                  <c:v>3.4432231026368552</c:v>
                </c:pt>
                <c:pt idx="5">
                  <c:v>-0.60063991302995512</c:v>
                </c:pt>
                <c:pt idx="6">
                  <c:v>0.38620501466037416</c:v>
                </c:pt>
                <c:pt idx="7">
                  <c:v>-1.0899342666922267</c:v>
                </c:pt>
                <c:pt idx="8">
                  <c:v>-6.722512870367483</c:v>
                </c:pt>
                <c:pt idx="9">
                  <c:v>2.1031949043830567</c:v>
                </c:pt>
                <c:pt idx="10">
                  <c:v>-0.12589177536922458</c:v>
                </c:pt>
                <c:pt idx="11">
                  <c:v>-0.35429898238375612</c:v>
                </c:pt>
                <c:pt idx="12">
                  <c:v>1.5921569000292934</c:v>
                </c:pt>
                <c:pt idx="13">
                  <c:v>0</c:v>
                </c:pt>
                <c:pt idx="14">
                  <c:v>-1.0932580690224021</c:v>
                </c:pt>
                <c:pt idx="15">
                  <c:v>-10.369685348733091</c:v>
                </c:pt>
                <c:pt idx="16">
                  <c:v>4.6809473381177025E-2</c:v>
                </c:pt>
                <c:pt idx="17">
                  <c:v>-0.22275859056284986</c:v>
                </c:pt>
                <c:pt idx="18">
                  <c:v>0.38153581855787699</c:v>
                </c:pt>
                <c:pt idx="19">
                  <c:v>0.14277347799905526</c:v>
                </c:pt>
                <c:pt idx="20">
                  <c:v>0.11936458897896296</c:v>
                </c:pt>
                <c:pt idx="21">
                  <c:v>4.5063391457363933E-2</c:v>
                </c:pt>
                <c:pt idx="22">
                  <c:v>0.28650388445343555</c:v>
                </c:pt>
                <c:pt idx="23">
                  <c:v>-0.14004266824710887</c:v>
                </c:pt>
                <c:pt idx="24">
                  <c:v>-6.0223117161325557E-2</c:v>
                </c:pt>
                <c:pt idx="25">
                  <c:v>0.27113554584821808</c:v>
                </c:pt>
                <c:pt idx="26">
                  <c:v>0.11372478579023748</c:v>
                </c:pt>
                <c:pt idx="27">
                  <c:v>-0.39989754919087228</c:v>
                </c:pt>
                <c:pt idx="28">
                  <c:v>-0.16464420529527912</c:v>
                </c:pt>
                <c:pt idx="29">
                  <c:v>0.71678930987418732</c:v>
                </c:pt>
                <c:pt idx="30">
                  <c:v>7.5801132861384124E-2</c:v>
                </c:pt>
                <c:pt idx="31">
                  <c:v>-0.27339847098185954</c:v>
                </c:pt>
                <c:pt idx="32">
                  <c:v>0.29011583460759005</c:v>
                </c:pt>
                <c:pt idx="33">
                  <c:v>-0.33018320890125297</c:v>
                </c:pt>
                <c:pt idx="34">
                  <c:v>-0.59973990590069215</c:v>
                </c:pt>
                <c:pt idx="35">
                  <c:v>-1.4392502949015371</c:v>
                </c:pt>
                <c:pt idx="36">
                  <c:v>-4.0587784621028238</c:v>
                </c:pt>
                <c:pt idx="37">
                  <c:v>2.1009285619899583</c:v>
                </c:pt>
                <c:pt idx="38">
                  <c:v>0.14769230769230779</c:v>
                </c:pt>
                <c:pt idx="39">
                  <c:v>-0.34048257372654156</c:v>
                </c:pt>
                <c:pt idx="40">
                  <c:v>0.42682926829268286</c:v>
                </c:pt>
                <c:pt idx="41">
                  <c:v>2.5641025641025772E-2</c:v>
                </c:pt>
                <c:pt idx="42">
                  <c:v>-0.93888888888888888</c:v>
                </c:pt>
                <c:pt idx="43">
                  <c:v>11.272727272727273</c:v>
                </c:pt>
                <c:pt idx="44">
                  <c:v>-0.24074074074074081</c:v>
                </c:pt>
                <c:pt idx="45">
                  <c:v>-0.58536585365853655</c:v>
                </c:pt>
                <c:pt idx="46">
                  <c:v>0.62352941176470589</c:v>
                </c:pt>
                <c:pt idx="47">
                  <c:v>1.3768115942028984</c:v>
                </c:pt>
                <c:pt idx="48">
                  <c:v>0.15243902439024382</c:v>
                </c:pt>
                <c:pt idx="49">
                  <c:v>-0.14814814814814803</c:v>
                </c:pt>
                <c:pt idx="50">
                  <c:v>-0.50621118012422361</c:v>
                </c:pt>
                <c:pt idx="51">
                  <c:v>-1.408805031446541</c:v>
                </c:pt>
                <c:pt idx="52">
                  <c:v>-3.5846153846153843</c:v>
                </c:pt>
                <c:pt idx="53">
                  <c:v>-0.29761904761904767</c:v>
                </c:pt>
                <c:pt idx="54">
                  <c:v>-2.8559322033898304</c:v>
                </c:pt>
                <c:pt idx="55">
                  <c:v>-1.8949771689497716</c:v>
                </c:pt>
                <c:pt idx="56">
                  <c:v>-0.95565460721649487</c:v>
                </c:pt>
                <c:pt idx="57">
                  <c:v>-2.8548928675652938</c:v>
                </c:pt>
                <c:pt idx="58">
                  <c:v>-2.3536642255134779</c:v>
                </c:pt>
                <c:pt idx="59">
                  <c:v>13.647262205781177</c:v>
                </c:pt>
                <c:pt idx="60">
                  <c:v>0</c:v>
                </c:pt>
                <c:pt idx="61">
                  <c:v>8.7941176470588225</c:v>
                </c:pt>
                <c:pt idx="62">
                  <c:v>-0.45645645645645649</c:v>
                </c:pt>
                <c:pt idx="63">
                  <c:v>-0.31767955801104975</c:v>
                </c:pt>
                <c:pt idx="64">
                  <c:v>-0.55060728744939269</c:v>
                </c:pt>
                <c:pt idx="65">
                  <c:v>3.8108108108108105</c:v>
                </c:pt>
                <c:pt idx="66">
                  <c:v>-0.13857677902621723</c:v>
                </c:pt>
                <c:pt idx="67">
                  <c:v>-1.1565217391304348</c:v>
                </c:pt>
                <c:pt idx="68">
                  <c:v>6.944444444444442E-2</c:v>
                </c:pt>
                <c:pt idx="69">
                  <c:v>-3.8311688311688314</c:v>
                </c:pt>
                <c:pt idx="70">
                  <c:v>-1.1055045871559632</c:v>
                </c:pt>
                <c:pt idx="71">
                  <c:v>-2.7391304347826084</c:v>
                </c:pt>
                <c:pt idx="72">
                  <c:v>11.074999999999999</c:v>
                </c:pt>
                <c:pt idx="73">
                  <c:v>-0.54865424430641818</c:v>
                </c:pt>
                <c:pt idx="74">
                  <c:v>-0.65596330275229353</c:v>
                </c:pt>
                <c:pt idx="75">
                  <c:v>1.52</c:v>
                </c:pt>
                <c:pt idx="76">
                  <c:v>2.7407407407407409</c:v>
                </c:pt>
                <c:pt idx="77">
                  <c:v>-0.49363507779349369</c:v>
                </c:pt>
                <c:pt idx="78">
                  <c:v>0.25977653631284903</c:v>
                </c:pt>
                <c:pt idx="79">
                  <c:v>0.84922394678492252</c:v>
                </c:pt>
                <c:pt idx="80">
                  <c:v>-0.10071942446043169</c:v>
                </c:pt>
                <c:pt idx="81">
                  <c:v>-0.84799999999999998</c:v>
                </c:pt>
                <c:pt idx="82">
                  <c:v>-7.8947368421052544E-2</c:v>
                </c:pt>
                <c:pt idx="83">
                  <c:v>-0.27619047619047621</c:v>
                </c:pt>
                <c:pt idx="84">
                  <c:v>2.763157894736842</c:v>
                </c:pt>
                <c:pt idx="85">
                  <c:v>-0.27622377622377625</c:v>
                </c:pt>
                <c:pt idx="86">
                  <c:v>-2.7391304347826089</c:v>
                </c:pt>
                <c:pt idx="87">
                  <c:v>-0.61111111111111116</c:v>
                </c:pt>
                <c:pt idx="88">
                  <c:v>-0.34285714285714275</c:v>
                </c:pt>
                <c:pt idx="89">
                  <c:v>7.25</c:v>
                </c:pt>
                <c:pt idx="90">
                  <c:v>-1.0144927536231885</c:v>
                </c:pt>
                <c:pt idx="91">
                  <c:v>-149.54545454545453</c:v>
                </c:pt>
                <c:pt idx="92">
                  <c:v>-0.90697674418604657</c:v>
                </c:pt>
                <c:pt idx="93">
                  <c:v>-3.7434210526315788</c:v>
                </c:pt>
                <c:pt idx="94">
                  <c:v>-1.0719424460431655</c:v>
                </c:pt>
                <c:pt idx="95">
                  <c:v>12.633333333333333</c:v>
                </c:pt>
                <c:pt idx="96">
                  <c:v>-2.657701711491443</c:v>
                </c:pt>
                <c:pt idx="97">
                  <c:v>-1.7699115044247815E-2</c:v>
                </c:pt>
                <c:pt idx="98">
                  <c:v>-0.53603603603603611</c:v>
                </c:pt>
                <c:pt idx="99">
                  <c:v>-0.89967637540453071</c:v>
                </c:pt>
                <c:pt idx="100">
                  <c:v>3.2258064516129004E-2</c:v>
                </c:pt>
                <c:pt idx="101">
                  <c:v>0.4375</c:v>
                </c:pt>
                <c:pt idx="102">
                  <c:v>8.8260869565217384</c:v>
                </c:pt>
                <c:pt idx="103">
                  <c:v>-0.27433628318584069</c:v>
                </c:pt>
                <c:pt idx="104">
                  <c:v>-0.4359756097560975</c:v>
                </c:pt>
                <c:pt idx="105">
                  <c:v>0.73228346456692917</c:v>
                </c:pt>
                <c:pt idx="106">
                  <c:v>-0.36818181818181828</c:v>
                </c:pt>
                <c:pt idx="107">
                  <c:v>-0.1223021582733812</c:v>
                </c:pt>
                <c:pt idx="108">
                  <c:v>0.10655737704918034</c:v>
                </c:pt>
                <c:pt idx="109">
                  <c:v>2.5925925925925908E-2</c:v>
                </c:pt>
                <c:pt idx="110">
                  <c:v>0</c:v>
                </c:pt>
                <c:pt idx="111">
                  <c:v>-1.6226415094339623</c:v>
                </c:pt>
                <c:pt idx="112">
                  <c:v>-4.1666666666666661</c:v>
                </c:pt>
                <c:pt idx="113">
                  <c:v>-3.1483253588516749</c:v>
                </c:pt>
                <c:pt idx="114">
                  <c:v>-0.31848552338530067</c:v>
                </c:pt>
                <c:pt idx="115">
                  <c:v>-1.6666666666666665</c:v>
                </c:pt>
                <c:pt idx="116">
                  <c:v>2.8186274509803919</c:v>
                </c:pt>
                <c:pt idx="117">
                  <c:v>3.4659820282413323E-2</c:v>
                </c:pt>
                <c:pt idx="118">
                  <c:v>-0.32630272952853601</c:v>
                </c:pt>
                <c:pt idx="119">
                  <c:v>0.68139963167587503</c:v>
                </c:pt>
                <c:pt idx="120">
                  <c:v>-0.69441401971522454</c:v>
                </c:pt>
                <c:pt idx="121">
                  <c:v>1.1326164874551972</c:v>
                </c:pt>
                <c:pt idx="122">
                  <c:v>-0.41344537815126048</c:v>
                </c:pt>
                <c:pt idx="123">
                  <c:v>-0.92550143266475648</c:v>
                </c:pt>
                <c:pt idx="124">
                  <c:v>15.461538461538463</c:v>
                </c:pt>
                <c:pt idx="125">
                  <c:v>-0.63317757009345788</c:v>
                </c:pt>
                <c:pt idx="126">
                  <c:v>0.42675159235668803</c:v>
                </c:pt>
                <c:pt idx="127">
                  <c:v>-0.65625</c:v>
                </c:pt>
                <c:pt idx="128">
                  <c:v>-0.32467532467532467</c:v>
                </c:pt>
                <c:pt idx="129">
                  <c:v>4.2692307692307692</c:v>
                </c:pt>
                <c:pt idx="130">
                  <c:v>-1.6277372262773722</c:v>
                </c:pt>
                <c:pt idx="131">
                  <c:v>-7.5581395348837122E-2</c:v>
                </c:pt>
                <c:pt idx="132">
                  <c:v>-3.0503144654088046</c:v>
                </c:pt>
                <c:pt idx="133">
                  <c:v>-0.44785276073619629</c:v>
                </c:pt>
                <c:pt idx="134">
                  <c:v>1.5444444444444443</c:v>
                </c:pt>
                <c:pt idx="135">
                  <c:v>-0.6506550218340611</c:v>
                </c:pt>
                <c:pt idx="136">
                  <c:v>-1.2250000000000001</c:v>
                </c:pt>
                <c:pt idx="137">
                  <c:v>1.3611111111111112</c:v>
                </c:pt>
                <c:pt idx="138">
                  <c:v>-0.74117647058823533</c:v>
                </c:pt>
                <c:pt idx="139">
                  <c:v>0</c:v>
                </c:pt>
                <c:pt idx="140">
                  <c:v>4.1666666666666741E-2</c:v>
                </c:pt>
                <c:pt idx="141">
                  <c:v>-0.60499999999999998</c:v>
                </c:pt>
                <c:pt idx="142">
                  <c:v>0.12658227848101267</c:v>
                </c:pt>
                <c:pt idx="143">
                  <c:v>-1</c:v>
                </c:pt>
                <c:pt idx="144">
                  <c:v>0</c:v>
                </c:pt>
                <c:pt idx="145">
                  <c:v>-2.5348837209302326</c:v>
                </c:pt>
                <c:pt idx="146">
                  <c:v>-2.9696969696969697</c:v>
                </c:pt>
                <c:pt idx="147">
                  <c:v>-0.93846153846153846</c:v>
                </c:pt>
                <c:pt idx="148">
                  <c:v>42.75</c:v>
                </c:pt>
                <c:pt idx="149">
                  <c:v>0.8342857142857143</c:v>
                </c:pt>
                <c:pt idx="150">
                  <c:v>-0.41588785046728971</c:v>
                </c:pt>
                <c:pt idx="151">
                  <c:v>-3.1760000000000002</c:v>
                </c:pt>
                <c:pt idx="152">
                  <c:v>-0.64950980392156865</c:v>
                </c:pt>
                <c:pt idx="153">
                  <c:v>2.9055944055944058</c:v>
                </c:pt>
                <c:pt idx="154">
                  <c:v>-0.95434198746642795</c:v>
                </c:pt>
                <c:pt idx="155">
                  <c:v>-16.117647058823529</c:v>
                </c:pt>
                <c:pt idx="156">
                  <c:v>0.96368352788586265</c:v>
                </c:pt>
                <c:pt idx="157">
                  <c:v>0</c:v>
                </c:pt>
                <c:pt idx="158">
                  <c:v>-0.19576059850374061</c:v>
                </c:pt>
                <c:pt idx="159">
                  <c:v>-0.74143302180685355</c:v>
                </c:pt>
                <c:pt idx="160">
                  <c:v>0.94377510040160617</c:v>
                </c:pt>
                <c:pt idx="161">
                  <c:v>-1.0991735537190084</c:v>
                </c:pt>
                <c:pt idx="162">
                  <c:v>-10.020833333333334</c:v>
                </c:pt>
                <c:pt idx="163">
                  <c:v>2.4700000000000002</c:v>
                </c:pt>
                <c:pt idx="164">
                  <c:v>-1.8674351585014408</c:v>
                </c:pt>
                <c:pt idx="165">
                  <c:v>-0.9943820224719101</c:v>
                </c:pt>
                <c:pt idx="166">
                  <c:v>-63</c:v>
                </c:pt>
                <c:pt idx="167">
                  <c:v>-1.370967741935484</c:v>
                </c:pt>
                <c:pt idx="168">
                  <c:v>-6.9565217391304346</c:v>
                </c:pt>
                <c:pt idx="169">
                  <c:v>-1.8321167883211678</c:v>
                </c:pt>
                <c:pt idx="170">
                  <c:v>-0.2807017543859649</c:v>
                </c:pt>
                <c:pt idx="171">
                  <c:v>-0.47560975609756095</c:v>
                </c:pt>
                <c:pt idx="172">
                  <c:v>-3.7441860465116279</c:v>
                </c:pt>
                <c:pt idx="173">
                  <c:v>0.31355932203389836</c:v>
                </c:pt>
                <c:pt idx="174">
                  <c:v>-0.21935483870967742</c:v>
                </c:pt>
                <c:pt idx="175">
                  <c:v>-4.9586776859504136</c:v>
                </c:pt>
                <c:pt idx="176">
                  <c:v>-0.75574112734864296</c:v>
                </c:pt>
                <c:pt idx="177">
                  <c:v>-0.29914529914529919</c:v>
                </c:pt>
                <c:pt idx="178">
                  <c:v>4.963414634146341</c:v>
                </c:pt>
                <c:pt idx="179">
                  <c:v>-0.44989775051124747</c:v>
                </c:pt>
                <c:pt idx="180">
                  <c:v>-0.44609665427509293</c:v>
                </c:pt>
                <c:pt idx="181">
                  <c:v>-2.2953020134228188</c:v>
                </c:pt>
                <c:pt idx="182">
                  <c:v>-2.6373056994818653</c:v>
                </c:pt>
                <c:pt idx="183">
                  <c:v>-1.6740506329113924</c:v>
                </c:pt>
                <c:pt idx="184">
                  <c:v>-1.0938967136150235</c:v>
                </c:pt>
                <c:pt idx="185">
                  <c:v>7.9499999999999993</c:v>
                </c:pt>
                <c:pt idx="186">
                  <c:v>-0.88268156424581012</c:v>
                </c:pt>
                <c:pt idx="187">
                  <c:v>1.5238095238095242</c:v>
                </c:pt>
                <c:pt idx="188">
                  <c:v>2.3584905660377355</c:v>
                </c:pt>
                <c:pt idx="189">
                  <c:v>0</c:v>
                </c:pt>
                <c:pt idx="190">
                  <c:v>-1.101522842639594</c:v>
                </c:pt>
                <c:pt idx="191">
                  <c:v>3.1999999999999993</c:v>
                </c:pt>
                <c:pt idx="192">
                  <c:v>-1.6071428571428572</c:v>
                </c:pt>
                <c:pt idx="193">
                  <c:v>6.3921568627450975</c:v>
                </c:pt>
                <c:pt idx="194">
                  <c:v>-0.41909814323607431</c:v>
                </c:pt>
                <c:pt idx="195">
                  <c:v>0.31050228310502281</c:v>
                </c:pt>
                <c:pt idx="196">
                  <c:v>-0.15679442508710806</c:v>
                </c:pt>
                <c:pt idx="197">
                  <c:v>0.73140495867768607</c:v>
                </c:pt>
                <c:pt idx="198">
                  <c:v>-0.15513126491646789</c:v>
                </c:pt>
                <c:pt idx="199">
                  <c:v>-2.2033898305084745</c:v>
                </c:pt>
                <c:pt idx="200">
                  <c:v>-0.96478873239436624</c:v>
                </c:pt>
                <c:pt idx="201">
                  <c:v>0</c:v>
                </c:pt>
                <c:pt idx="202">
                  <c:v>2.5837563451776648</c:v>
                </c:pt>
                <c:pt idx="203">
                  <c:v>-0.69546742209631729</c:v>
                </c:pt>
                <c:pt idx="204">
                  <c:v>0.46046511627906983</c:v>
                </c:pt>
                <c:pt idx="205">
                  <c:v>-0.14012738853503182</c:v>
                </c:pt>
                <c:pt idx="206">
                  <c:v>-0.6518518518518519</c:v>
                </c:pt>
                <c:pt idx="207">
                  <c:v>-1.946808510638298</c:v>
                </c:pt>
                <c:pt idx="208">
                  <c:v>-4.6853932584269664</c:v>
                </c:pt>
                <c:pt idx="209">
                  <c:v>0.59146341463414642</c:v>
                </c:pt>
                <c:pt idx="210">
                  <c:v>-0.29118773946360144</c:v>
                </c:pt>
                <c:pt idx="211">
                  <c:v>-0.24864864864864877</c:v>
                </c:pt>
                <c:pt idx="212">
                  <c:v>0.3633093525179858</c:v>
                </c:pt>
                <c:pt idx="213">
                  <c:v>-0.23218997361477567</c:v>
                </c:pt>
                <c:pt idx="214">
                  <c:v>-0.2371134020618556</c:v>
                </c:pt>
                <c:pt idx="215">
                  <c:v>-1.3513513513513598E-2</c:v>
                </c:pt>
                <c:pt idx="216">
                  <c:v>0.8447488584474887</c:v>
                </c:pt>
                <c:pt idx="217">
                  <c:v>0.83910891089108897</c:v>
                </c:pt>
                <c:pt idx="218">
                  <c:v>-0.62449528936742937</c:v>
                </c:pt>
                <c:pt idx="219">
                  <c:v>0.62724014336917566</c:v>
                </c:pt>
                <c:pt idx="220">
                  <c:v>-0.88546255506607929</c:v>
                </c:pt>
                <c:pt idx="221">
                  <c:v>18.288461538461537</c:v>
                </c:pt>
                <c:pt idx="222">
                  <c:v>-0.27916251246261203</c:v>
                </c:pt>
                <c:pt idx="223">
                  <c:v>-0.31811894882434311</c:v>
                </c:pt>
                <c:pt idx="224">
                  <c:v>0.4989858012170385</c:v>
                </c:pt>
                <c:pt idx="225">
                  <c:v>0.121786197564276</c:v>
                </c:pt>
                <c:pt idx="226">
                  <c:v>-8.4439083232810574E-2</c:v>
                </c:pt>
                <c:pt idx="227">
                  <c:v>0.15810276679841895</c:v>
                </c:pt>
                <c:pt idx="228">
                  <c:v>0.10238907849829348</c:v>
                </c:pt>
                <c:pt idx="229">
                  <c:v>-0.2683178534571723</c:v>
                </c:pt>
                <c:pt idx="230">
                  <c:v>-0.44569816643159377</c:v>
                </c:pt>
                <c:pt idx="231">
                  <c:v>-0.52671755725190839</c:v>
                </c:pt>
                <c:pt idx="232">
                  <c:v>-5.9139784946236618E-2</c:v>
                </c:pt>
                <c:pt idx="233">
                  <c:v>-0.98285714285714287</c:v>
                </c:pt>
                <c:pt idx="234">
                  <c:v>-68.333333333333343</c:v>
                </c:pt>
                <c:pt idx="235">
                  <c:v>-3.222772277227723</c:v>
                </c:pt>
                <c:pt idx="236">
                  <c:v>0.38975501113585742</c:v>
                </c:pt>
                <c:pt idx="237">
                  <c:v>6.0897435897435903E-2</c:v>
                </c:pt>
              </c:numCache>
            </c:numRef>
          </c:xVal>
          <c:yVal>
            <c:numRef>
              <c:f>Filtered_data_expand_reg!$J$31:$J$268</c:f>
              <c:numCache>
                <c:formatCode>General</c:formatCode>
                <c:ptCount val="238"/>
                <c:pt idx="0">
                  <c:v>2.0643175989526058E-2</c:v>
                </c:pt>
                <c:pt idx="1">
                  <c:v>1.162616200990617E-2</c:v>
                </c:pt>
                <c:pt idx="2">
                  <c:v>4.1537519016898693E-2</c:v>
                </c:pt>
                <c:pt idx="3">
                  <c:v>1.2461172735511672E-2</c:v>
                </c:pt>
                <c:pt idx="4">
                  <c:v>1.9036916525245966E-2</c:v>
                </c:pt>
                <c:pt idx="5">
                  <c:v>1.5327344932056874E-2</c:v>
                </c:pt>
                <c:pt idx="6">
                  <c:v>1.7495156068822161E-2</c:v>
                </c:pt>
                <c:pt idx="7">
                  <c:v>1.4727102938270193E-2</c:v>
                </c:pt>
                <c:pt idx="8">
                  <c:v>2.0154752760955998E-2</c:v>
                </c:pt>
                <c:pt idx="9">
                  <c:v>4.0795317990644862E-2</c:v>
                </c:pt>
                <c:pt idx="10">
                  <c:v>2.8684720015551286E-2</c:v>
                </c:pt>
                <c:pt idx="11">
                  <c:v>7.1710473505166763E-3</c:v>
                </c:pt>
                <c:pt idx="12">
                  <c:v>1.106769005787504E-2</c:v>
                </c:pt>
                <c:pt idx="13">
                  <c:v>3.2252486914117667E-2</c:v>
                </c:pt>
                <c:pt idx="14">
                  <c:v>3.5371972108104645E-2</c:v>
                </c:pt>
                <c:pt idx="15">
                  <c:v>2.2100669465428907E-2</c:v>
                </c:pt>
                <c:pt idx="16">
                  <c:v>1.5141263927572746E-2</c:v>
                </c:pt>
                <c:pt idx="17">
                  <c:v>6.6620192292338194E-3</c:v>
                </c:pt>
                <c:pt idx="18">
                  <c:v>2.337976479996224E-2</c:v>
                </c:pt>
                <c:pt idx="19">
                  <c:v>1.9251789017387815E-2</c:v>
                </c:pt>
                <c:pt idx="20">
                  <c:v>2.5250948175912221E-2</c:v>
                </c:pt>
                <c:pt idx="21">
                  <c:v>1.1501383624630955E-2</c:v>
                </c:pt>
                <c:pt idx="22">
                  <c:v>3.1818514685363966E-2</c:v>
                </c:pt>
                <c:pt idx="23">
                  <c:v>1.6692414434191418E-2</c:v>
                </c:pt>
                <c:pt idx="24">
                  <c:v>2.5061567568140063E-2</c:v>
                </c:pt>
                <c:pt idx="25">
                  <c:v>3.1001223038495895E-2</c:v>
                </c:pt>
                <c:pt idx="26">
                  <c:v>1.7247290866246615E-2</c:v>
                </c:pt>
                <c:pt idx="27">
                  <c:v>-1.4044166806871285E-3</c:v>
                </c:pt>
                <c:pt idx="28">
                  <c:v>2.1039975250731861E-2</c:v>
                </c:pt>
                <c:pt idx="29">
                  <c:v>2.0881184781081454E-2</c:v>
                </c:pt>
                <c:pt idx="30">
                  <c:v>3.4042999454558714E-2</c:v>
                </c:pt>
                <c:pt idx="31">
                  <c:v>4.8786410980742573E-2</c:v>
                </c:pt>
                <c:pt idx="32">
                  <c:v>3.1499403578408025E-2</c:v>
                </c:pt>
                <c:pt idx="33">
                  <c:v>2.1914252100854702E-2</c:v>
                </c:pt>
                <c:pt idx="34">
                  <c:v>2.6954608664808585E-2</c:v>
                </c:pt>
                <c:pt idx="35">
                  <c:v>1.4602129539792676E-2</c:v>
                </c:pt>
                <c:pt idx="36">
                  <c:v>2.5714412351209005E-2</c:v>
                </c:pt>
                <c:pt idx="37">
                  <c:v>2.1137132788771395E-2</c:v>
                </c:pt>
                <c:pt idx="38">
                  <c:v>2.8004614834181565E-2</c:v>
                </c:pt>
                <c:pt idx="39">
                  <c:v>-3.0396602707238735E-3</c:v>
                </c:pt>
                <c:pt idx="40">
                  <c:v>1.8291099914286298E-2</c:v>
                </c:pt>
                <c:pt idx="41">
                  <c:v>2.9873196453350726E-2</c:v>
                </c:pt>
                <c:pt idx="42">
                  <c:v>1.2668392708524458E-2</c:v>
                </c:pt>
                <c:pt idx="43">
                  <c:v>2.9125336182947197E-2</c:v>
                </c:pt>
                <c:pt idx="44">
                  <c:v>6.6271440479738174E-3</c:v>
                </c:pt>
                <c:pt idx="45">
                  <c:v>1.7580736599926802E-2</c:v>
                </c:pt>
                <c:pt idx="46">
                  <c:v>1.610347584368764E-2</c:v>
                </c:pt>
                <c:pt idx="47">
                  <c:v>6.3337922323995863E-2</c:v>
                </c:pt>
                <c:pt idx="48">
                  <c:v>3.2771899736543604E-2</c:v>
                </c:pt>
                <c:pt idx="49">
                  <c:v>4.4306848125649244E-2</c:v>
                </c:pt>
                <c:pt idx="50">
                  <c:v>2.4874742183530148E-2</c:v>
                </c:pt>
                <c:pt idx="51">
                  <c:v>3.0760914177672322E-2</c:v>
                </c:pt>
                <c:pt idx="52">
                  <c:v>1.6991514181372361E-2</c:v>
                </c:pt>
                <c:pt idx="53">
                  <c:v>3.3688822973677174E-2</c:v>
                </c:pt>
                <c:pt idx="54">
                  <c:v>2.6469962123374251E-2</c:v>
                </c:pt>
                <c:pt idx="55">
                  <c:v>3.5382972944005671E-2</c:v>
                </c:pt>
                <c:pt idx="56">
                  <c:v>2.4570749161030612E-2</c:v>
                </c:pt>
                <c:pt idx="57">
                  <c:v>2.704219553678E-2</c:v>
                </c:pt>
                <c:pt idx="58">
                  <c:v>9.3100434057787791E-3</c:v>
                </c:pt>
                <c:pt idx="59">
                  <c:v>4.8082118961849246E-3</c:v>
                </c:pt>
                <c:pt idx="60">
                  <c:v>2.9245158200095454E-2</c:v>
                </c:pt>
                <c:pt idx="61">
                  <c:v>-1.4549188274113011E-2</c:v>
                </c:pt>
                <c:pt idx="62">
                  <c:v>3.0497042498864913E-2</c:v>
                </c:pt>
                <c:pt idx="63">
                  <c:v>2.8045974325143809E-2</c:v>
                </c:pt>
                <c:pt idx="64">
                  <c:v>1.6863324273914404E-2</c:v>
                </c:pt>
                <c:pt idx="65">
                  <c:v>2.1502115474736381E-2</c:v>
                </c:pt>
                <c:pt idx="66">
                  <c:v>9.2432936901711074E-3</c:v>
                </c:pt>
                <c:pt idx="67">
                  <c:v>2.1854796735896846E-2</c:v>
                </c:pt>
                <c:pt idx="68">
                  <c:v>2.2454125346507831E-2</c:v>
                </c:pt>
                <c:pt idx="69">
                  <c:v>1.6833736495433484E-2</c:v>
                </c:pt>
                <c:pt idx="70">
                  <c:v>2.6953148576336135E-2</c:v>
                </c:pt>
                <c:pt idx="71">
                  <c:v>2.1324692621131985E-2</c:v>
                </c:pt>
                <c:pt idx="72">
                  <c:v>1.5310246288489903E-2</c:v>
                </c:pt>
                <c:pt idx="73">
                  <c:v>4.1300244447419011E-2</c:v>
                </c:pt>
                <c:pt idx="74">
                  <c:v>2.993379202643235E-2</c:v>
                </c:pt>
                <c:pt idx="75">
                  <c:v>1.144755462263369E-2</c:v>
                </c:pt>
                <c:pt idx="76">
                  <c:v>1.9564764167590603E-2</c:v>
                </c:pt>
                <c:pt idx="77">
                  <c:v>6.3682559909707896E-3</c:v>
                </c:pt>
                <c:pt idx="78">
                  <c:v>2.375887591041196E-2</c:v>
                </c:pt>
                <c:pt idx="79">
                  <c:v>1.1117517708385989E-2</c:v>
                </c:pt>
                <c:pt idx="80">
                  <c:v>1.4773199488112388E-2</c:v>
                </c:pt>
                <c:pt idx="81">
                  <c:v>1.0522877129659209E-2</c:v>
                </c:pt>
                <c:pt idx="82">
                  <c:v>5.4835721621213737E-2</c:v>
                </c:pt>
                <c:pt idx="83">
                  <c:v>5.971193056780072E-2</c:v>
                </c:pt>
                <c:pt idx="84">
                  <c:v>1.7236742683745192E-2</c:v>
                </c:pt>
                <c:pt idx="85">
                  <c:v>1.6043882408339965E-2</c:v>
                </c:pt>
                <c:pt idx="86">
                  <c:v>2.8204649085219177E-2</c:v>
                </c:pt>
                <c:pt idx="87">
                  <c:v>1.7889746348616054E-2</c:v>
                </c:pt>
                <c:pt idx="88">
                  <c:v>1.2205672641957845E-2</c:v>
                </c:pt>
                <c:pt idx="89">
                  <c:v>4.3523520683048794E-2</c:v>
                </c:pt>
                <c:pt idx="90">
                  <c:v>2.7773152551978254E-2</c:v>
                </c:pt>
                <c:pt idx="91">
                  <c:v>-3.784536631166853E-3</c:v>
                </c:pt>
                <c:pt idx="92">
                  <c:v>6.1586443434411518E-3</c:v>
                </c:pt>
                <c:pt idx="93">
                  <c:v>2.8801417712831803E-2</c:v>
                </c:pt>
                <c:pt idx="94">
                  <c:v>-4.3629132829230109E-3</c:v>
                </c:pt>
                <c:pt idx="95">
                  <c:v>6.4633066073867818E-2</c:v>
                </c:pt>
                <c:pt idx="96">
                  <c:v>7.9746631580762291E-3</c:v>
                </c:pt>
                <c:pt idx="97">
                  <c:v>1.7035340878632725E-2</c:v>
                </c:pt>
                <c:pt idx="98">
                  <c:v>-2.1987445063951828E-2</c:v>
                </c:pt>
                <c:pt idx="99">
                  <c:v>1.1740243461067092E-2</c:v>
                </c:pt>
                <c:pt idx="100">
                  <c:v>2.2303205795299583E-2</c:v>
                </c:pt>
                <c:pt idx="101">
                  <c:v>7.0761069892524578E-2</c:v>
                </c:pt>
                <c:pt idx="102">
                  <c:v>-3.953488603046524E-3</c:v>
                </c:pt>
                <c:pt idx="103">
                  <c:v>8.988013203094293E-2</c:v>
                </c:pt>
                <c:pt idx="104">
                  <c:v>4.5738227378080046E-2</c:v>
                </c:pt>
                <c:pt idx="105">
                  <c:v>9.4894439315968415E-3</c:v>
                </c:pt>
                <c:pt idx="106">
                  <c:v>2.3081858166826924E-2</c:v>
                </c:pt>
                <c:pt idx="107">
                  <c:v>5.5636909877438898E-3</c:v>
                </c:pt>
                <c:pt idx="108">
                  <c:v>-2.6461751240241138E-2</c:v>
                </c:pt>
                <c:pt idx="109">
                  <c:v>9.2606058129757959E-3</c:v>
                </c:pt>
                <c:pt idx="110">
                  <c:v>-3.7744090065220323E-3</c:v>
                </c:pt>
                <c:pt idx="111">
                  <c:v>7.7112350297098606E-2</c:v>
                </c:pt>
                <c:pt idx="112">
                  <c:v>-1.3936950823977261E-3</c:v>
                </c:pt>
                <c:pt idx="113">
                  <c:v>0.32978927366402</c:v>
                </c:pt>
                <c:pt idx="114">
                  <c:v>5.0603089638358467E-2</c:v>
                </c:pt>
                <c:pt idx="115">
                  <c:v>2.9449922427951171E-2</c:v>
                </c:pt>
                <c:pt idx="116">
                  <c:v>2.2326293293436123E-2</c:v>
                </c:pt>
                <c:pt idx="117">
                  <c:v>1.4817652255410626E-2</c:v>
                </c:pt>
                <c:pt idx="118">
                  <c:v>3.6518190031248191E-2</c:v>
                </c:pt>
                <c:pt idx="119">
                  <c:v>9.7863549756095191E-3</c:v>
                </c:pt>
                <c:pt idx="120">
                  <c:v>2.6770421983398015E-2</c:v>
                </c:pt>
                <c:pt idx="121">
                  <c:v>4.4090172278071146E-3</c:v>
                </c:pt>
                <c:pt idx="122">
                  <c:v>6.1030650173556612E-2</c:v>
                </c:pt>
                <c:pt idx="123">
                  <c:v>1.0532951655440818E-2</c:v>
                </c:pt>
                <c:pt idx="124">
                  <c:v>3.8027635115207875E-2</c:v>
                </c:pt>
                <c:pt idx="125">
                  <c:v>2.6527630964222868E-2</c:v>
                </c:pt>
                <c:pt idx="126">
                  <c:v>3.1983734517938428E-2</c:v>
                </c:pt>
                <c:pt idx="127">
                  <c:v>4.5366026832481046E-2</c:v>
                </c:pt>
                <c:pt idx="128">
                  <c:v>2.658217777023231E-2</c:v>
                </c:pt>
                <c:pt idx="129">
                  <c:v>-8.6034182907723453E-4</c:v>
                </c:pt>
                <c:pt idx="130">
                  <c:v>5.5550204583926455E-2</c:v>
                </c:pt>
                <c:pt idx="131">
                  <c:v>2.0425030235354469E-2</c:v>
                </c:pt>
                <c:pt idx="132">
                  <c:v>1.4773107072910456E-2</c:v>
                </c:pt>
                <c:pt idx="133">
                  <c:v>3.5043023836999754E-2</c:v>
                </c:pt>
                <c:pt idx="134">
                  <c:v>2.0091470254920814E-2</c:v>
                </c:pt>
                <c:pt idx="135">
                  <c:v>8.6416932145302848E-3</c:v>
                </c:pt>
                <c:pt idx="136">
                  <c:v>2.2835164023099676E-2</c:v>
                </c:pt>
                <c:pt idx="137">
                  <c:v>1.4520554499693633E-2</c:v>
                </c:pt>
                <c:pt idx="138">
                  <c:v>-2.7218216354665634E-2</c:v>
                </c:pt>
                <c:pt idx="139">
                  <c:v>2.0531175238836293E-2</c:v>
                </c:pt>
                <c:pt idx="140">
                  <c:v>3.5880702554961272E-2</c:v>
                </c:pt>
                <c:pt idx="141">
                  <c:v>2.5903834545213153E-2</c:v>
                </c:pt>
                <c:pt idx="142">
                  <c:v>1.8234490535928252E-2</c:v>
                </c:pt>
                <c:pt idx="143">
                  <c:v>1.8896836333685871E-2</c:v>
                </c:pt>
                <c:pt idx="144">
                  <c:v>3.7409376472976763E-2</c:v>
                </c:pt>
                <c:pt idx="145">
                  <c:v>2.544608507264623E-2</c:v>
                </c:pt>
                <c:pt idx="146">
                  <c:v>2.7786802126106479E-2</c:v>
                </c:pt>
                <c:pt idx="147">
                  <c:v>1.0263715643629209E-2</c:v>
                </c:pt>
                <c:pt idx="148">
                  <c:v>4.3536065554178445E-2</c:v>
                </c:pt>
                <c:pt idx="149">
                  <c:v>7.7522956055486123E-3</c:v>
                </c:pt>
                <c:pt idx="150">
                  <c:v>3.5238195554155652E-2</c:v>
                </c:pt>
                <c:pt idx="151">
                  <c:v>4.1850750478771371E-3</c:v>
                </c:pt>
                <c:pt idx="152">
                  <c:v>2.6687810413527985E-2</c:v>
                </c:pt>
                <c:pt idx="153">
                  <c:v>2.1728015310918704E-2</c:v>
                </c:pt>
                <c:pt idx="154">
                  <c:v>4.6970861537309727E-2</c:v>
                </c:pt>
                <c:pt idx="155">
                  <c:v>6.047540984992697E-2</c:v>
                </c:pt>
                <c:pt idx="156">
                  <c:v>-2.2855301873851468E-2</c:v>
                </c:pt>
                <c:pt idx="157">
                  <c:v>4.3969817871045369E-2</c:v>
                </c:pt>
                <c:pt idx="158">
                  <c:v>5.4363613660434108E-2</c:v>
                </c:pt>
                <c:pt idx="159">
                  <c:v>1.2769614928446653E-3</c:v>
                </c:pt>
                <c:pt idx="160">
                  <c:v>4.0840708324308903E-2</c:v>
                </c:pt>
                <c:pt idx="161">
                  <c:v>4.5036136757804539E-2</c:v>
                </c:pt>
                <c:pt idx="162">
                  <c:v>-8.3196780929090525E-3</c:v>
                </c:pt>
                <c:pt idx="163">
                  <c:v>7.8635531450708916E-3</c:v>
                </c:pt>
                <c:pt idx="164">
                  <c:v>3.4207870702805239E-2</c:v>
                </c:pt>
                <c:pt idx="165">
                  <c:v>1.7399056878399245E-2</c:v>
                </c:pt>
                <c:pt idx="166">
                  <c:v>1.6608339467837418E-2</c:v>
                </c:pt>
                <c:pt idx="167">
                  <c:v>2.443345816824713E-2</c:v>
                </c:pt>
                <c:pt idx="168">
                  <c:v>5.2813657597547935E-3</c:v>
                </c:pt>
                <c:pt idx="169">
                  <c:v>0.15501125080602179</c:v>
                </c:pt>
                <c:pt idx="170">
                  <c:v>5.0539869115975515E-2</c:v>
                </c:pt>
                <c:pt idx="171">
                  <c:v>3.6361321322271652E-3</c:v>
                </c:pt>
                <c:pt idx="172">
                  <c:v>-2.8084215081576179E-2</c:v>
                </c:pt>
                <c:pt idx="173">
                  <c:v>2.4651860795608552E-2</c:v>
                </c:pt>
                <c:pt idx="174">
                  <c:v>8.3920555714953778E-3</c:v>
                </c:pt>
                <c:pt idx="175">
                  <c:v>1.0149952919600254E-2</c:v>
                </c:pt>
                <c:pt idx="176">
                  <c:v>-3.2292158823055903E-3</c:v>
                </c:pt>
                <c:pt idx="177">
                  <c:v>1.8748632476330677E-3</c:v>
                </c:pt>
                <c:pt idx="178">
                  <c:v>4.0493544844238595E-2</c:v>
                </c:pt>
                <c:pt idx="179">
                  <c:v>-2.011917082828563E-2</c:v>
                </c:pt>
                <c:pt idx="180">
                  <c:v>3.0438592757022154E-2</c:v>
                </c:pt>
                <c:pt idx="181">
                  <c:v>3.030733625357241E-2</c:v>
                </c:pt>
                <c:pt idx="182">
                  <c:v>3.4875480387015032E-2</c:v>
                </c:pt>
                <c:pt idx="183">
                  <c:v>2.3983937879673414E-2</c:v>
                </c:pt>
                <c:pt idx="184">
                  <c:v>1.9658950531654631E-2</c:v>
                </c:pt>
                <c:pt idx="185">
                  <c:v>2.5123771873079952E-3</c:v>
                </c:pt>
                <c:pt idx="186">
                  <c:v>0.20149682138837421</c:v>
                </c:pt>
                <c:pt idx="187">
                  <c:v>3.0243792144716432E-2</c:v>
                </c:pt>
                <c:pt idx="188">
                  <c:v>2.650496265956458E-2</c:v>
                </c:pt>
                <c:pt idx="189">
                  <c:v>1.540924453973332E-2</c:v>
                </c:pt>
                <c:pt idx="190">
                  <c:v>1.7314058186610928E-2</c:v>
                </c:pt>
                <c:pt idx="191">
                  <c:v>-4.7529645885474904E-3</c:v>
                </c:pt>
                <c:pt idx="192">
                  <c:v>5.1854783610303231E-3</c:v>
                </c:pt>
                <c:pt idx="193">
                  <c:v>2.9043302014993576E-2</c:v>
                </c:pt>
                <c:pt idx="194">
                  <c:v>3.7034000295713299E-2</c:v>
                </c:pt>
                <c:pt idx="195">
                  <c:v>2.3696379113826691E-2</c:v>
                </c:pt>
                <c:pt idx="196">
                  <c:v>-2.2477044454299374E-3</c:v>
                </c:pt>
                <c:pt idx="197">
                  <c:v>2.630018214649215E-2</c:v>
                </c:pt>
                <c:pt idx="198">
                  <c:v>4.0248466149719067E-2</c:v>
                </c:pt>
                <c:pt idx="199">
                  <c:v>2.1868331315542108E-2</c:v>
                </c:pt>
                <c:pt idx="200">
                  <c:v>2.3318364137259694E-2</c:v>
                </c:pt>
                <c:pt idx="201">
                  <c:v>2.5980656672606611E-2</c:v>
                </c:pt>
                <c:pt idx="202">
                  <c:v>2.5793673329737282E-2</c:v>
                </c:pt>
                <c:pt idx="203">
                  <c:v>2.5364317107231499E-2</c:v>
                </c:pt>
                <c:pt idx="204">
                  <c:v>1.1529268743152254E-2</c:v>
                </c:pt>
                <c:pt idx="205">
                  <c:v>3.2394285013587952E-2</c:v>
                </c:pt>
                <c:pt idx="206">
                  <c:v>1.5530612007679058E-2</c:v>
                </c:pt>
                <c:pt idx="207">
                  <c:v>3.2466388621990479E-2</c:v>
                </c:pt>
                <c:pt idx="208">
                  <c:v>1.8327282245457561E-2</c:v>
                </c:pt>
                <c:pt idx="209">
                  <c:v>2.2183206277408316E-2</c:v>
                </c:pt>
                <c:pt idx="210">
                  <c:v>2.8518936504386527E-2</c:v>
                </c:pt>
                <c:pt idx="211">
                  <c:v>1.3738116319534512E-2</c:v>
                </c:pt>
                <c:pt idx="212">
                  <c:v>1.9703186672233315E-2</c:v>
                </c:pt>
                <c:pt idx="213">
                  <c:v>2.6815640972807319E-2</c:v>
                </c:pt>
                <c:pt idx="214">
                  <c:v>2.2559685405126907E-2</c:v>
                </c:pt>
                <c:pt idx="215">
                  <c:v>2.1213258785020291E-2</c:v>
                </c:pt>
                <c:pt idx="216">
                  <c:v>1.4320288600329054E-2</c:v>
                </c:pt>
                <c:pt idx="217">
                  <c:v>2.1058430687901433E-2</c:v>
                </c:pt>
                <c:pt idx="218">
                  <c:v>3.6968986473328538E-2</c:v>
                </c:pt>
                <c:pt idx="219">
                  <c:v>3.06191280182239E-2</c:v>
                </c:pt>
                <c:pt idx="220">
                  <c:v>3.0489038613460102E-2</c:v>
                </c:pt>
                <c:pt idx="221">
                  <c:v>2.4231658040367115E-3</c:v>
                </c:pt>
                <c:pt idx="222">
                  <c:v>3.2363022951492459E-2</c:v>
                </c:pt>
                <c:pt idx="223">
                  <c:v>1.3101553591878182E-2</c:v>
                </c:pt>
                <c:pt idx="224">
                  <c:v>3.9371105321698158E-2</c:v>
                </c:pt>
                <c:pt idx="225">
                  <c:v>1.5283845115086701E-2</c:v>
                </c:pt>
                <c:pt idx="226">
                  <c:v>2.0530671186021105E-2</c:v>
                </c:pt>
                <c:pt idx="227">
                  <c:v>3.0814491521218831E-2</c:v>
                </c:pt>
                <c:pt idx="228">
                  <c:v>2.0685240710092083E-2</c:v>
                </c:pt>
                <c:pt idx="229">
                  <c:v>1.4128763406753694E-2</c:v>
                </c:pt>
                <c:pt idx="230">
                  <c:v>1.567556843044943E-2</c:v>
                </c:pt>
                <c:pt idx="231">
                  <c:v>2.8947343722545968E-2</c:v>
                </c:pt>
                <c:pt idx="232">
                  <c:v>1.5395732616784719E-2</c:v>
                </c:pt>
                <c:pt idx="233">
                  <c:v>1.8658507339176452E-2</c:v>
                </c:pt>
                <c:pt idx="234">
                  <c:v>8.2045921064337318E-3</c:v>
                </c:pt>
                <c:pt idx="235">
                  <c:v>4.2140808188384837E-2</c:v>
                </c:pt>
                <c:pt idx="236">
                  <c:v>-6.0753199068341382E-3</c:v>
                </c:pt>
                <c:pt idx="237">
                  <c:v>1.9548720284574106E-2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E9-4D3D-9A4C-8096794E5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108688"/>
        <c:axId val="704109520"/>
      </c:scatterChart>
      <c:valAx>
        <c:axId val="70410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Russian refinery proxy (NWEMURLCRKMc1)</a:t>
                </a:r>
              </a:p>
            </c:rich>
          </c:tx>
          <c:layout>
            <c:manualLayout>
              <c:xMode val="edge"/>
              <c:yMode val="edge"/>
              <c:x val="0.21200432423925669"/>
              <c:y val="0.93674297983744714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04109520"/>
        <c:crosses val="autoZero"/>
        <c:crossBetween val="midCat"/>
        <c:dispUnits>
          <c:builtInUnit val="hundreds"/>
          <c:dispUnitsLbl>
            <c:layout>
              <c:manualLayout>
                <c:xMode val="edge"/>
                <c:yMode val="edge"/>
                <c:x val="0.74953748700087175"/>
                <c:y val="0.93526633820978067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en-US"/>
                    <a:t> in Hundreds</a:t>
                  </a:r>
                </a:p>
              </c:rich>
            </c:tx>
          </c:dispUnitsLbl>
        </c:dispUnits>
      </c:valAx>
      <c:valAx>
        <c:axId val="704109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Urals loading</a:t>
                </a:r>
              </a:p>
            </c:rich>
          </c:tx>
          <c:layout>
            <c:manualLayout>
              <c:xMode val="edge"/>
              <c:yMode val="edge"/>
              <c:x val="1.8169673634390756E-2"/>
              <c:y val="0.4546001138904434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704108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baseline="0">
                <a:effectLst/>
              </a:rPr>
              <a:t>Regression % VanEck Russian ETF tracker price (Ticker: RSX) vs % change in Urals loading</a:t>
            </a:r>
            <a:endParaRPr lang="en-GB" sz="12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u="none" strike="noStrike" baseline="0">
                <a:effectLst/>
              </a:rPr>
              <a:t>Weekly data (2017- 2021), Data: Refinitiv Eikon, Petrologistics</a:t>
            </a:r>
            <a:endParaRPr lang="en-GB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7014275093813764E-2"/>
          <c:y val="0.19518354658787532"/>
          <c:w val="0.55417850649402456"/>
          <c:h val="0.72061444972424071"/>
        </c:manualLayout>
      </c:layout>
      <c:scatterChart>
        <c:scatterStyle val="lineMarker"/>
        <c:varyColors val="0"/>
        <c:ser>
          <c:idx val="0"/>
          <c:order val="0"/>
          <c:tx>
            <c:v>Urals loading</c:v>
          </c:tx>
          <c:spPr>
            <a:ln w="19050">
              <a:noFill/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6106303858014218"/>
                  <c:y val="0.20030395144229837"/>
                </c:manualLayout>
              </c:layout>
              <c:numFmt formatCode="General" sourceLinked="0"/>
            </c:trendlineLbl>
          </c:trendline>
          <c:xVal>
            <c:numRef>
              <c:f>Filtered_data_expand_reg!$E$4:$E$241</c:f>
              <c:numCache>
                <c:formatCode>0.000</c:formatCode>
                <c:ptCount val="238"/>
                <c:pt idx="0">
                  <c:v>-3.2527881040892437E-3</c:v>
                </c:pt>
                <c:pt idx="1">
                  <c:v>-1.7249417249417309E-2</c:v>
                </c:pt>
                <c:pt idx="2">
                  <c:v>4.743833017077792E-2</c:v>
                </c:pt>
                <c:pt idx="3">
                  <c:v>-1.26811594202898E-2</c:v>
                </c:pt>
                <c:pt idx="4">
                  <c:v>-3.2110091743119407E-3</c:v>
                </c:pt>
                <c:pt idx="5">
                  <c:v>-2.3469857340082889E-2</c:v>
                </c:pt>
                <c:pt idx="6">
                  <c:v>-2.3091423185673809E-2</c:v>
                </c:pt>
                <c:pt idx="7">
                  <c:v>-8.2006753497347873E-3</c:v>
                </c:pt>
                <c:pt idx="8">
                  <c:v>-5.1556420233462963E-2</c:v>
                </c:pt>
                <c:pt idx="9">
                  <c:v>7.128205128205134E-2</c:v>
                </c:pt>
                <c:pt idx="10">
                  <c:v>2.872187649592961E-3</c:v>
                </c:pt>
                <c:pt idx="11">
                  <c:v>-1.3365155131264794E-2</c:v>
                </c:pt>
                <c:pt idx="12">
                  <c:v>-3.3865505563619447E-3</c:v>
                </c:pt>
                <c:pt idx="13">
                  <c:v>3.9880358923232162E-3</c:v>
                </c:pt>
                <c:pt idx="14">
                  <c:v>3.6742800397219444E-2</c:v>
                </c:pt>
                <c:pt idx="15">
                  <c:v>-2.6819923371647403E-2</c:v>
                </c:pt>
                <c:pt idx="16">
                  <c:v>6.8897637795275468E-3</c:v>
                </c:pt>
                <c:pt idx="17">
                  <c:v>-9.7751710654936375E-3</c:v>
                </c:pt>
                <c:pt idx="18">
                  <c:v>2.4679170779859927E-3</c:v>
                </c:pt>
                <c:pt idx="19">
                  <c:v>-3.0526834071885611E-2</c:v>
                </c:pt>
                <c:pt idx="20">
                  <c:v>-1.523616048755716E-2</c:v>
                </c:pt>
                <c:pt idx="21">
                  <c:v>-3.3006704486848948E-2</c:v>
                </c:pt>
                <c:pt idx="22">
                  <c:v>5.3333333333334121E-3</c:v>
                </c:pt>
                <c:pt idx="23">
                  <c:v>1.6976127320954992E-2</c:v>
                </c:pt>
                <c:pt idx="24">
                  <c:v>-4.6948356807513525E-3</c:v>
                </c:pt>
                <c:pt idx="25">
                  <c:v>5.9224318658281039E-2</c:v>
                </c:pt>
                <c:pt idx="26">
                  <c:v>-1.0390895596239513E-2</c:v>
                </c:pt>
                <c:pt idx="27">
                  <c:v>-1.0000000000000009E-3</c:v>
                </c:pt>
                <c:pt idx="28">
                  <c:v>7.0070070070069601E-3</c:v>
                </c:pt>
                <c:pt idx="29">
                  <c:v>-7.9522862823061535E-3</c:v>
                </c:pt>
                <c:pt idx="30">
                  <c:v>1.503006012024044E-2</c:v>
                </c:pt>
                <c:pt idx="31">
                  <c:v>2.3692003948667217E-2</c:v>
                </c:pt>
                <c:pt idx="32">
                  <c:v>4.0983606557377206E-2</c:v>
                </c:pt>
                <c:pt idx="33">
                  <c:v>1.8527095877720612E-3</c:v>
                </c:pt>
                <c:pt idx="34">
                  <c:v>1.4794267221451607E-2</c:v>
                </c:pt>
                <c:pt idx="35">
                  <c:v>-5.4669703872437525E-3</c:v>
                </c:pt>
                <c:pt idx="36">
                  <c:v>2.1071919377004145E-2</c:v>
                </c:pt>
                <c:pt idx="37">
                  <c:v>-7.1781067743382776E-3</c:v>
                </c:pt>
                <c:pt idx="38">
                  <c:v>1.9430637144148166E-2</c:v>
                </c:pt>
                <c:pt idx="39">
                  <c:v>-2.5265957446808485E-2</c:v>
                </c:pt>
                <c:pt idx="40">
                  <c:v>-9.5497953615278908E-3</c:v>
                </c:pt>
                <c:pt idx="41">
                  <c:v>2.2956841138659367E-2</c:v>
                </c:pt>
                <c:pt idx="42">
                  <c:v>-1.5709156193895901E-2</c:v>
                </c:pt>
                <c:pt idx="43">
                  <c:v>2.5079799361605204E-2</c:v>
                </c:pt>
                <c:pt idx="44">
                  <c:v>-4.5373665480426983E-2</c:v>
                </c:pt>
                <c:pt idx="45">
                  <c:v>5.1258154706430581E-3</c:v>
                </c:pt>
                <c:pt idx="46">
                  <c:v>1.6689847009735637E-2</c:v>
                </c:pt>
                <c:pt idx="47">
                  <c:v>-3.7391700866393096E-2</c:v>
                </c:pt>
                <c:pt idx="48">
                  <c:v>4.7370914258646479E-3</c:v>
                </c:pt>
                <c:pt idx="49">
                  <c:v>6.8363979255068319E-2</c:v>
                </c:pt>
                <c:pt idx="50">
                  <c:v>2.8684907325684073E-2</c:v>
                </c:pt>
                <c:pt idx="51">
                  <c:v>-4.2900042900029245E-4</c:v>
                </c:pt>
                <c:pt idx="52">
                  <c:v>1.3304721030042765E-2</c:v>
                </c:pt>
                <c:pt idx="53">
                  <c:v>-2.6683608640406531E-2</c:v>
                </c:pt>
                <c:pt idx="54">
                  <c:v>-5.7006092254134E-2</c:v>
                </c:pt>
                <c:pt idx="55">
                  <c:v>6.0913705583756084E-2</c:v>
                </c:pt>
                <c:pt idx="56">
                  <c:v>-2.146464646464652E-2</c:v>
                </c:pt>
                <c:pt idx="57">
                  <c:v>9.8924731182796766E-3</c:v>
                </c:pt>
                <c:pt idx="58">
                  <c:v>-2.8534923339011975E-2</c:v>
                </c:pt>
                <c:pt idx="59">
                  <c:v>-1.3590530469092421E-2</c:v>
                </c:pt>
                <c:pt idx="60">
                  <c:v>-1.6270888302550413E-2</c:v>
                </c:pt>
                <c:pt idx="61">
                  <c:v>-8.8958426464014417E-2</c:v>
                </c:pt>
                <c:pt idx="62">
                  <c:v>3.0421982335623321E-2</c:v>
                </c:pt>
                <c:pt idx="63">
                  <c:v>1.3809523809523716E-2</c:v>
                </c:pt>
                <c:pt idx="64">
                  <c:v>-7.0455612963832293E-3</c:v>
                </c:pt>
                <c:pt idx="65">
                  <c:v>1.7029328287606393E-2</c:v>
                </c:pt>
                <c:pt idx="66">
                  <c:v>-6.9767441860464352E-3</c:v>
                </c:pt>
                <c:pt idx="67">
                  <c:v>-3.7470725995316645E-3</c:v>
                </c:pt>
                <c:pt idx="68">
                  <c:v>6.11189468735307E-3</c:v>
                </c:pt>
                <c:pt idx="69">
                  <c:v>-1.7757009345794383E-2</c:v>
                </c:pt>
                <c:pt idx="70">
                  <c:v>-3.0922930542340521E-2</c:v>
                </c:pt>
                <c:pt idx="71">
                  <c:v>2.5036818851251752E-2</c:v>
                </c:pt>
                <c:pt idx="72">
                  <c:v>1.7241379310344751E-2</c:v>
                </c:pt>
                <c:pt idx="73">
                  <c:v>2.6836158192090398E-2</c:v>
                </c:pt>
                <c:pt idx="74">
                  <c:v>-9.1701054562121076E-4</c:v>
                </c:pt>
                <c:pt idx="75">
                  <c:v>-3.4419458467186748E-2</c:v>
                </c:pt>
                <c:pt idx="76">
                  <c:v>1.7110266159695797E-2</c:v>
                </c:pt>
                <c:pt idx="77">
                  <c:v>-8.5046728971962637E-2</c:v>
                </c:pt>
                <c:pt idx="78">
                  <c:v>1.3278855975485282E-2</c:v>
                </c:pt>
                <c:pt idx="79">
                  <c:v>4.0322580645162365E-3</c:v>
                </c:pt>
                <c:pt idx="80">
                  <c:v>5.5220883534137233E-3</c:v>
                </c:pt>
                <c:pt idx="81">
                  <c:v>-4.2436345481777438E-2</c:v>
                </c:pt>
                <c:pt idx="82">
                  <c:v>5.2137643378519227E-2</c:v>
                </c:pt>
                <c:pt idx="83">
                  <c:v>4.658077304261643E-2</c:v>
                </c:pt>
                <c:pt idx="84">
                  <c:v>2.0833333333333259E-2</c:v>
                </c:pt>
                <c:pt idx="85">
                  <c:v>-1.6697588126159513E-2</c:v>
                </c:pt>
                <c:pt idx="86">
                  <c:v>-1.8867924528301883E-3</c:v>
                </c:pt>
                <c:pt idx="87">
                  <c:v>-1.3232514177693777E-2</c:v>
                </c:pt>
                <c:pt idx="88">
                  <c:v>-2.8256704980842873E-2</c:v>
                </c:pt>
                <c:pt idx="89">
                  <c:v>1.5771315919171913E-2</c:v>
                </c:pt>
                <c:pt idx="90">
                  <c:v>1.9408054342552328E-2</c:v>
                </c:pt>
                <c:pt idx="91">
                  <c:v>-2.6653974297953464E-2</c:v>
                </c:pt>
                <c:pt idx="92">
                  <c:v>0</c:v>
                </c:pt>
                <c:pt idx="93">
                  <c:v>1.2713936430317929E-2</c:v>
                </c:pt>
                <c:pt idx="94">
                  <c:v>-2.3177209077740235E-2</c:v>
                </c:pt>
                <c:pt idx="95">
                  <c:v>-7.9584775086505188E-2</c:v>
                </c:pt>
                <c:pt idx="96">
                  <c:v>5.853920515574651E-2</c:v>
                </c:pt>
                <c:pt idx="97">
                  <c:v>1.7757483510908001E-2</c:v>
                </c:pt>
                <c:pt idx="98">
                  <c:v>2.243270189431712E-2</c:v>
                </c:pt>
                <c:pt idx="99">
                  <c:v>1.1214041930765362E-2</c:v>
                </c:pt>
                <c:pt idx="100">
                  <c:v>1.8322082931533368E-2</c:v>
                </c:pt>
                <c:pt idx="101">
                  <c:v>-1.7045454545454475E-2</c:v>
                </c:pt>
                <c:pt idx="102">
                  <c:v>-1.3969171483622533E-2</c:v>
                </c:pt>
                <c:pt idx="103">
                  <c:v>1.2701514411333825E-2</c:v>
                </c:pt>
                <c:pt idx="104">
                  <c:v>-1.3989387361312056E-2</c:v>
                </c:pt>
                <c:pt idx="105">
                  <c:v>3.4705007436787172E-2</c:v>
                </c:pt>
                <c:pt idx="106">
                  <c:v>1.4374700527071127E-3</c:v>
                </c:pt>
                <c:pt idx="107">
                  <c:v>-1.4354066985645786E-2</c:v>
                </c:pt>
                <c:pt idx="108">
                  <c:v>2.8640776699029091E-2</c:v>
                </c:pt>
                <c:pt idx="109">
                  <c:v>1.2269938650306678E-2</c:v>
                </c:pt>
                <c:pt idx="110">
                  <c:v>-1.4265991716520876E-2</c:v>
                </c:pt>
                <c:pt idx="111">
                  <c:v>6.5359477124180554E-3</c:v>
                </c:pt>
                <c:pt idx="112">
                  <c:v>-1.9480519480519431E-2</c:v>
                </c:pt>
                <c:pt idx="113">
                  <c:v>2.3651844843897818E-2</c:v>
                </c:pt>
                <c:pt idx="114">
                  <c:v>3.1423290203327126E-2</c:v>
                </c:pt>
                <c:pt idx="115">
                  <c:v>2.1057347670250914E-2</c:v>
                </c:pt>
                <c:pt idx="116">
                  <c:v>3.8174637999122574E-2</c:v>
                </c:pt>
                <c:pt idx="117">
                  <c:v>-1.2679628064243831E-3</c:v>
                </c:pt>
                <c:pt idx="118">
                  <c:v>9.3101988997039697E-3</c:v>
                </c:pt>
                <c:pt idx="119">
                  <c:v>2.9350104821803669E-3</c:v>
                </c:pt>
                <c:pt idx="120">
                  <c:v>-1.0869565217391353E-2</c:v>
                </c:pt>
                <c:pt idx="121">
                  <c:v>-8.4530853761621838E-4</c:v>
                </c:pt>
                <c:pt idx="122">
                  <c:v>-4.5262267343485596E-2</c:v>
                </c:pt>
                <c:pt idx="123">
                  <c:v>-8.4182543198937365E-3</c:v>
                </c:pt>
                <c:pt idx="124">
                  <c:v>-4.0661304736371751E-2</c:v>
                </c:pt>
                <c:pt idx="125">
                  <c:v>1.2575687005123459E-2</c:v>
                </c:pt>
                <c:pt idx="126">
                  <c:v>2.3919043238270543E-2</c:v>
                </c:pt>
                <c:pt idx="127">
                  <c:v>3.638814016172498E-2</c:v>
                </c:pt>
                <c:pt idx="128">
                  <c:v>2.3407022106632036E-2</c:v>
                </c:pt>
                <c:pt idx="129">
                  <c:v>-7.6238881829733263E-3</c:v>
                </c:pt>
                <c:pt idx="130">
                  <c:v>-1.9206145966709331E-2</c:v>
                </c:pt>
                <c:pt idx="131">
                  <c:v>-2.0452567449956383E-2</c:v>
                </c:pt>
                <c:pt idx="132">
                  <c:v>1.8214127054642315E-2</c:v>
                </c:pt>
                <c:pt idx="133">
                  <c:v>4.3630017452005454E-3</c:v>
                </c:pt>
                <c:pt idx="134">
                  <c:v>4.7350130321459627E-2</c:v>
                </c:pt>
                <c:pt idx="135">
                  <c:v>2.6545002073828261E-2</c:v>
                </c:pt>
                <c:pt idx="136">
                  <c:v>8.8888888888889461E-3</c:v>
                </c:pt>
                <c:pt idx="137">
                  <c:v>-9.6115338406086437E-3</c:v>
                </c:pt>
                <c:pt idx="138">
                  <c:v>-4.043671653861769E-3</c:v>
                </c:pt>
                <c:pt idx="139">
                  <c:v>0</c:v>
                </c:pt>
                <c:pt idx="140">
                  <c:v>4.5361667347772805E-2</c:v>
                </c:pt>
                <c:pt idx="141">
                  <c:v>1.6419077404222104E-2</c:v>
                </c:pt>
                <c:pt idx="142">
                  <c:v>-3.6153846153846203E-2</c:v>
                </c:pt>
                <c:pt idx="143">
                  <c:v>1.5961691939345712E-3</c:v>
                </c:pt>
                <c:pt idx="144">
                  <c:v>3.6254980079681198E-2</c:v>
                </c:pt>
                <c:pt idx="145">
                  <c:v>2.1530180699730783E-2</c:v>
                </c:pt>
                <c:pt idx="146">
                  <c:v>-2.6721866767030478E-2</c:v>
                </c:pt>
                <c:pt idx="147">
                  <c:v>-4.8723897911832847E-2</c:v>
                </c:pt>
                <c:pt idx="148">
                  <c:v>0</c:v>
                </c:pt>
                <c:pt idx="149">
                  <c:v>7.7235772357722166E-3</c:v>
                </c:pt>
                <c:pt idx="150">
                  <c:v>0</c:v>
                </c:pt>
                <c:pt idx="151">
                  <c:v>-0.13795885437676481</c:v>
                </c:pt>
                <c:pt idx="152">
                  <c:v>-3.509592887225077E-2</c:v>
                </c:pt>
                <c:pt idx="153">
                  <c:v>-0.15906886517943752</c:v>
                </c:pt>
                <c:pt idx="154">
                  <c:v>-0.14648212226066892</c:v>
                </c:pt>
                <c:pt idx="155">
                  <c:v>9.6621621621621578E-2</c:v>
                </c:pt>
                <c:pt idx="156">
                  <c:v>9.488601355514481E-2</c:v>
                </c:pt>
                <c:pt idx="157">
                  <c:v>-2.1299254526091715E-2</c:v>
                </c:pt>
                <c:pt idx="158">
                  <c:v>1.6322089227420733E-3</c:v>
                </c:pt>
                <c:pt idx="159">
                  <c:v>-2.4276859504132164E-2</c:v>
                </c:pt>
                <c:pt idx="160">
                  <c:v>6.6172578083642186E-2</c:v>
                </c:pt>
                <c:pt idx="161">
                  <c:v>2.3833167825223489E-2</c:v>
                </c:pt>
                <c:pt idx="162">
                  <c:v>3.8797284190106751E-2</c:v>
                </c:pt>
                <c:pt idx="163">
                  <c:v>-3.3460803059273125E-3</c:v>
                </c:pt>
                <c:pt idx="164">
                  <c:v>1.534772182254196E-2</c:v>
                </c:pt>
                <c:pt idx="165">
                  <c:v>0</c:v>
                </c:pt>
                <c:pt idx="166">
                  <c:v>-9.3327111525898232E-3</c:v>
                </c:pt>
                <c:pt idx="167">
                  <c:v>4.8987282147903821E-2</c:v>
                </c:pt>
                <c:pt idx="168">
                  <c:v>-1.6614279299506096E-2</c:v>
                </c:pt>
                <c:pt idx="169">
                  <c:v>2.7853881278538939E-2</c:v>
                </c:pt>
                <c:pt idx="170">
                  <c:v>4.3980453131941211E-2</c:v>
                </c:pt>
                <c:pt idx="171">
                  <c:v>-3.8723404255319172E-2</c:v>
                </c:pt>
                <c:pt idx="172">
                  <c:v>4.4267374944666482E-3</c:v>
                </c:pt>
                <c:pt idx="173">
                  <c:v>-2.8206258263552275E-2</c:v>
                </c:pt>
                <c:pt idx="174">
                  <c:v>-1.5419501133786873E-2</c:v>
                </c:pt>
                <c:pt idx="175">
                  <c:v>7.369875633348677E-3</c:v>
                </c:pt>
                <c:pt idx="176">
                  <c:v>-4.6181984453589453E-2</c:v>
                </c:pt>
                <c:pt idx="177">
                  <c:v>-7.6701821668264669E-3</c:v>
                </c:pt>
                <c:pt idx="178">
                  <c:v>2.3671497584541124E-2</c:v>
                </c:pt>
                <c:pt idx="179">
                  <c:v>-2.17083529966966E-2</c:v>
                </c:pt>
                <c:pt idx="180">
                  <c:v>3.4249879401833105E-2</c:v>
                </c:pt>
                <c:pt idx="181">
                  <c:v>-9.2583955223880743E-2</c:v>
                </c:pt>
                <c:pt idx="182">
                  <c:v>0.10203032639424325</c:v>
                </c:pt>
                <c:pt idx="183">
                  <c:v>4.664179104477606E-2</c:v>
                </c:pt>
                <c:pt idx="184">
                  <c:v>1.559714795008893E-2</c:v>
                </c:pt>
                <c:pt idx="185">
                  <c:v>2.4133391838525808E-2</c:v>
                </c:pt>
                <c:pt idx="186">
                  <c:v>3.5989717223650297E-2</c:v>
                </c:pt>
                <c:pt idx="187">
                  <c:v>3.8047973531844637E-2</c:v>
                </c:pt>
                <c:pt idx="188">
                  <c:v>-1.5936254980081221E-3</c:v>
                </c:pt>
                <c:pt idx="189">
                  <c:v>6.7908902691511397E-2</c:v>
                </c:pt>
                <c:pt idx="190">
                  <c:v>-3.489724699495933E-3</c:v>
                </c:pt>
                <c:pt idx="191">
                  <c:v>-4.0077821011673009E-2</c:v>
                </c:pt>
                <c:pt idx="192">
                  <c:v>-4.1345764085934489E-2</c:v>
                </c:pt>
                <c:pt idx="193">
                  <c:v>5.412262156448211E-2</c:v>
                </c:pt>
                <c:pt idx="194">
                  <c:v>1.9253910950661979E-2</c:v>
                </c:pt>
                <c:pt idx="195">
                  <c:v>3.1483667847302943E-3</c:v>
                </c:pt>
                <c:pt idx="196">
                  <c:v>-4.0015692428403304E-2</c:v>
                </c:pt>
                <c:pt idx="197">
                  <c:v>4.3727012668573817E-2</c:v>
                </c:pt>
                <c:pt idx="198">
                  <c:v>4.8551292090837972E-2</c:v>
                </c:pt>
                <c:pt idx="199">
                  <c:v>-3.3233756534727377E-2</c:v>
                </c:pt>
                <c:pt idx="200">
                  <c:v>-1.1587485515643148E-2</c:v>
                </c:pt>
                <c:pt idx="201">
                  <c:v>-2.34375E-2</c:v>
                </c:pt>
                <c:pt idx="202">
                  <c:v>5.2400000000000002E-2</c:v>
                </c:pt>
                <c:pt idx="203">
                  <c:v>1.330292664386179E-2</c:v>
                </c:pt>
                <c:pt idx="204">
                  <c:v>-2.6631657914478635E-2</c:v>
                </c:pt>
                <c:pt idx="205">
                  <c:v>5.8574181117533763E-2</c:v>
                </c:pt>
                <c:pt idx="206">
                  <c:v>-8.0087368037858875E-3</c:v>
                </c:pt>
                <c:pt idx="207">
                  <c:v>5.3211009174312096E-3</c:v>
                </c:pt>
                <c:pt idx="208">
                  <c:v>2.682971345135976E-2</c:v>
                </c:pt>
                <c:pt idx="209">
                  <c:v>2.9150373266974672E-2</c:v>
                </c:pt>
                <c:pt idx="210">
                  <c:v>1.899827288428324E-2</c:v>
                </c:pt>
                <c:pt idx="211">
                  <c:v>-2.3389830508474652E-2</c:v>
                </c:pt>
                <c:pt idx="212">
                  <c:v>1.8396390142311647E-2</c:v>
                </c:pt>
                <c:pt idx="213">
                  <c:v>-6.8166325835039565E-4</c:v>
                </c:pt>
                <c:pt idx="214">
                  <c:v>-1.6712141882674003E-2</c:v>
                </c:pt>
                <c:pt idx="215">
                  <c:v>-1.7689906347554518E-2</c:v>
                </c:pt>
                <c:pt idx="216">
                  <c:v>-4.9435028248587809E-3</c:v>
                </c:pt>
                <c:pt idx="217">
                  <c:v>2.0936834634492474E-2</c:v>
                </c:pt>
                <c:pt idx="218">
                  <c:v>4.5185957594715553E-3</c:v>
                </c:pt>
                <c:pt idx="219">
                  <c:v>1.2802768166090051E-2</c:v>
                </c:pt>
                <c:pt idx="220">
                  <c:v>-2.9723266142808402E-2</c:v>
                </c:pt>
                <c:pt idx="221">
                  <c:v>2.5352112676056526E-2</c:v>
                </c:pt>
                <c:pt idx="222">
                  <c:v>3.6401098901098772E-2</c:v>
                </c:pt>
                <c:pt idx="223">
                  <c:v>-1.2259774685221991E-2</c:v>
                </c:pt>
                <c:pt idx="224">
                  <c:v>7.0446159007044873E-3</c:v>
                </c:pt>
                <c:pt idx="225">
                  <c:v>3.6642238507660352E-3</c:v>
                </c:pt>
                <c:pt idx="226">
                  <c:v>9.6249585131098492E-3</c:v>
                </c:pt>
                <c:pt idx="227">
                  <c:v>5.1610782380012932E-2</c:v>
                </c:pt>
                <c:pt idx="228">
                  <c:v>2.0318849640512671E-2</c:v>
                </c:pt>
                <c:pt idx="229">
                  <c:v>9.1911764705887578E-4</c:v>
                </c:pt>
                <c:pt idx="230">
                  <c:v>-2.0508111417202324E-2</c:v>
                </c:pt>
                <c:pt idx="231">
                  <c:v>-2.1875000000000089E-3</c:v>
                </c:pt>
                <c:pt idx="232">
                  <c:v>-2.0670216097713801E-2</c:v>
                </c:pt>
                <c:pt idx="233">
                  <c:v>-4.3172369683402545E-2</c:v>
                </c:pt>
                <c:pt idx="234">
                  <c:v>-7.5200534759358284E-2</c:v>
                </c:pt>
                <c:pt idx="235">
                  <c:v>4.1741958800144419E-2</c:v>
                </c:pt>
                <c:pt idx="236">
                  <c:v>-2.6539462272333059E-2</c:v>
                </c:pt>
                <c:pt idx="237">
                  <c:v>-2.1739130434782594E-2</c:v>
                </c:pt>
              </c:numCache>
            </c:numRef>
          </c:xVal>
          <c:yVal>
            <c:numRef>
              <c:f>Filtered_data_expand_reg!$G$4:$G$241</c:f>
              <c:numCache>
                <c:formatCode>0.000</c:formatCode>
                <c:ptCount val="238"/>
                <c:pt idx="0">
                  <c:v>6.374236733922034E-2</c:v>
                </c:pt>
                <c:pt idx="1">
                  <c:v>-6.9577381799054261E-2</c:v>
                </c:pt>
                <c:pt idx="2">
                  <c:v>-3.2640243025142679E-2</c:v>
                </c:pt>
                <c:pt idx="3">
                  <c:v>0.15472414485550567</c:v>
                </c:pt>
                <c:pt idx="4">
                  <c:v>-4.1196487061209153E-2</c:v>
                </c:pt>
                <c:pt idx="5">
                  <c:v>0.17402808976503037</c:v>
                </c:pt>
                <c:pt idx="6">
                  <c:v>0.10639211379737912</c:v>
                </c:pt>
                <c:pt idx="7">
                  <c:v>-0.24107527078096325</c:v>
                </c:pt>
                <c:pt idx="8">
                  <c:v>-6.3629395628308716E-2</c:v>
                </c:pt>
                <c:pt idx="9">
                  <c:v>0.30493137389590363</c:v>
                </c:pt>
                <c:pt idx="10">
                  <c:v>-9.9694088146233595E-2</c:v>
                </c:pt>
                <c:pt idx="11">
                  <c:v>4.9202239693840744E-2</c:v>
                </c:pt>
                <c:pt idx="12">
                  <c:v>-5.7338704383473105E-2</c:v>
                </c:pt>
                <c:pt idx="13">
                  <c:v>-0.22401247205316632</c:v>
                </c:pt>
                <c:pt idx="14">
                  <c:v>7.6149285977955339E-2</c:v>
                </c:pt>
                <c:pt idx="15">
                  <c:v>-0.23985292129727365</c:v>
                </c:pt>
                <c:pt idx="16">
                  <c:v>0.27851441062209092</c:v>
                </c:pt>
                <c:pt idx="17">
                  <c:v>9.3209512366019931E-2</c:v>
                </c:pt>
                <c:pt idx="18">
                  <c:v>-0.13874585480202728</c:v>
                </c:pt>
                <c:pt idx="19">
                  <c:v>-0.24798440302572866</c:v>
                </c:pt>
                <c:pt idx="20">
                  <c:v>5.7908757271350586E-2</c:v>
                </c:pt>
                <c:pt idx="21">
                  <c:v>0.45176735480827146</c:v>
                </c:pt>
                <c:pt idx="22">
                  <c:v>-0.22900369271421805</c:v>
                </c:pt>
                <c:pt idx="23">
                  <c:v>-9.7515808844483409E-2</c:v>
                </c:pt>
                <c:pt idx="24">
                  <c:v>-6.3114629752217377E-2</c:v>
                </c:pt>
                <c:pt idx="25">
                  <c:v>0.14647427994777207</c:v>
                </c:pt>
                <c:pt idx="26">
                  <c:v>0.3100288529003139</c:v>
                </c:pt>
                <c:pt idx="27">
                  <c:v>-0.20024269284474439</c:v>
                </c:pt>
                <c:pt idx="28">
                  <c:v>-0.24233667381361212</c:v>
                </c:pt>
                <c:pt idx="29">
                  <c:v>0.50448198944331679</c:v>
                </c:pt>
                <c:pt idx="30">
                  <c:v>3.8922328603336886E-3</c:v>
                </c:pt>
                <c:pt idx="31">
                  <c:v>-0.14904448957568295</c:v>
                </c:pt>
                <c:pt idx="32">
                  <c:v>0.26265966133675001</c:v>
                </c:pt>
                <c:pt idx="33">
                  <c:v>-0.14457564942087564</c:v>
                </c:pt>
                <c:pt idx="34">
                  <c:v>-6.7014366600345099E-2</c:v>
                </c:pt>
                <c:pt idx="35">
                  <c:v>0.17082776682243761</c:v>
                </c:pt>
                <c:pt idx="36">
                  <c:v>-2.7218942531175738E-2</c:v>
                </c:pt>
                <c:pt idx="37">
                  <c:v>0.13198899319506019</c:v>
                </c:pt>
                <c:pt idx="38">
                  <c:v>-0.12574177936326447</c:v>
                </c:pt>
                <c:pt idx="39">
                  <c:v>4.9332950956061383E-2</c:v>
                </c:pt>
                <c:pt idx="40">
                  <c:v>-0.15981484600416374</c:v>
                </c:pt>
                <c:pt idx="41">
                  <c:v>-5.6147842941778436E-2</c:v>
                </c:pt>
                <c:pt idx="42">
                  <c:v>0.19138308523306824</c:v>
                </c:pt>
                <c:pt idx="43">
                  <c:v>-0.24145184682630827</c:v>
                </c:pt>
                <c:pt idx="44">
                  <c:v>0.1229370475707674</c:v>
                </c:pt>
                <c:pt idx="45">
                  <c:v>-0.26101682549056582</c:v>
                </c:pt>
                <c:pt idx="46">
                  <c:v>0.98023452515681675</c:v>
                </c:pt>
                <c:pt idx="47">
                  <c:v>-0.2052681539008735</c:v>
                </c:pt>
                <c:pt idx="48">
                  <c:v>-0.19380487155676407</c:v>
                </c:pt>
                <c:pt idx="49">
                  <c:v>-0.23526110652294241</c:v>
                </c:pt>
                <c:pt idx="50">
                  <c:v>0.571186628275824</c:v>
                </c:pt>
                <c:pt idx="51">
                  <c:v>-2.1841314117574839E-2</c:v>
                </c:pt>
                <c:pt idx="52">
                  <c:v>-3.1885734273278454E-2</c:v>
                </c:pt>
                <c:pt idx="53">
                  <c:v>-0.31856331377488967</c:v>
                </c:pt>
                <c:pt idx="54">
                  <c:v>0.77252748703919116</c:v>
                </c:pt>
                <c:pt idx="55">
                  <c:v>-0.29979769633962927</c:v>
                </c:pt>
                <c:pt idx="56">
                  <c:v>4.6875369765686292E-2</c:v>
                </c:pt>
                <c:pt idx="57">
                  <c:v>-7.6978487502075588E-2</c:v>
                </c:pt>
                <c:pt idx="58">
                  <c:v>0.10459623186338107</c:v>
                </c:pt>
                <c:pt idx="59">
                  <c:v>-0.16197111998287583</c:v>
                </c:pt>
                <c:pt idx="60">
                  <c:v>0.17592276827397102</c:v>
                </c:pt>
                <c:pt idx="61">
                  <c:v>2.9713359148964003E-3</c:v>
                </c:pt>
                <c:pt idx="62">
                  <c:v>-0.10049912375329528</c:v>
                </c:pt>
                <c:pt idx="63">
                  <c:v>-3.5688725445889968E-2</c:v>
                </c:pt>
                <c:pt idx="64">
                  <c:v>-7.7802021574578939E-3</c:v>
                </c:pt>
                <c:pt idx="65">
                  <c:v>0.16097403220942796</c:v>
                </c:pt>
                <c:pt idx="66">
                  <c:v>-0.19787309206896009</c:v>
                </c:pt>
                <c:pt idx="67">
                  <c:v>1.9355352019896799E-2</c:v>
                </c:pt>
                <c:pt idx="68">
                  <c:v>-0.11192309402989487</c:v>
                </c:pt>
                <c:pt idx="69">
                  <c:v>0.15210129199046984</c:v>
                </c:pt>
                <c:pt idx="70">
                  <c:v>7.4524472747127701E-2</c:v>
                </c:pt>
                <c:pt idx="71">
                  <c:v>-4.333299226294951E-2</c:v>
                </c:pt>
                <c:pt idx="72">
                  <c:v>-2.3167208987580734E-2</c:v>
                </c:pt>
                <c:pt idx="73">
                  <c:v>-0.28399246253862664</c:v>
                </c:pt>
                <c:pt idx="74">
                  <c:v>0.52122088225672569</c:v>
                </c:pt>
                <c:pt idx="75">
                  <c:v>0.13531640419056523</c:v>
                </c:pt>
                <c:pt idx="76">
                  <c:v>-0.30188694023977491</c:v>
                </c:pt>
                <c:pt idx="77">
                  <c:v>0.18820821502106599</c:v>
                </c:pt>
                <c:pt idx="78">
                  <c:v>0.22989020585949738</c:v>
                </c:pt>
                <c:pt idx="79">
                  <c:v>-0.30543889449578554</c:v>
                </c:pt>
                <c:pt idx="80">
                  <c:v>0.2106411502165082</c:v>
                </c:pt>
                <c:pt idx="81">
                  <c:v>-0.18221279163474247</c:v>
                </c:pt>
                <c:pt idx="82">
                  <c:v>0.3750862258202412</c:v>
                </c:pt>
                <c:pt idx="83">
                  <c:v>-0.16207685838676988</c:v>
                </c:pt>
                <c:pt idx="84">
                  <c:v>-3.6737840098323038E-2</c:v>
                </c:pt>
                <c:pt idx="85">
                  <c:v>0.32225971017738209</c:v>
                </c:pt>
                <c:pt idx="86">
                  <c:v>0.13976680745721293</c:v>
                </c:pt>
                <c:pt idx="87">
                  <c:v>-0.2292567437715366</c:v>
                </c:pt>
                <c:pt idx="88">
                  <c:v>1.936421676373512E-2</c:v>
                </c:pt>
                <c:pt idx="89">
                  <c:v>-0.14396578167221041</c:v>
                </c:pt>
                <c:pt idx="90">
                  <c:v>0.13570814408350862</c:v>
                </c:pt>
                <c:pt idx="91">
                  <c:v>-7.5796938434797068E-2</c:v>
                </c:pt>
                <c:pt idx="92">
                  <c:v>5.1302925101365249E-2</c:v>
                </c:pt>
                <c:pt idx="93">
                  <c:v>2.0450380442365468E-2</c:v>
                </c:pt>
                <c:pt idx="94">
                  <c:v>0.12357405356520146</c:v>
                </c:pt>
                <c:pt idx="95">
                  <c:v>-0.13856735727056535</c:v>
                </c:pt>
                <c:pt idx="96">
                  <c:v>-0.10140229785473709</c:v>
                </c:pt>
                <c:pt idx="97">
                  <c:v>0.10004878378052084</c:v>
                </c:pt>
                <c:pt idx="98">
                  <c:v>7.8954027795812953E-2</c:v>
                </c:pt>
                <c:pt idx="99">
                  <c:v>-4.2749482979626219E-2</c:v>
                </c:pt>
                <c:pt idx="100">
                  <c:v>-7.9253408692884331E-2</c:v>
                </c:pt>
                <c:pt idx="101">
                  <c:v>0.26218617699153968</c:v>
                </c:pt>
                <c:pt idx="102">
                  <c:v>-8.0203455804175872E-2</c:v>
                </c:pt>
                <c:pt idx="103">
                  <c:v>-6.4953879054860386E-2</c:v>
                </c:pt>
                <c:pt idx="104">
                  <c:v>-3.3779418371947423E-2</c:v>
                </c:pt>
                <c:pt idx="105">
                  <c:v>-8.3000521699690855E-2</c:v>
                </c:pt>
                <c:pt idx="106">
                  <c:v>7.0996017700668768E-2</c:v>
                </c:pt>
                <c:pt idx="107">
                  <c:v>-1.8296491552647454E-2</c:v>
                </c:pt>
                <c:pt idx="108">
                  <c:v>-9.1051454596139392E-2</c:v>
                </c:pt>
                <c:pt idx="109">
                  <c:v>0.22894042869599041</c:v>
                </c:pt>
                <c:pt idx="110">
                  <c:v>0.13512029983184148</c:v>
                </c:pt>
                <c:pt idx="111">
                  <c:v>1.7552677745436007E-4</c:v>
                </c:pt>
                <c:pt idx="112">
                  <c:v>-8.2941997315965077E-3</c:v>
                </c:pt>
                <c:pt idx="113">
                  <c:v>-8.6993846905893069E-2</c:v>
                </c:pt>
                <c:pt idx="114">
                  <c:v>0.15200424063636064</c:v>
                </c:pt>
                <c:pt idx="115">
                  <c:v>-9.0410564082143319E-2</c:v>
                </c:pt>
                <c:pt idx="116">
                  <c:v>-9.1737892267886978E-2</c:v>
                </c:pt>
                <c:pt idx="117">
                  <c:v>1.0626430781072393E-2</c:v>
                </c:pt>
                <c:pt idx="118">
                  <c:v>-0.12866217778739752</c:v>
                </c:pt>
                <c:pt idx="119">
                  <c:v>0.17167152146226439</c:v>
                </c:pt>
                <c:pt idx="120">
                  <c:v>-0.20496662895837781</c:v>
                </c:pt>
                <c:pt idx="121">
                  <c:v>9.7200944323923233E-2</c:v>
                </c:pt>
                <c:pt idx="122">
                  <c:v>-9.9841543634592633E-2</c:v>
                </c:pt>
                <c:pt idx="123">
                  <c:v>0.17810585780260713</c:v>
                </c:pt>
                <c:pt idx="124">
                  <c:v>-1.5384905906818735E-2</c:v>
                </c:pt>
                <c:pt idx="125">
                  <c:v>2.1315581318713805E-2</c:v>
                </c:pt>
                <c:pt idx="126">
                  <c:v>-0.12470528417839277</c:v>
                </c:pt>
                <c:pt idx="127">
                  <c:v>0.33388515544610309</c:v>
                </c:pt>
                <c:pt idx="128">
                  <c:v>-6.3704862887431268E-2</c:v>
                </c:pt>
                <c:pt idx="129">
                  <c:v>-2.7267071558835676E-2</c:v>
                </c:pt>
                <c:pt idx="130">
                  <c:v>-0.11947212288368558</c:v>
                </c:pt>
                <c:pt idx="131">
                  <c:v>0.36921913769444137</c:v>
                </c:pt>
                <c:pt idx="132">
                  <c:v>-0.16090851806287232</c:v>
                </c:pt>
                <c:pt idx="133">
                  <c:v>-6.1262112888136766E-2</c:v>
                </c:pt>
                <c:pt idx="134">
                  <c:v>-8.2613868940551671E-2</c:v>
                </c:pt>
                <c:pt idx="135">
                  <c:v>-0.21344681249678477</c:v>
                </c:pt>
                <c:pt idx="136">
                  <c:v>-0.19595751046838938</c:v>
                </c:pt>
                <c:pt idx="137">
                  <c:v>0.42397523043300001</c:v>
                </c:pt>
                <c:pt idx="138">
                  <c:v>1.1213134735983399E-2</c:v>
                </c:pt>
                <c:pt idx="139">
                  <c:v>-0.30785508973904385</c:v>
                </c:pt>
                <c:pt idx="140">
                  <c:v>0.79934665392376747</c:v>
                </c:pt>
                <c:pt idx="141">
                  <c:v>-4.0300951325289103E-2</c:v>
                </c:pt>
                <c:pt idx="142">
                  <c:v>-8.6339509966433581E-2</c:v>
                </c:pt>
                <c:pt idx="143">
                  <c:v>5.8919888530980291E-2</c:v>
                </c:pt>
                <c:pt idx="144">
                  <c:v>-1.1179306313778836E-2</c:v>
                </c:pt>
                <c:pt idx="145">
                  <c:v>7.7052693011860462E-2</c:v>
                </c:pt>
                <c:pt idx="146">
                  <c:v>-0.12246354273405269</c:v>
                </c:pt>
                <c:pt idx="147">
                  <c:v>0.23245678575069095</c:v>
                </c:pt>
                <c:pt idx="148">
                  <c:v>-0.16048107499426345</c:v>
                </c:pt>
                <c:pt idx="149">
                  <c:v>4.0961890488400599E-2</c:v>
                </c:pt>
                <c:pt idx="150">
                  <c:v>0.13713002912188021</c:v>
                </c:pt>
                <c:pt idx="151">
                  <c:v>-8.9098709966752399E-2</c:v>
                </c:pt>
                <c:pt idx="152">
                  <c:v>-0.33320311602852482</c:v>
                </c:pt>
                <c:pt idx="153">
                  <c:v>0.25052017507228919</c:v>
                </c:pt>
                <c:pt idx="154">
                  <c:v>0.39878840883088129</c:v>
                </c:pt>
                <c:pt idx="155">
                  <c:v>-8.917158971879191E-2</c:v>
                </c:pt>
                <c:pt idx="156">
                  <c:v>-2.9455673524724779E-2</c:v>
                </c:pt>
                <c:pt idx="157">
                  <c:v>8.9038971766921549E-2</c:v>
                </c:pt>
                <c:pt idx="158">
                  <c:v>-0.48792706919901851</c:v>
                </c:pt>
                <c:pt idx="159">
                  <c:v>7.0192180053583852E-2</c:v>
                </c:pt>
                <c:pt idx="160">
                  <c:v>-0.21882214064068484</c:v>
                </c:pt>
                <c:pt idx="161">
                  <c:v>-0.21339142555966262</c:v>
                </c:pt>
                <c:pt idx="162">
                  <c:v>0.10375203794584431</c:v>
                </c:pt>
                <c:pt idx="163">
                  <c:v>-2.8949017574536273E-2</c:v>
                </c:pt>
                <c:pt idx="164">
                  <c:v>-0.50030284492936028</c:v>
                </c:pt>
                <c:pt idx="165">
                  <c:v>0.70946388753580147</c:v>
                </c:pt>
                <c:pt idx="166">
                  <c:v>0.13431810043201331</c:v>
                </c:pt>
                <c:pt idx="167">
                  <c:v>-0.2054424500551808</c:v>
                </c:pt>
                <c:pt idx="168">
                  <c:v>0.49306364352395837</c:v>
                </c:pt>
                <c:pt idx="169">
                  <c:v>-7.6975107640149587E-2</c:v>
                </c:pt>
                <c:pt idx="170">
                  <c:v>0.35269108902383239</c:v>
                </c:pt>
                <c:pt idx="171">
                  <c:v>-0.13069486526202068</c:v>
                </c:pt>
                <c:pt idx="172">
                  <c:v>-0.41664531513663172</c:v>
                </c:pt>
                <c:pt idx="173">
                  <c:v>0.45869365516186389</c:v>
                </c:pt>
                <c:pt idx="174">
                  <c:v>0.23636136238232974</c:v>
                </c:pt>
                <c:pt idx="175">
                  <c:v>-3.1505321445701728E-4</c:v>
                </c:pt>
                <c:pt idx="176">
                  <c:v>-0.12825527266265224</c:v>
                </c:pt>
                <c:pt idx="177">
                  <c:v>-0.16341464868075273</c:v>
                </c:pt>
                <c:pt idx="178">
                  <c:v>0.39165432979630221</c:v>
                </c:pt>
                <c:pt idx="179">
                  <c:v>6.4527838207053101E-2</c:v>
                </c:pt>
                <c:pt idx="180">
                  <c:v>-0.25124514885039406</c:v>
                </c:pt>
                <c:pt idx="181">
                  <c:v>-0.27509061474342311</c:v>
                </c:pt>
                <c:pt idx="182">
                  <c:v>0.48599880115219318</c:v>
                </c:pt>
                <c:pt idx="183">
                  <c:v>0.18003491830165608</c:v>
                </c:pt>
                <c:pt idx="184">
                  <c:v>-0.18327564460939505</c:v>
                </c:pt>
                <c:pt idx="185">
                  <c:v>-0.52745793193492618</c:v>
                </c:pt>
                <c:pt idx="186">
                  <c:v>1.1674211883655401</c:v>
                </c:pt>
                <c:pt idx="187">
                  <c:v>7.0343636212653937E-2</c:v>
                </c:pt>
                <c:pt idx="188">
                  <c:v>0.16723069058085738</c:v>
                </c:pt>
                <c:pt idx="189">
                  <c:v>-7.4838578731454719E-2</c:v>
                </c:pt>
                <c:pt idx="190">
                  <c:v>6.558618033040764E-2</c:v>
                </c:pt>
                <c:pt idx="191">
                  <c:v>-0.15494853220101901</c:v>
                </c:pt>
                <c:pt idx="192">
                  <c:v>3.4483507954985448E-4</c:v>
                </c:pt>
                <c:pt idx="193">
                  <c:v>0.14548290185257962</c:v>
                </c:pt>
                <c:pt idx="194">
                  <c:v>0.15507735347746587</c:v>
                </c:pt>
                <c:pt idx="195">
                  <c:v>-0.23025037395852643</c:v>
                </c:pt>
                <c:pt idx="196">
                  <c:v>-0.16056651348639661</c:v>
                </c:pt>
                <c:pt idx="197">
                  <c:v>-7.9462809137384571E-2</c:v>
                </c:pt>
                <c:pt idx="198">
                  <c:v>0.57285704709366292</c:v>
                </c:pt>
                <c:pt idx="199">
                  <c:v>2.3599990894461742E-2</c:v>
                </c:pt>
                <c:pt idx="200">
                  <c:v>-0.25415744490874215</c:v>
                </c:pt>
                <c:pt idx="201">
                  <c:v>0.33068977042551495</c:v>
                </c:pt>
                <c:pt idx="202">
                  <c:v>0.11862837552326733</c:v>
                </c:pt>
                <c:pt idx="203">
                  <c:v>-0.21629284093084478</c:v>
                </c:pt>
                <c:pt idx="204">
                  <c:v>-7.1437323116267493E-2</c:v>
                </c:pt>
                <c:pt idx="205">
                  <c:v>0.12593123862379763</c:v>
                </c:pt>
                <c:pt idx="206">
                  <c:v>0.1596756141949347</c:v>
                </c:pt>
                <c:pt idx="207">
                  <c:v>-0.17519687731870626</c:v>
                </c:pt>
                <c:pt idx="208">
                  <c:v>0.24609664825537547</c:v>
                </c:pt>
                <c:pt idx="209">
                  <c:v>-0.17435116731601275</c:v>
                </c:pt>
                <c:pt idx="210">
                  <c:v>0.41670339135074896</c:v>
                </c:pt>
                <c:pt idx="211">
                  <c:v>-6.8414070850575381E-2</c:v>
                </c:pt>
                <c:pt idx="212">
                  <c:v>-0.5187378485726053</c:v>
                </c:pt>
                <c:pt idx="213">
                  <c:v>0.26006395575701835</c:v>
                </c:pt>
                <c:pt idx="214">
                  <c:v>0.28202575091432758</c:v>
                </c:pt>
                <c:pt idx="215">
                  <c:v>1.6404287454819144E-2</c:v>
                </c:pt>
                <c:pt idx="216">
                  <c:v>-0.30712818936500585</c:v>
                </c:pt>
                <c:pt idx="217">
                  <c:v>7.5806655841493154E-2</c:v>
                </c:pt>
                <c:pt idx="218">
                  <c:v>0.39191389726641157</c:v>
                </c:pt>
                <c:pt idx="219">
                  <c:v>-8.8771280806000386E-2</c:v>
                </c:pt>
                <c:pt idx="220">
                  <c:v>0.1422901122757918</c:v>
                </c:pt>
                <c:pt idx="221">
                  <c:v>-0.4082142379698277</c:v>
                </c:pt>
                <c:pt idx="222">
                  <c:v>0.27188660040926615</c:v>
                </c:pt>
                <c:pt idx="223">
                  <c:v>0.60581736294816957</c:v>
                </c:pt>
                <c:pt idx="224">
                  <c:v>-0.22602437988642998</c:v>
                </c:pt>
                <c:pt idx="225">
                  <c:v>6.9797580133379444E-2</c:v>
                </c:pt>
                <c:pt idx="226">
                  <c:v>0.1368022427391471</c:v>
                </c:pt>
                <c:pt idx="227">
                  <c:v>-0.1334276238371267</c:v>
                </c:pt>
                <c:pt idx="228">
                  <c:v>0.20604073729449701</c:v>
                </c:pt>
                <c:pt idx="229">
                  <c:v>-0.11917404981914537</c:v>
                </c:pt>
                <c:pt idx="230">
                  <c:v>-0.30553802367495153</c:v>
                </c:pt>
                <c:pt idx="231">
                  <c:v>0.45688220932205614</c:v>
                </c:pt>
                <c:pt idx="232">
                  <c:v>-0.21878686095073174</c:v>
                </c:pt>
                <c:pt idx="233">
                  <c:v>0.11793600999234322</c:v>
                </c:pt>
                <c:pt idx="234">
                  <c:v>-0.36185127932269179</c:v>
                </c:pt>
                <c:pt idx="235">
                  <c:v>0.92052412478490875</c:v>
                </c:pt>
                <c:pt idx="236">
                  <c:v>-5.3619996842472539E-2</c:v>
                </c:pt>
                <c:pt idx="237">
                  <c:v>-0.25261086755876472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BF-4EB2-8CF5-78370CF32062}"/>
            </c:ext>
          </c:extLst>
        </c:ser>
        <c:ser>
          <c:idx val="1"/>
          <c:order val="1"/>
          <c:tx>
            <c:v>Predicted Urals loading</c:v>
          </c:tx>
          <c:spPr>
            <a:ln w="19050">
              <a:noFill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Filtered_data_expand_reg!$E$4:$E$241</c:f>
              <c:numCache>
                <c:formatCode>0.000</c:formatCode>
                <c:ptCount val="238"/>
                <c:pt idx="0">
                  <c:v>-3.2527881040892437E-3</c:v>
                </c:pt>
                <c:pt idx="1">
                  <c:v>-1.7249417249417309E-2</c:v>
                </c:pt>
                <c:pt idx="2">
                  <c:v>4.743833017077792E-2</c:v>
                </c:pt>
                <c:pt idx="3">
                  <c:v>-1.26811594202898E-2</c:v>
                </c:pt>
                <c:pt idx="4">
                  <c:v>-3.2110091743119407E-3</c:v>
                </c:pt>
                <c:pt idx="5">
                  <c:v>-2.3469857340082889E-2</c:v>
                </c:pt>
                <c:pt idx="6">
                  <c:v>-2.3091423185673809E-2</c:v>
                </c:pt>
                <c:pt idx="7">
                  <c:v>-8.2006753497347873E-3</c:v>
                </c:pt>
                <c:pt idx="8">
                  <c:v>-5.1556420233462963E-2</c:v>
                </c:pt>
                <c:pt idx="9">
                  <c:v>7.128205128205134E-2</c:v>
                </c:pt>
                <c:pt idx="10">
                  <c:v>2.872187649592961E-3</c:v>
                </c:pt>
                <c:pt idx="11">
                  <c:v>-1.3365155131264794E-2</c:v>
                </c:pt>
                <c:pt idx="12">
                  <c:v>-3.3865505563619447E-3</c:v>
                </c:pt>
                <c:pt idx="13">
                  <c:v>3.9880358923232162E-3</c:v>
                </c:pt>
                <c:pt idx="14">
                  <c:v>3.6742800397219444E-2</c:v>
                </c:pt>
                <c:pt idx="15">
                  <c:v>-2.6819923371647403E-2</c:v>
                </c:pt>
                <c:pt idx="16">
                  <c:v>6.8897637795275468E-3</c:v>
                </c:pt>
                <c:pt idx="17">
                  <c:v>-9.7751710654936375E-3</c:v>
                </c:pt>
                <c:pt idx="18">
                  <c:v>2.4679170779859927E-3</c:v>
                </c:pt>
                <c:pt idx="19">
                  <c:v>-3.0526834071885611E-2</c:v>
                </c:pt>
                <c:pt idx="20">
                  <c:v>-1.523616048755716E-2</c:v>
                </c:pt>
                <c:pt idx="21">
                  <c:v>-3.3006704486848948E-2</c:v>
                </c:pt>
                <c:pt idx="22">
                  <c:v>5.3333333333334121E-3</c:v>
                </c:pt>
                <c:pt idx="23">
                  <c:v>1.6976127320954992E-2</c:v>
                </c:pt>
                <c:pt idx="24">
                  <c:v>-4.6948356807513525E-3</c:v>
                </c:pt>
                <c:pt idx="25">
                  <c:v>5.9224318658281039E-2</c:v>
                </c:pt>
                <c:pt idx="26">
                  <c:v>-1.0390895596239513E-2</c:v>
                </c:pt>
                <c:pt idx="27">
                  <c:v>-1.0000000000000009E-3</c:v>
                </c:pt>
                <c:pt idx="28">
                  <c:v>7.0070070070069601E-3</c:v>
                </c:pt>
                <c:pt idx="29">
                  <c:v>-7.9522862823061535E-3</c:v>
                </c:pt>
                <c:pt idx="30">
                  <c:v>1.503006012024044E-2</c:v>
                </c:pt>
                <c:pt idx="31">
                  <c:v>2.3692003948667217E-2</c:v>
                </c:pt>
                <c:pt idx="32">
                  <c:v>4.0983606557377206E-2</c:v>
                </c:pt>
                <c:pt idx="33">
                  <c:v>1.8527095877720612E-3</c:v>
                </c:pt>
                <c:pt idx="34">
                  <c:v>1.4794267221451607E-2</c:v>
                </c:pt>
                <c:pt idx="35">
                  <c:v>-5.4669703872437525E-3</c:v>
                </c:pt>
                <c:pt idx="36">
                  <c:v>2.1071919377004145E-2</c:v>
                </c:pt>
                <c:pt idx="37">
                  <c:v>-7.1781067743382776E-3</c:v>
                </c:pt>
                <c:pt idx="38">
                  <c:v>1.9430637144148166E-2</c:v>
                </c:pt>
                <c:pt idx="39">
                  <c:v>-2.5265957446808485E-2</c:v>
                </c:pt>
                <c:pt idx="40">
                  <c:v>-9.5497953615278908E-3</c:v>
                </c:pt>
                <c:pt idx="41">
                  <c:v>2.2956841138659367E-2</c:v>
                </c:pt>
                <c:pt idx="42">
                  <c:v>-1.5709156193895901E-2</c:v>
                </c:pt>
                <c:pt idx="43">
                  <c:v>2.5079799361605204E-2</c:v>
                </c:pt>
                <c:pt idx="44">
                  <c:v>-4.5373665480426983E-2</c:v>
                </c:pt>
                <c:pt idx="45">
                  <c:v>5.1258154706430581E-3</c:v>
                </c:pt>
                <c:pt idx="46">
                  <c:v>1.6689847009735637E-2</c:v>
                </c:pt>
                <c:pt idx="47">
                  <c:v>-3.7391700866393096E-2</c:v>
                </c:pt>
                <c:pt idx="48">
                  <c:v>4.7370914258646479E-3</c:v>
                </c:pt>
                <c:pt idx="49">
                  <c:v>6.8363979255068319E-2</c:v>
                </c:pt>
                <c:pt idx="50">
                  <c:v>2.8684907325684073E-2</c:v>
                </c:pt>
                <c:pt idx="51">
                  <c:v>-4.2900042900029245E-4</c:v>
                </c:pt>
                <c:pt idx="52">
                  <c:v>1.3304721030042765E-2</c:v>
                </c:pt>
                <c:pt idx="53">
                  <c:v>-2.6683608640406531E-2</c:v>
                </c:pt>
                <c:pt idx="54">
                  <c:v>-5.7006092254134E-2</c:v>
                </c:pt>
                <c:pt idx="55">
                  <c:v>6.0913705583756084E-2</c:v>
                </c:pt>
                <c:pt idx="56">
                  <c:v>-2.146464646464652E-2</c:v>
                </c:pt>
                <c:pt idx="57">
                  <c:v>9.8924731182796766E-3</c:v>
                </c:pt>
                <c:pt idx="58">
                  <c:v>-2.8534923339011975E-2</c:v>
                </c:pt>
                <c:pt idx="59">
                  <c:v>-1.3590530469092421E-2</c:v>
                </c:pt>
                <c:pt idx="60">
                  <c:v>-1.6270888302550413E-2</c:v>
                </c:pt>
                <c:pt idx="61">
                  <c:v>-8.8958426464014417E-2</c:v>
                </c:pt>
                <c:pt idx="62">
                  <c:v>3.0421982335623321E-2</c:v>
                </c:pt>
                <c:pt idx="63">
                  <c:v>1.3809523809523716E-2</c:v>
                </c:pt>
                <c:pt idx="64">
                  <c:v>-7.0455612963832293E-3</c:v>
                </c:pt>
                <c:pt idx="65">
                  <c:v>1.7029328287606393E-2</c:v>
                </c:pt>
                <c:pt idx="66">
                  <c:v>-6.9767441860464352E-3</c:v>
                </c:pt>
                <c:pt idx="67">
                  <c:v>-3.7470725995316645E-3</c:v>
                </c:pt>
                <c:pt idx="68">
                  <c:v>6.11189468735307E-3</c:v>
                </c:pt>
                <c:pt idx="69">
                  <c:v>-1.7757009345794383E-2</c:v>
                </c:pt>
                <c:pt idx="70">
                  <c:v>-3.0922930542340521E-2</c:v>
                </c:pt>
                <c:pt idx="71">
                  <c:v>2.5036818851251752E-2</c:v>
                </c:pt>
                <c:pt idx="72">
                  <c:v>1.7241379310344751E-2</c:v>
                </c:pt>
                <c:pt idx="73">
                  <c:v>2.6836158192090398E-2</c:v>
                </c:pt>
                <c:pt idx="74">
                  <c:v>-9.1701054562121076E-4</c:v>
                </c:pt>
                <c:pt idx="75">
                  <c:v>-3.4419458467186748E-2</c:v>
                </c:pt>
                <c:pt idx="76">
                  <c:v>1.7110266159695797E-2</c:v>
                </c:pt>
                <c:pt idx="77">
                  <c:v>-8.5046728971962637E-2</c:v>
                </c:pt>
                <c:pt idx="78">
                  <c:v>1.3278855975485282E-2</c:v>
                </c:pt>
                <c:pt idx="79">
                  <c:v>4.0322580645162365E-3</c:v>
                </c:pt>
                <c:pt idx="80">
                  <c:v>5.5220883534137233E-3</c:v>
                </c:pt>
                <c:pt idx="81">
                  <c:v>-4.2436345481777438E-2</c:v>
                </c:pt>
                <c:pt idx="82">
                  <c:v>5.2137643378519227E-2</c:v>
                </c:pt>
                <c:pt idx="83">
                  <c:v>4.658077304261643E-2</c:v>
                </c:pt>
                <c:pt idx="84">
                  <c:v>2.0833333333333259E-2</c:v>
                </c:pt>
                <c:pt idx="85">
                  <c:v>-1.6697588126159513E-2</c:v>
                </c:pt>
                <c:pt idx="86">
                  <c:v>-1.8867924528301883E-3</c:v>
                </c:pt>
                <c:pt idx="87">
                  <c:v>-1.3232514177693777E-2</c:v>
                </c:pt>
                <c:pt idx="88">
                  <c:v>-2.8256704980842873E-2</c:v>
                </c:pt>
                <c:pt idx="89">
                  <c:v>1.5771315919171913E-2</c:v>
                </c:pt>
                <c:pt idx="90">
                  <c:v>1.9408054342552328E-2</c:v>
                </c:pt>
                <c:pt idx="91">
                  <c:v>-2.6653974297953464E-2</c:v>
                </c:pt>
                <c:pt idx="92">
                  <c:v>0</c:v>
                </c:pt>
                <c:pt idx="93">
                  <c:v>1.2713936430317929E-2</c:v>
                </c:pt>
                <c:pt idx="94">
                  <c:v>-2.3177209077740235E-2</c:v>
                </c:pt>
                <c:pt idx="95">
                  <c:v>-7.9584775086505188E-2</c:v>
                </c:pt>
                <c:pt idx="96">
                  <c:v>5.853920515574651E-2</c:v>
                </c:pt>
                <c:pt idx="97">
                  <c:v>1.7757483510908001E-2</c:v>
                </c:pt>
                <c:pt idx="98">
                  <c:v>2.243270189431712E-2</c:v>
                </c:pt>
                <c:pt idx="99">
                  <c:v>1.1214041930765362E-2</c:v>
                </c:pt>
                <c:pt idx="100">
                  <c:v>1.8322082931533368E-2</c:v>
                </c:pt>
                <c:pt idx="101">
                  <c:v>-1.7045454545454475E-2</c:v>
                </c:pt>
                <c:pt idx="102">
                  <c:v>-1.3969171483622533E-2</c:v>
                </c:pt>
                <c:pt idx="103">
                  <c:v>1.2701514411333825E-2</c:v>
                </c:pt>
                <c:pt idx="104">
                  <c:v>-1.3989387361312056E-2</c:v>
                </c:pt>
                <c:pt idx="105">
                  <c:v>3.4705007436787172E-2</c:v>
                </c:pt>
                <c:pt idx="106">
                  <c:v>1.4374700527071127E-3</c:v>
                </c:pt>
                <c:pt idx="107">
                  <c:v>-1.4354066985645786E-2</c:v>
                </c:pt>
                <c:pt idx="108">
                  <c:v>2.8640776699029091E-2</c:v>
                </c:pt>
                <c:pt idx="109">
                  <c:v>1.2269938650306678E-2</c:v>
                </c:pt>
                <c:pt idx="110">
                  <c:v>-1.4265991716520876E-2</c:v>
                </c:pt>
                <c:pt idx="111">
                  <c:v>6.5359477124180554E-3</c:v>
                </c:pt>
                <c:pt idx="112">
                  <c:v>-1.9480519480519431E-2</c:v>
                </c:pt>
                <c:pt idx="113">
                  <c:v>2.3651844843897818E-2</c:v>
                </c:pt>
                <c:pt idx="114">
                  <c:v>3.1423290203327126E-2</c:v>
                </c:pt>
                <c:pt idx="115">
                  <c:v>2.1057347670250914E-2</c:v>
                </c:pt>
                <c:pt idx="116">
                  <c:v>3.8174637999122574E-2</c:v>
                </c:pt>
                <c:pt idx="117">
                  <c:v>-1.2679628064243831E-3</c:v>
                </c:pt>
                <c:pt idx="118">
                  <c:v>9.3101988997039697E-3</c:v>
                </c:pt>
                <c:pt idx="119">
                  <c:v>2.9350104821803669E-3</c:v>
                </c:pt>
                <c:pt idx="120">
                  <c:v>-1.0869565217391353E-2</c:v>
                </c:pt>
                <c:pt idx="121">
                  <c:v>-8.4530853761621838E-4</c:v>
                </c:pt>
                <c:pt idx="122">
                  <c:v>-4.5262267343485596E-2</c:v>
                </c:pt>
                <c:pt idx="123">
                  <c:v>-8.4182543198937365E-3</c:v>
                </c:pt>
                <c:pt idx="124">
                  <c:v>-4.0661304736371751E-2</c:v>
                </c:pt>
                <c:pt idx="125">
                  <c:v>1.2575687005123459E-2</c:v>
                </c:pt>
                <c:pt idx="126">
                  <c:v>2.3919043238270543E-2</c:v>
                </c:pt>
                <c:pt idx="127">
                  <c:v>3.638814016172498E-2</c:v>
                </c:pt>
                <c:pt idx="128">
                  <c:v>2.3407022106632036E-2</c:v>
                </c:pt>
                <c:pt idx="129">
                  <c:v>-7.6238881829733263E-3</c:v>
                </c:pt>
                <c:pt idx="130">
                  <c:v>-1.9206145966709331E-2</c:v>
                </c:pt>
                <c:pt idx="131">
                  <c:v>-2.0452567449956383E-2</c:v>
                </c:pt>
                <c:pt idx="132">
                  <c:v>1.8214127054642315E-2</c:v>
                </c:pt>
                <c:pt idx="133">
                  <c:v>4.3630017452005454E-3</c:v>
                </c:pt>
                <c:pt idx="134">
                  <c:v>4.7350130321459627E-2</c:v>
                </c:pt>
                <c:pt idx="135">
                  <c:v>2.6545002073828261E-2</c:v>
                </c:pt>
                <c:pt idx="136">
                  <c:v>8.8888888888889461E-3</c:v>
                </c:pt>
                <c:pt idx="137">
                  <c:v>-9.6115338406086437E-3</c:v>
                </c:pt>
                <c:pt idx="138">
                  <c:v>-4.043671653861769E-3</c:v>
                </c:pt>
                <c:pt idx="139">
                  <c:v>0</c:v>
                </c:pt>
                <c:pt idx="140">
                  <c:v>4.5361667347772805E-2</c:v>
                </c:pt>
                <c:pt idx="141">
                  <c:v>1.6419077404222104E-2</c:v>
                </c:pt>
                <c:pt idx="142">
                  <c:v>-3.6153846153846203E-2</c:v>
                </c:pt>
                <c:pt idx="143">
                  <c:v>1.5961691939345712E-3</c:v>
                </c:pt>
                <c:pt idx="144">
                  <c:v>3.6254980079681198E-2</c:v>
                </c:pt>
                <c:pt idx="145">
                  <c:v>2.1530180699730783E-2</c:v>
                </c:pt>
                <c:pt idx="146">
                  <c:v>-2.6721866767030478E-2</c:v>
                </c:pt>
                <c:pt idx="147">
                  <c:v>-4.8723897911832847E-2</c:v>
                </c:pt>
                <c:pt idx="148">
                  <c:v>0</c:v>
                </c:pt>
                <c:pt idx="149">
                  <c:v>7.7235772357722166E-3</c:v>
                </c:pt>
                <c:pt idx="150">
                  <c:v>0</c:v>
                </c:pt>
                <c:pt idx="151">
                  <c:v>-0.13795885437676481</c:v>
                </c:pt>
                <c:pt idx="152">
                  <c:v>-3.509592887225077E-2</c:v>
                </c:pt>
                <c:pt idx="153">
                  <c:v>-0.15906886517943752</c:v>
                </c:pt>
                <c:pt idx="154">
                  <c:v>-0.14648212226066892</c:v>
                </c:pt>
                <c:pt idx="155">
                  <c:v>9.6621621621621578E-2</c:v>
                </c:pt>
                <c:pt idx="156">
                  <c:v>9.488601355514481E-2</c:v>
                </c:pt>
                <c:pt idx="157">
                  <c:v>-2.1299254526091715E-2</c:v>
                </c:pt>
                <c:pt idx="158">
                  <c:v>1.6322089227420733E-3</c:v>
                </c:pt>
                <c:pt idx="159">
                  <c:v>-2.4276859504132164E-2</c:v>
                </c:pt>
                <c:pt idx="160">
                  <c:v>6.6172578083642186E-2</c:v>
                </c:pt>
                <c:pt idx="161">
                  <c:v>2.3833167825223489E-2</c:v>
                </c:pt>
                <c:pt idx="162">
                  <c:v>3.8797284190106751E-2</c:v>
                </c:pt>
                <c:pt idx="163">
                  <c:v>-3.3460803059273125E-3</c:v>
                </c:pt>
                <c:pt idx="164">
                  <c:v>1.534772182254196E-2</c:v>
                </c:pt>
                <c:pt idx="165">
                  <c:v>0</c:v>
                </c:pt>
                <c:pt idx="166">
                  <c:v>-9.3327111525898232E-3</c:v>
                </c:pt>
                <c:pt idx="167">
                  <c:v>4.8987282147903821E-2</c:v>
                </c:pt>
                <c:pt idx="168">
                  <c:v>-1.6614279299506096E-2</c:v>
                </c:pt>
                <c:pt idx="169">
                  <c:v>2.7853881278538939E-2</c:v>
                </c:pt>
                <c:pt idx="170">
                  <c:v>4.3980453131941211E-2</c:v>
                </c:pt>
                <c:pt idx="171">
                  <c:v>-3.8723404255319172E-2</c:v>
                </c:pt>
                <c:pt idx="172">
                  <c:v>4.4267374944666482E-3</c:v>
                </c:pt>
                <c:pt idx="173">
                  <c:v>-2.8206258263552275E-2</c:v>
                </c:pt>
                <c:pt idx="174">
                  <c:v>-1.5419501133786873E-2</c:v>
                </c:pt>
                <c:pt idx="175">
                  <c:v>7.369875633348677E-3</c:v>
                </c:pt>
                <c:pt idx="176">
                  <c:v>-4.6181984453589453E-2</c:v>
                </c:pt>
                <c:pt idx="177">
                  <c:v>-7.6701821668264669E-3</c:v>
                </c:pt>
                <c:pt idx="178">
                  <c:v>2.3671497584541124E-2</c:v>
                </c:pt>
                <c:pt idx="179">
                  <c:v>-2.17083529966966E-2</c:v>
                </c:pt>
                <c:pt idx="180">
                  <c:v>3.4249879401833105E-2</c:v>
                </c:pt>
                <c:pt idx="181">
                  <c:v>-9.2583955223880743E-2</c:v>
                </c:pt>
                <c:pt idx="182">
                  <c:v>0.10203032639424325</c:v>
                </c:pt>
                <c:pt idx="183">
                  <c:v>4.664179104477606E-2</c:v>
                </c:pt>
                <c:pt idx="184">
                  <c:v>1.559714795008893E-2</c:v>
                </c:pt>
                <c:pt idx="185">
                  <c:v>2.4133391838525808E-2</c:v>
                </c:pt>
                <c:pt idx="186">
                  <c:v>3.5989717223650297E-2</c:v>
                </c:pt>
                <c:pt idx="187">
                  <c:v>3.8047973531844637E-2</c:v>
                </c:pt>
                <c:pt idx="188">
                  <c:v>-1.5936254980081221E-3</c:v>
                </c:pt>
                <c:pt idx="189">
                  <c:v>6.7908902691511397E-2</c:v>
                </c:pt>
                <c:pt idx="190">
                  <c:v>-3.489724699495933E-3</c:v>
                </c:pt>
                <c:pt idx="191">
                  <c:v>-4.0077821011673009E-2</c:v>
                </c:pt>
                <c:pt idx="192">
                  <c:v>-4.1345764085934489E-2</c:v>
                </c:pt>
                <c:pt idx="193">
                  <c:v>5.412262156448211E-2</c:v>
                </c:pt>
                <c:pt idx="194">
                  <c:v>1.9253910950661979E-2</c:v>
                </c:pt>
                <c:pt idx="195">
                  <c:v>3.1483667847302943E-3</c:v>
                </c:pt>
                <c:pt idx="196">
                  <c:v>-4.0015692428403304E-2</c:v>
                </c:pt>
                <c:pt idx="197">
                  <c:v>4.3727012668573817E-2</c:v>
                </c:pt>
                <c:pt idx="198">
                  <c:v>4.8551292090837972E-2</c:v>
                </c:pt>
                <c:pt idx="199">
                  <c:v>-3.3233756534727377E-2</c:v>
                </c:pt>
                <c:pt idx="200">
                  <c:v>-1.1587485515643148E-2</c:v>
                </c:pt>
                <c:pt idx="201">
                  <c:v>-2.34375E-2</c:v>
                </c:pt>
                <c:pt idx="202">
                  <c:v>5.2400000000000002E-2</c:v>
                </c:pt>
                <c:pt idx="203">
                  <c:v>1.330292664386179E-2</c:v>
                </c:pt>
                <c:pt idx="204">
                  <c:v>-2.6631657914478635E-2</c:v>
                </c:pt>
                <c:pt idx="205">
                  <c:v>5.8574181117533763E-2</c:v>
                </c:pt>
                <c:pt idx="206">
                  <c:v>-8.0087368037858875E-3</c:v>
                </c:pt>
                <c:pt idx="207">
                  <c:v>5.3211009174312096E-3</c:v>
                </c:pt>
                <c:pt idx="208">
                  <c:v>2.682971345135976E-2</c:v>
                </c:pt>
                <c:pt idx="209">
                  <c:v>2.9150373266974672E-2</c:v>
                </c:pt>
                <c:pt idx="210">
                  <c:v>1.899827288428324E-2</c:v>
                </c:pt>
                <c:pt idx="211">
                  <c:v>-2.3389830508474652E-2</c:v>
                </c:pt>
                <c:pt idx="212">
                  <c:v>1.8396390142311647E-2</c:v>
                </c:pt>
                <c:pt idx="213">
                  <c:v>-6.8166325835039565E-4</c:v>
                </c:pt>
                <c:pt idx="214">
                  <c:v>-1.6712141882674003E-2</c:v>
                </c:pt>
                <c:pt idx="215">
                  <c:v>-1.7689906347554518E-2</c:v>
                </c:pt>
                <c:pt idx="216">
                  <c:v>-4.9435028248587809E-3</c:v>
                </c:pt>
                <c:pt idx="217">
                  <c:v>2.0936834634492474E-2</c:v>
                </c:pt>
                <c:pt idx="218">
                  <c:v>4.5185957594715553E-3</c:v>
                </c:pt>
                <c:pt idx="219">
                  <c:v>1.2802768166090051E-2</c:v>
                </c:pt>
                <c:pt idx="220">
                  <c:v>-2.9723266142808402E-2</c:v>
                </c:pt>
                <c:pt idx="221">
                  <c:v>2.5352112676056526E-2</c:v>
                </c:pt>
                <c:pt idx="222">
                  <c:v>3.6401098901098772E-2</c:v>
                </c:pt>
                <c:pt idx="223">
                  <c:v>-1.2259774685221991E-2</c:v>
                </c:pt>
                <c:pt idx="224">
                  <c:v>7.0446159007044873E-3</c:v>
                </c:pt>
                <c:pt idx="225">
                  <c:v>3.6642238507660352E-3</c:v>
                </c:pt>
                <c:pt idx="226">
                  <c:v>9.6249585131098492E-3</c:v>
                </c:pt>
                <c:pt idx="227">
                  <c:v>5.1610782380012932E-2</c:v>
                </c:pt>
                <c:pt idx="228">
                  <c:v>2.0318849640512671E-2</c:v>
                </c:pt>
                <c:pt idx="229">
                  <c:v>9.1911764705887578E-4</c:v>
                </c:pt>
                <c:pt idx="230">
                  <c:v>-2.0508111417202324E-2</c:v>
                </c:pt>
                <c:pt idx="231">
                  <c:v>-2.1875000000000089E-3</c:v>
                </c:pt>
                <c:pt idx="232">
                  <c:v>-2.0670216097713801E-2</c:v>
                </c:pt>
                <c:pt idx="233">
                  <c:v>-4.3172369683402545E-2</c:v>
                </c:pt>
                <c:pt idx="234">
                  <c:v>-7.5200534759358284E-2</c:v>
                </c:pt>
                <c:pt idx="235">
                  <c:v>4.1741958800144419E-2</c:v>
                </c:pt>
                <c:pt idx="236">
                  <c:v>-2.6539462272333059E-2</c:v>
                </c:pt>
                <c:pt idx="237">
                  <c:v>-2.1739130434782594E-2</c:v>
                </c:pt>
              </c:numCache>
            </c:numRef>
          </c:xVal>
          <c:yVal>
            <c:numRef>
              <c:f>Filtered_data_expand_reg!$J$31:$J$268</c:f>
              <c:numCache>
                <c:formatCode>General</c:formatCode>
                <c:ptCount val="238"/>
                <c:pt idx="0">
                  <c:v>2.0643175989526058E-2</c:v>
                </c:pt>
                <c:pt idx="1">
                  <c:v>1.162616200990617E-2</c:v>
                </c:pt>
                <c:pt idx="2">
                  <c:v>4.1537519016898693E-2</c:v>
                </c:pt>
                <c:pt idx="3">
                  <c:v>1.2461172735511672E-2</c:v>
                </c:pt>
                <c:pt idx="4">
                  <c:v>1.9036916525245966E-2</c:v>
                </c:pt>
                <c:pt idx="5">
                  <c:v>1.5327344932056874E-2</c:v>
                </c:pt>
                <c:pt idx="6">
                  <c:v>1.7495156068822161E-2</c:v>
                </c:pt>
                <c:pt idx="7">
                  <c:v>1.4727102938270193E-2</c:v>
                </c:pt>
                <c:pt idx="8">
                  <c:v>2.0154752760955998E-2</c:v>
                </c:pt>
                <c:pt idx="9">
                  <c:v>4.0795317990644862E-2</c:v>
                </c:pt>
                <c:pt idx="10">
                  <c:v>2.8684720015551286E-2</c:v>
                </c:pt>
                <c:pt idx="11">
                  <c:v>7.1710473505166763E-3</c:v>
                </c:pt>
                <c:pt idx="12">
                  <c:v>1.106769005787504E-2</c:v>
                </c:pt>
                <c:pt idx="13">
                  <c:v>3.2252486914117667E-2</c:v>
                </c:pt>
                <c:pt idx="14">
                  <c:v>3.5371972108104645E-2</c:v>
                </c:pt>
                <c:pt idx="15">
                  <c:v>2.2100669465428907E-2</c:v>
                </c:pt>
                <c:pt idx="16">
                  <c:v>1.5141263927572746E-2</c:v>
                </c:pt>
                <c:pt idx="17">
                  <c:v>6.6620192292338194E-3</c:v>
                </c:pt>
                <c:pt idx="18">
                  <c:v>2.337976479996224E-2</c:v>
                </c:pt>
                <c:pt idx="19">
                  <c:v>1.9251789017387815E-2</c:v>
                </c:pt>
                <c:pt idx="20">
                  <c:v>2.5250948175912221E-2</c:v>
                </c:pt>
                <c:pt idx="21">
                  <c:v>1.1501383624630955E-2</c:v>
                </c:pt>
                <c:pt idx="22">
                  <c:v>3.1818514685363966E-2</c:v>
                </c:pt>
                <c:pt idx="23">
                  <c:v>1.6692414434191418E-2</c:v>
                </c:pt>
                <c:pt idx="24">
                  <c:v>2.5061567568140063E-2</c:v>
                </c:pt>
                <c:pt idx="25">
                  <c:v>3.1001223038495895E-2</c:v>
                </c:pt>
                <c:pt idx="26">
                  <c:v>1.7247290866246615E-2</c:v>
                </c:pt>
                <c:pt idx="27">
                  <c:v>-1.4044166806871285E-3</c:v>
                </c:pt>
                <c:pt idx="28">
                  <c:v>2.1039975250731861E-2</c:v>
                </c:pt>
                <c:pt idx="29">
                  <c:v>2.0881184781081454E-2</c:v>
                </c:pt>
                <c:pt idx="30">
                  <c:v>3.4042999454558714E-2</c:v>
                </c:pt>
                <c:pt idx="31">
                  <c:v>4.8786410980742573E-2</c:v>
                </c:pt>
                <c:pt idx="32">
                  <c:v>3.1499403578408025E-2</c:v>
                </c:pt>
                <c:pt idx="33">
                  <c:v>2.1914252100854702E-2</c:v>
                </c:pt>
                <c:pt idx="34">
                  <c:v>2.6954608664808585E-2</c:v>
                </c:pt>
                <c:pt idx="35">
                  <c:v>1.4602129539792676E-2</c:v>
                </c:pt>
                <c:pt idx="36">
                  <c:v>2.5714412351209005E-2</c:v>
                </c:pt>
                <c:pt idx="37">
                  <c:v>2.1137132788771395E-2</c:v>
                </c:pt>
                <c:pt idx="38">
                  <c:v>2.8004614834181565E-2</c:v>
                </c:pt>
                <c:pt idx="39">
                  <c:v>-3.0396602707238735E-3</c:v>
                </c:pt>
                <c:pt idx="40">
                  <c:v>1.8291099914286298E-2</c:v>
                </c:pt>
                <c:pt idx="41">
                  <c:v>2.9873196453350726E-2</c:v>
                </c:pt>
                <c:pt idx="42">
                  <c:v>1.2668392708524458E-2</c:v>
                </c:pt>
                <c:pt idx="43">
                  <c:v>2.9125336182947197E-2</c:v>
                </c:pt>
                <c:pt idx="44">
                  <c:v>6.6271440479738174E-3</c:v>
                </c:pt>
                <c:pt idx="45">
                  <c:v>1.7580736599926802E-2</c:v>
                </c:pt>
                <c:pt idx="46">
                  <c:v>1.610347584368764E-2</c:v>
                </c:pt>
                <c:pt idx="47">
                  <c:v>6.3337922323995863E-2</c:v>
                </c:pt>
                <c:pt idx="48">
                  <c:v>3.2771899736543604E-2</c:v>
                </c:pt>
                <c:pt idx="49">
                  <c:v>4.4306848125649244E-2</c:v>
                </c:pt>
                <c:pt idx="50">
                  <c:v>2.4874742183530148E-2</c:v>
                </c:pt>
                <c:pt idx="51">
                  <c:v>3.0760914177672322E-2</c:v>
                </c:pt>
                <c:pt idx="52">
                  <c:v>1.6991514181372361E-2</c:v>
                </c:pt>
                <c:pt idx="53">
                  <c:v>3.3688822973677174E-2</c:v>
                </c:pt>
                <c:pt idx="54">
                  <c:v>2.6469962123374251E-2</c:v>
                </c:pt>
                <c:pt idx="55">
                  <c:v>3.5382972944005671E-2</c:v>
                </c:pt>
                <c:pt idx="56">
                  <c:v>2.4570749161030612E-2</c:v>
                </c:pt>
                <c:pt idx="57">
                  <c:v>2.704219553678E-2</c:v>
                </c:pt>
                <c:pt idx="58">
                  <c:v>9.3100434057787791E-3</c:v>
                </c:pt>
                <c:pt idx="59">
                  <c:v>4.8082118961849246E-3</c:v>
                </c:pt>
                <c:pt idx="60">
                  <c:v>2.9245158200095454E-2</c:v>
                </c:pt>
                <c:pt idx="61">
                  <c:v>-1.4549188274113011E-2</c:v>
                </c:pt>
                <c:pt idx="62">
                  <c:v>3.0497042498864913E-2</c:v>
                </c:pt>
                <c:pt idx="63">
                  <c:v>2.8045974325143809E-2</c:v>
                </c:pt>
                <c:pt idx="64">
                  <c:v>1.6863324273914404E-2</c:v>
                </c:pt>
                <c:pt idx="65">
                  <c:v>2.1502115474736381E-2</c:v>
                </c:pt>
                <c:pt idx="66">
                  <c:v>9.2432936901711074E-3</c:v>
                </c:pt>
                <c:pt idx="67">
                  <c:v>2.1854796735896846E-2</c:v>
                </c:pt>
                <c:pt idx="68">
                  <c:v>2.2454125346507831E-2</c:v>
                </c:pt>
                <c:pt idx="69">
                  <c:v>1.6833736495433484E-2</c:v>
                </c:pt>
                <c:pt idx="70">
                  <c:v>2.6953148576336135E-2</c:v>
                </c:pt>
                <c:pt idx="71">
                  <c:v>2.1324692621131985E-2</c:v>
                </c:pt>
                <c:pt idx="72">
                  <c:v>1.5310246288489903E-2</c:v>
                </c:pt>
                <c:pt idx="73">
                  <c:v>4.1300244447419011E-2</c:v>
                </c:pt>
                <c:pt idx="74">
                  <c:v>2.993379202643235E-2</c:v>
                </c:pt>
                <c:pt idx="75">
                  <c:v>1.144755462263369E-2</c:v>
                </c:pt>
                <c:pt idx="76">
                  <c:v>1.9564764167590603E-2</c:v>
                </c:pt>
                <c:pt idx="77">
                  <c:v>6.3682559909707896E-3</c:v>
                </c:pt>
                <c:pt idx="78">
                  <c:v>2.375887591041196E-2</c:v>
                </c:pt>
                <c:pt idx="79">
                  <c:v>1.1117517708385989E-2</c:v>
                </c:pt>
                <c:pt idx="80">
                  <c:v>1.4773199488112388E-2</c:v>
                </c:pt>
                <c:pt idx="81">
                  <c:v>1.0522877129659209E-2</c:v>
                </c:pt>
                <c:pt idx="82">
                  <c:v>5.4835721621213737E-2</c:v>
                </c:pt>
                <c:pt idx="83">
                  <c:v>5.971193056780072E-2</c:v>
                </c:pt>
                <c:pt idx="84">
                  <c:v>1.7236742683745192E-2</c:v>
                </c:pt>
                <c:pt idx="85">
                  <c:v>1.6043882408339965E-2</c:v>
                </c:pt>
                <c:pt idx="86">
                  <c:v>2.8204649085219177E-2</c:v>
                </c:pt>
                <c:pt idx="87">
                  <c:v>1.7889746348616054E-2</c:v>
                </c:pt>
                <c:pt idx="88">
                  <c:v>1.2205672641957845E-2</c:v>
                </c:pt>
                <c:pt idx="89">
                  <c:v>4.3523520683048794E-2</c:v>
                </c:pt>
                <c:pt idx="90">
                  <c:v>2.7773152551978254E-2</c:v>
                </c:pt>
                <c:pt idx="91">
                  <c:v>-3.784536631166853E-3</c:v>
                </c:pt>
                <c:pt idx="92">
                  <c:v>6.1586443434411518E-3</c:v>
                </c:pt>
                <c:pt idx="93">
                  <c:v>2.8801417712831803E-2</c:v>
                </c:pt>
                <c:pt idx="94">
                  <c:v>-4.3629132829230109E-3</c:v>
                </c:pt>
                <c:pt idx="95">
                  <c:v>6.4633066073867818E-2</c:v>
                </c:pt>
                <c:pt idx="96">
                  <c:v>7.9746631580762291E-3</c:v>
                </c:pt>
                <c:pt idx="97">
                  <c:v>1.7035340878632725E-2</c:v>
                </c:pt>
                <c:pt idx="98">
                  <c:v>-2.1987445063951828E-2</c:v>
                </c:pt>
                <c:pt idx="99">
                  <c:v>1.1740243461067092E-2</c:v>
                </c:pt>
                <c:pt idx="100">
                  <c:v>2.2303205795299583E-2</c:v>
                </c:pt>
                <c:pt idx="101">
                  <c:v>7.0761069892524578E-2</c:v>
                </c:pt>
                <c:pt idx="102">
                  <c:v>-3.953488603046524E-3</c:v>
                </c:pt>
                <c:pt idx="103">
                  <c:v>8.988013203094293E-2</c:v>
                </c:pt>
                <c:pt idx="104">
                  <c:v>4.5738227378080046E-2</c:v>
                </c:pt>
                <c:pt idx="105">
                  <c:v>9.4894439315968415E-3</c:v>
                </c:pt>
                <c:pt idx="106">
                  <c:v>2.3081858166826924E-2</c:v>
                </c:pt>
                <c:pt idx="107">
                  <c:v>5.5636909877438898E-3</c:v>
                </c:pt>
                <c:pt idx="108">
                  <c:v>-2.6461751240241138E-2</c:v>
                </c:pt>
                <c:pt idx="109">
                  <c:v>9.2606058129757959E-3</c:v>
                </c:pt>
                <c:pt idx="110">
                  <c:v>-3.7744090065220323E-3</c:v>
                </c:pt>
                <c:pt idx="111">
                  <c:v>7.7112350297098606E-2</c:v>
                </c:pt>
                <c:pt idx="112">
                  <c:v>-1.3936950823977261E-3</c:v>
                </c:pt>
                <c:pt idx="113">
                  <c:v>0.32978927366402</c:v>
                </c:pt>
                <c:pt idx="114">
                  <c:v>5.0603089638358467E-2</c:v>
                </c:pt>
                <c:pt idx="115">
                  <c:v>2.9449922427951171E-2</c:v>
                </c:pt>
                <c:pt idx="116">
                  <c:v>2.2326293293436123E-2</c:v>
                </c:pt>
                <c:pt idx="117">
                  <c:v>1.4817652255410626E-2</c:v>
                </c:pt>
                <c:pt idx="118">
                  <c:v>3.6518190031248191E-2</c:v>
                </c:pt>
                <c:pt idx="119">
                  <c:v>9.7863549756095191E-3</c:v>
                </c:pt>
                <c:pt idx="120">
                  <c:v>2.6770421983398015E-2</c:v>
                </c:pt>
                <c:pt idx="121">
                  <c:v>4.4090172278071146E-3</c:v>
                </c:pt>
                <c:pt idx="122">
                  <c:v>6.1030650173556612E-2</c:v>
                </c:pt>
                <c:pt idx="123">
                  <c:v>1.0532951655440818E-2</c:v>
                </c:pt>
                <c:pt idx="124">
                  <c:v>3.8027635115207875E-2</c:v>
                </c:pt>
                <c:pt idx="125">
                  <c:v>2.6527630964222868E-2</c:v>
                </c:pt>
                <c:pt idx="126">
                  <c:v>3.1983734517938428E-2</c:v>
                </c:pt>
                <c:pt idx="127">
                  <c:v>4.5366026832481046E-2</c:v>
                </c:pt>
                <c:pt idx="128">
                  <c:v>2.658217777023231E-2</c:v>
                </c:pt>
                <c:pt idx="129">
                  <c:v>-8.6034182907723453E-4</c:v>
                </c:pt>
                <c:pt idx="130">
                  <c:v>5.5550204583926455E-2</c:v>
                </c:pt>
                <c:pt idx="131">
                  <c:v>2.0425030235354469E-2</c:v>
                </c:pt>
                <c:pt idx="132">
                  <c:v>1.4773107072910456E-2</c:v>
                </c:pt>
                <c:pt idx="133">
                  <c:v>3.5043023836999754E-2</c:v>
                </c:pt>
                <c:pt idx="134">
                  <c:v>2.0091470254920814E-2</c:v>
                </c:pt>
                <c:pt idx="135">
                  <c:v>8.6416932145302848E-3</c:v>
                </c:pt>
                <c:pt idx="136">
                  <c:v>2.2835164023099676E-2</c:v>
                </c:pt>
                <c:pt idx="137">
                  <c:v>1.4520554499693633E-2</c:v>
                </c:pt>
                <c:pt idx="138">
                  <c:v>-2.7218216354665634E-2</c:v>
                </c:pt>
                <c:pt idx="139">
                  <c:v>2.0531175238836293E-2</c:v>
                </c:pt>
                <c:pt idx="140">
                  <c:v>3.5880702554961272E-2</c:v>
                </c:pt>
                <c:pt idx="141">
                  <c:v>2.5903834545213153E-2</c:v>
                </c:pt>
                <c:pt idx="142">
                  <c:v>1.8234490535928252E-2</c:v>
                </c:pt>
                <c:pt idx="143">
                  <c:v>1.8896836333685871E-2</c:v>
                </c:pt>
                <c:pt idx="144">
                  <c:v>3.7409376472976763E-2</c:v>
                </c:pt>
                <c:pt idx="145">
                  <c:v>2.544608507264623E-2</c:v>
                </c:pt>
                <c:pt idx="146">
                  <c:v>2.7786802126106479E-2</c:v>
                </c:pt>
                <c:pt idx="147">
                  <c:v>1.0263715643629209E-2</c:v>
                </c:pt>
                <c:pt idx="148">
                  <c:v>4.3536065554178445E-2</c:v>
                </c:pt>
                <c:pt idx="149">
                  <c:v>7.7522956055486123E-3</c:v>
                </c:pt>
                <c:pt idx="150">
                  <c:v>3.5238195554155652E-2</c:v>
                </c:pt>
                <c:pt idx="151">
                  <c:v>4.1850750478771371E-3</c:v>
                </c:pt>
                <c:pt idx="152">
                  <c:v>2.6687810413527985E-2</c:v>
                </c:pt>
                <c:pt idx="153">
                  <c:v>2.1728015310918704E-2</c:v>
                </c:pt>
                <c:pt idx="154">
                  <c:v>4.6970861537309727E-2</c:v>
                </c:pt>
                <c:pt idx="155">
                  <c:v>6.047540984992697E-2</c:v>
                </c:pt>
                <c:pt idx="156">
                  <c:v>-2.2855301873851468E-2</c:v>
                </c:pt>
                <c:pt idx="157">
                  <c:v>4.3969817871045369E-2</c:v>
                </c:pt>
                <c:pt idx="158">
                  <c:v>5.4363613660434108E-2</c:v>
                </c:pt>
                <c:pt idx="159">
                  <c:v>1.2769614928446653E-3</c:v>
                </c:pt>
                <c:pt idx="160">
                  <c:v>4.0840708324308903E-2</c:v>
                </c:pt>
                <c:pt idx="161">
                  <c:v>4.5036136757804539E-2</c:v>
                </c:pt>
                <c:pt idx="162">
                  <c:v>-8.3196780929090525E-3</c:v>
                </c:pt>
                <c:pt idx="163">
                  <c:v>7.8635531450708916E-3</c:v>
                </c:pt>
                <c:pt idx="164">
                  <c:v>3.4207870702805239E-2</c:v>
                </c:pt>
                <c:pt idx="165">
                  <c:v>1.7399056878399245E-2</c:v>
                </c:pt>
                <c:pt idx="166">
                  <c:v>1.6608339467837418E-2</c:v>
                </c:pt>
                <c:pt idx="167">
                  <c:v>2.443345816824713E-2</c:v>
                </c:pt>
                <c:pt idx="168">
                  <c:v>5.2813657597547935E-3</c:v>
                </c:pt>
                <c:pt idx="169">
                  <c:v>0.15501125080602179</c:v>
                </c:pt>
                <c:pt idx="170">
                  <c:v>5.0539869115975515E-2</c:v>
                </c:pt>
                <c:pt idx="171">
                  <c:v>3.6361321322271652E-3</c:v>
                </c:pt>
                <c:pt idx="172">
                  <c:v>-2.8084215081576179E-2</c:v>
                </c:pt>
                <c:pt idx="173">
                  <c:v>2.4651860795608552E-2</c:v>
                </c:pt>
                <c:pt idx="174">
                  <c:v>8.3920555714953778E-3</c:v>
                </c:pt>
                <c:pt idx="175">
                  <c:v>1.0149952919600254E-2</c:v>
                </c:pt>
                <c:pt idx="176">
                  <c:v>-3.2292158823055903E-3</c:v>
                </c:pt>
                <c:pt idx="177">
                  <c:v>1.8748632476330677E-3</c:v>
                </c:pt>
                <c:pt idx="178">
                  <c:v>4.0493544844238595E-2</c:v>
                </c:pt>
                <c:pt idx="179">
                  <c:v>-2.011917082828563E-2</c:v>
                </c:pt>
                <c:pt idx="180">
                  <c:v>3.0438592757022154E-2</c:v>
                </c:pt>
                <c:pt idx="181">
                  <c:v>3.030733625357241E-2</c:v>
                </c:pt>
                <c:pt idx="182">
                  <c:v>3.4875480387015032E-2</c:v>
                </c:pt>
                <c:pt idx="183">
                  <c:v>2.3983937879673414E-2</c:v>
                </c:pt>
                <c:pt idx="184">
                  <c:v>1.9658950531654631E-2</c:v>
                </c:pt>
                <c:pt idx="185">
                  <c:v>2.5123771873079952E-3</c:v>
                </c:pt>
                <c:pt idx="186">
                  <c:v>0.20149682138837421</c:v>
                </c:pt>
                <c:pt idx="187">
                  <c:v>3.0243792144716432E-2</c:v>
                </c:pt>
                <c:pt idx="188">
                  <c:v>2.650496265956458E-2</c:v>
                </c:pt>
                <c:pt idx="189">
                  <c:v>1.540924453973332E-2</c:v>
                </c:pt>
                <c:pt idx="190">
                  <c:v>1.7314058186610928E-2</c:v>
                </c:pt>
                <c:pt idx="191">
                  <c:v>-4.7529645885474904E-3</c:v>
                </c:pt>
                <c:pt idx="192">
                  <c:v>5.1854783610303231E-3</c:v>
                </c:pt>
                <c:pt idx="193">
                  <c:v>2.9043302014993576E-2</c:v>
                </c:pt>
                <c:pt idx="194">
                  <c:v>3.7034000295713299E-2</c:v>
                </c:pt>
                <c:pt idx="195">
                  <c:v>2.3696379113826691E-2</c:v>
                </c:pt>
                <c:pt idx="196">
                  <c:v>-2.2477044454299374E-3</c:v>
                </c:pt>
                <c:pt idx="197">
                  <c:v>2.630018214649215E-2</c:v>
                </c:pt>
                <c:pt idx="198">
                  <c:v>4.0248466149719067E-2</c:v>
                </c:pt>
                <c:pt idx="199">
                  <c:v>2.1868331315542108E-2</c:v>
                </c:pt>
                <c:pt idx="200">
                  <c:v>2.3318364137259694E-2</c:v>
                </c:pt>
                <c:pt idx="201">
                  <c:v>2.5980656672606611E-2</c:v>
                </c:pt>
                <c:pt idx="202">
                  <c:v>2.5793673329737282E-2</c:v>
                </c:pt>
                <c:pt idx="203">
                  <c:v>2.5364317107231499E-2</c:v>
                </c:pt>
                <c:pt idx="204">
                  <c:v>1.1529268743152254E-2</c:v>
                </c:pt>
                <c:pt idx="205">
                  <c:v>3.2394285013587952E-2</c:v>
                </c:pt>
                <c:pt idx="206">
                  <c:v>1.5530612007679058E-2</c:v>
                </c:pt>
                <c:pt idx="207">
                  <c:v>3.2466388621990479E-2</c:v>
                </c:pt>
                <c:pt idx="208">
                  <c:v>1.8327282245457561E-2</c:v>
                </c:pt>
                <c:pt idx="209">
                  <c:v>2.2183206277408316E-2</c:v>
                </c:pt>
                <c:pt idx="210">
                  <c:v>2.8518936504386527E-2</c:v>
                </c:pt>
                <c:pt idx="211">
                  <c:v>1.3738116319534512E-2</c:v>
                </c:pt>
                <c:pt idx="212">
                  <c:v>1.9703186672233315E-2</c:v>
                </c:pt>
                <c:pt idx="213">
                  <c:v>2.6815640972807319E-2</c:v>
                </c:pt>
                <c:pt idx="214">
                  <c:v>2.2559685405126907E-2</c:v>
                </c:pt>
                <c:pt idx="215">
                  <c:v>2.1213258785020291E-2</c:v>
                </c:pt>
                <c:pt idx="216">
                  <c:v>1.4320288600329054E-2</c:v>
                </c:pt>
                <c:pt idx="217">
                  <c:v>2.1058430687901433E-2</c:v>
                </c:pt>
                <c:pt idx="218">
                  <c:v>3.6968986473328538E-2</c:v>
                </c:pt>
                <c:pt idx="219">
                  <c:v>3.06191280182239E-2</c:v>
                </c:pt>
                <c:pt idx="220">
                  <c:v>3.0489038613460102E-2</c:v>
                </c:pt>
                <c:pt idx="221">
                  <c:v>2.4231658040367115E-3</c:v>
                </c:pt>
                <c:pt idx="222">
                  <c:v>3.2363022951492459E-2</c:v>
                </c:pt>
                <c:pt idx="223">
                  <c:v>1.3101553591878182E-2</c:v>
                </c:pt>
                <c:pt idx="224">
                  <c:v>3.9371105321698158E-2</c:v>
                </c:pt>
                <c:pt idx="225">
                  <c:v>1.5283845115086701E-2</c:v>
                </c:pt>
                <c:pt idx="226">
                  <c:v>2.0530671186021105E-2</c:v>
                </c:pt>
                <c:pt idx="227">
                  <c:v>3.0814491521218831E-2</c:v>
                </c:pt>
                <c:pt idx="228">
                  <c:v>2.0685240710092083E-2</c:v>
                </c:pt>
                <c:pt idx="229">
                  <c:v>1.4128763406753694E-2</c:v>
                </c:pt>
                <c:pt idx="230">
                  <c:v>1.567556843044943E-2</c:v>
                </c:pt>
                <c:pt idx="231">
                  <c:v>2.8947343722545968E-2</c:v>
                </c:pt>
                <c:pt idx="232">
                  <c:v>1.5395732616784719E-2</c:v>
                </c:pt>
                <c:pt idx="233">
                  <c:v>1.8658507339176452E-2</c:v>
                </c:pt>
                <c:pt idx="234">
                  <c:v>8.2045921064337318E-3</c:v>
                </c:pt>
                <c:pt idx="235">
                  <c:v>4.2140808188384837E-2</c:v>
                </c:pt>
                <c:pt idx="236">
                  <c:v>-6.0753199068341382E-3</c:v>
                </c:pt>
                <c:pt idx="237">
                  <c:v>1.9548720284574106E-2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BF-4EB2-8CF5-78370CF3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583408"/>
        <c:axId val="589589648"/>
      </c:scatterChart>
      <c:valAx>
        <c:axId val="58958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VanEck Russian ETF tracker price (RSX)</a:t>
                </a:r>
              </a:p>
            </c:rich>
          </c:tx>
          <c:layout>
            <c:manualLayout>
              <c:xMode val="edge"/>
              <c:yMode val="edge"/>
              <c:x val="0.21748804951004361"/>
              <c:y val="0.9402040872863816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589589648"/>
        <c:crosses val="autoZero"/>
        <c:crossBetween val="midCat"/>
      </c:valAx>
      <c:valAx>
        <c:axId val="589589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Urals loading</a:t>
                </a:r>
              </a:p>
            </c:rich>
          </c:tx>
          <c:layout>
            <c:manualLayout>
              <c:xMode val="edge"/>
              <c:yMode val="edge"/>
              <c:x val="1.7953787727914589E-2"/>
              <c:y val="0.46487531935372434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589583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Urals loadings time series</a:t>
            </a:r>
          </a:p>
          <a:p>
            <a:pPr>
              <a:defRPr/>
            </a:pPr>
            <a:r>
              <a:rPr lang="en-GB" sz="1000">
                <a:solidFill>
                  <a:sysClr val="windowText" lastClr="000000"/>
                </a:solidFill>
              </a:rPr>
              <a:t>Data</a:t>
            </a:r>
            <a:r>
              <a:rPr lang="en-GB" sz="1000" baseline="0">
                <a:solidFill>
                  <a:sysClr val="windowText" lastClr="000000"/>
                </a:solidFill>
              </a:rPr>
              <a:t>: Petrologistics</a:t>
            </a:r>
            <a:endParaRPr lang="en-GB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Expanded_regression!#REF!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Expanded_regression!$B$4:$B$256</c:f>
              <c:numCache>
                <c:formatCode>m/d/yy</c:formatCode>
                <c:ptCount val="233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</c:numCache>
            </c:numRef>
          </c:cat>
          <c:val>
            <c:numRef>
              <c:f>Expanded_regression!$H$4:$H$256</c:f>
              <c:numCache>
                <c:formatCode>#,##0</c:formatCode>
                <c:ptCount val="233"/>
                <c:pt idx="0">
                  <c:v>13918639</c:v>
                </c:pt>
                <c:pt idx="1">
                  <c:v>14805846</c:v>
                </c:pt>
                <c:pt idx="2">
                  <c:v>13775694</c:v>
                </c:pt>
                <c:pt idx="3">
                  <c:v>13326052</c:v>
                </c:pt>
                <c:pt idx="4">
                  <c:v>15387914</c:v>
                </c:pt>
                <c:pt idx="5">
                  <c:v>14753986</c:v>
                </c:pt>
                <c:pt idx="6">
                  <c:v>17321594</c:v>
                </c:pt>
                <c:pt idx="7">
                  <c:v>19164475</c:v>
                </c:pt>
                <c:pt idx="8">
                  <c:v>14544394</c:v>
                </c:pt>
                <c:pt idx="9">
                  <c:v>13618943</c:v>
                </c:pt>
                <c:pt idx="10">
                  <c:v>17771786</c:v>
                </c:pt>
                <c:pt idx="11">
                  <c:v>16000044</c:v>
                </c:pt>
                <c:pt idx="12">
                  <c:v>16787282</c:v>
                </c:pt>
                <c:pt idx="13">
                  <c:v>15824721</c:v>
                </c:pt>
                <c:pt idx="14">
                  <c:v>15026917</c:v>
                </c:pt>
                <c:pt idx="15">
                  <c:v>16171206</c:v>
                </c:pt>
                <c:pt idx="16">
                  <c:v>12292495</c:v>
                </c:pt>
                <c:pt idx="17">
                  <c:v>15716132</c:v>
                </c:pt>
                <c:pt idx="18">
                  <c:v>17181025</c:v>
                </c:pt>
                <c:pt idx="19">
                  <c:v>14797229</c:v>
                </c:pt>
                <c:pt idx="20">
                  <c:v>11127747</c:v>
                </c:pt>
                <c:pt idx="21">
                  <c:v>11772141</c:v>
                </c:pt>
                <c:pt idx="22">
                  <c:v>17090410</c:v>
                </c:pt>
                <c:pt idx="23">
                  <c:v>13176643</c:v>
                </c:pt>
                <c:pt idx="24">
                  <c:v>11891712</c:v>
                </c:pt>
                <c:pt idx="25">
                  <c:v>11141171</c:v>
                </c:pt>
                <c:pt idx="26">
                  <c:v>12773066</c:v>
                </c:pt>
                <c:pt idx="27">
                  <c:v>16733085</c:v>
                </c:pt>
                <c:pt idx="28">
                  <c:v>13382407</c:v>
                </c:pt>
                <c:pt idx="29">
                  <c:v>10139359</c:v>
                </c:pt>
                <c:pt idx="30">
                  <c:v>15254483</c:v>
                </c:pt>
                <c:pt idx="31">
                  <c:v>15313857</c:v>
                </c:pt>
                <c:pt idx="32">
                  <c:v>13031411</c:v>
                </c:pt>
                <c:pt idx="33">
                  <c:v>16454237</c:v>
                </c:pt>
                <c:pt idx="34">
                  <c:v>14075355</c:v>
                </c:pt>
                <c:pt idx="35">
                  <c:v>13132104</c:v>
                </c:pt>
                <c:pt idx="36">
                  <c:v>15375432</c:v>
                </c:pt>
                <c:pt idx="37">
                  <c:v>14956929</c:v>
                </c:pt>
                <c:pt idx="38">
                  <c:v>16931079</c:v>
                </c:pt>
                <c:pt idx="39">
                  <c:v>14802135</c:v>
                </c:pt>
                <c:pt idx="40">
                  <c:v>13050065</c:v>
                </c:pt>
                <c:pt idx="41">
                  <c:v>12317332</c:v>
                </c:pt>
                <c:pt idx="42">
                  <c:v>14674661</c:v>
                </c:pt>
                <c:pt idx="43">
                  <c:v>11131437</c:v>
                </c:pt>
                <c:pt idx="44">
                  <c:v>12499903</c:v>
                </c:pt>
                <c:pt idx="45">
                  <c:v>9237218</c:v>
                </c:pt>
                <c:pt idx="46">
                  <c:v>18291858</c:v>
                </c:pt>
                <c:pt idx="47">
                  <c:v>14537122.076923076</c:v>
                </c:pt>
                <c:pt idx="48">
                  <c:v>11719757</c:v>
                </c:pt>
                <c:pt idx="49">
                  <c:v>8962554</c:v>
                </c:pt>
                <c:pt idx="50">
                  <c:v>14081845</c:v>
                </c:pt>
                <c:pt idx="51">
                  <c:v>13774279</c:v>
                </c:pt>
                <c:pt idx="52">
                  <c:v>13335076</c:v>
                </c:pt>
                <c:pt idx="53">
                  <c:v>9087010</c:v>
                </c:pt>
                <c:pt idx="54">
                  <c:v>16106975</c:v>
                </c:pt>
                <c:pt idx="55">
                  <c:v>11278141</c:v>
                </c:pt>
                <c:pt idx="56">
                  <c:v>12592434</c:v>
                </c:pt>
                <c:pt idx="57">
                  <c:v>12167924</c:v>
                </c:pt>
                <c:pt idx="58">
                  <c:v>13440643</c:v>
                </c:pt>
                <c:pt idx="59">
                  <c:v>11263647</c:v>
                </c:pt>
                <c:pt idx="60">
                  <c:v>11993206</c:v>
                </c:pt>
                <c:pt idx="61">
                  <c:v>14144989</c:v>
                </c:pt>
                <c:pt idx="62">
                  <c:v>12723430</c:v>
                </c:pt>
                <c:pt idx="63">
                  <c:v>12269347</c:v>
                </c:pt>
                <c:pt idx="64">
                  <c:v>12173889</c:v>
                </c:pt>
                <c:pt idx="65">
                  <c:v>14133569</c:v>
                </c:pt>
                <c:pt idx="66">
                  <c:v>11336916</c:v>
                </c:pt>
                <c:pt idx="67">
                  <c:v>11556346</c:v>
                </c:pt>
                <c:pt idx="68">
                  <c:v>10262924</c:v>
                </c:pt>
                <c:pt idx="69">
                  <c:v>11823928</c:v>
                </c:pt>
                <c:pt idx="70">
                  <c:v>12705100</c:v>
                </c:pt>
                <c:pt idx="71">
                  <c:v>12154550</c:v>
                </c:pt>
                <c:pt idx="72">
                  <c:v>11872963</c:v>
                </c:pt>
                <c:pt idx="73">
                  <c:v>8501131</c:v>
                </c:pt>
                <c:pt idx="74">
                  <c:v>12932098</c:v>
                </c:pt>
                <c:pt idx="75">
                  <c:v>14682023</c:v>
                </c:pt>
                <c:pt idx="76">
                  <c:v>10249712</c:v>
                </c:pt>
                <c:pt idx="77">
                  <c:v>12178792</c:v>
                </c:pt>
                <c:pt idx="78">
                  <c:v>10403537</c:v>
                </c:pt>
                <c:pt idx="79">
                  <c:v>12594950</c:v>
                </c:pt>
                <c:pt idx="80">
                  <c:v>10299989</c:v>
                </c:pt>
                <c:pt idx="81">
                  <c:v>14163373</c:v>
                </c:pt>
                <c:pt idx="82">
                  <c:v>11867818</c:v>
                </c:pt>
                <c:pt idx="83">
                  <c:v>11431820</c:v>
                </c:pt>
                <c:pt idx="84">
                  <c:v>15115835</c:v>
                </c:pt>
                <c:pt idx="85">
                  <c:v>17228527</c:v>
                </c:pt>
                <c:pt idx="86">
                  <c:v>13278771</c:v>
                </c:pt>
                <c:pt idx="87">
                  <c:v>13535904</c:v>
                </c:pt>
                <c:pt idx="88">
                  <c:v>11587197</c:v>
                </c:pt>
                <c:pt idx="89">
                  <c:v>13159674</c:v>
                </c:pt>
                <c:pt idx="90">
                  <c:v>12786168</c:v>
                </c:pt>
                <c:pt idx="91">
                  <c:v>13047650</c:v>
                </c:pt>
                <c:pt idx="92">
                  <c:v>14660001</c:v>
                </c:pt>
                <c:pt idx="93">
                  <c:v>12628603.403846154</c:v>
                </c:pt>
                <c:pt idx="94">
                  <c:v>11348034</c:v>
                </c:pt>
                <c:pt idx="95">
                  <c:v>12483391</c:v>
                </c:pt>
                <c:pt idx="96">
                  <c:v>13469005</c:v>
                </c:pt>
                <c:pt idx="97">
                  <c:v>11871381</c:v>
                </c:pt>
                <c:pt idx="98">
                  <c:v>14983893</c:v>
                </c:pt>
                <c:pt idx="99">
                  <c:v>13782133</c:v>
                </c:pt>
                <c:pt idx="100">
                  <c:v>12886930</c:v>
                </c:pt>
                <c:pt idx="101">
                  <c:v>12451617</c:v>
                </c:pt>
                <c:pt idx="102">
                  <c:v>15217567</c:v>
                </c:pt>
                <c:pt idx="103">
                  <c:v>13954501</c:v>
                </c:pt>
                <c:pt idx="104">
                  <c:v>14945215</c:v>
                </c:pt>
                <c:pt idx="105">
                  <c:v>14671770</c:v>
                </c:pt>
                <c:pt idx="106">
                  <c:v>16389007</c:v>
                </c:pt>
                <c:pt idx="107">
                  <c:v>14971592</c:v>
                </c:pt>
                <c:pt idx="108">
                  <c:v>16994558</c:v>
                </c:pt>
                <c:pt idx="109">
                  <c:v>16997541</c:v>
                </c:pt>
                <c:pt idx="110">
                  <c:v>16856560</c:v>
                </c:pt>
                <c:pt idx="111">
                  <c:v>17729510</c:v>
                </c:pt>
                <c:pt idx="112">
                  <c:v>16126575</c:v>
                </c:pt>
                <c:pt idx="113">
                  <c:v>14802804</c:v>
                </c:pt>
                <c:pt idx="114">
                  <c:v>15112504</c:v>
                </c:pt>
                <c:pt idx="115">
                  <c:v>12014945</c:v>
                </c:pt>
                <c:pt idx="116">
                  <c:v>13182809</c:v>
                </c:pt>
                <c:pt idx="117">
                  <c:v>11866617</c:v>
                </c:pt>
                <c:pt idx="118">
                  <c:v>13980131</c:v>
                </c:pt>
                <c:pt idx="119">
                  <c:v>13765048</c:v>
                </c:pt>
                <c:pt idx="120">
                  <c:v>14058458</c:v>
                </c:pt>
                <c:pt idx="121">
                  <c:v>12305294</c:v>
                </c:pt>
                <c:pt idx="122">
                  <c:v>16413849</c:v>
                </c:pt>
                <c:pt idx="123">
                  <c:v>15368207</c:v>
                </c:pt>
                <c:pt idx="124">
                  <c:v>14949161</c:v>
                </c:pt>
                <c:pt idx="125">
                  <c:v>13163153</c:v>
                </c:pt>
                <c:pt idx="126">
                  <c:v>18023241</c:v>
                </c:pt>
                <c:pt idx="127">
                  <c:v>15123148</c:v>
                </c:pt>
                <c:pt idx="128">
                  <c:v>14196672</c:v>
                </c:pt>
                <c:pt idx="129">
                  <c:v>13023830</c:v>
                </c:pt>
                <c:pt idx="130">
                  <c:v>10243935</c:v>
                </c:pt>
                <c:pt idx="131">
                  <c:v>8236559</c:v>
                </c:pt>
                <c:pt idx="132">
                  <c:v>11728656</c:v>
                </c:pt>
                <c:pt idx="133">
                  <c:v>11860171</c:v>
                </c:pt>
                <c:pt idx="134">
                  <c:v>11664488</c:v>
                </c:pt>
                <c:pt idx="135">
                  <c:v>8073516</c:v>
                </c:pt>
                <c:pt idx="136">
                  <c:v>14527054</c:v>
                </c:pt>
                <c:pt idx="137">
                  <c:v>13941599.903846154</c:v>
                </c:pt>
                <c:pt idx="138">
                  <c:v>12737889</c:v>
                </c:pt>
                <c:pt idx="139">
                  <c:v>13488404</c:v>
                </c:pt>
                <c:pt idx="140">
                  <c:v>14365312</c:v>
                </c:pt>
                <c:pt idx="141">
                  <c:v>12606085</c:v>
                </c:pt>
                <c:pt idx="142">
                  <c:v>15536455</c:v>
                </c:pt>
                <c:pt idx="143">
                  <c:v>13043148</c:v>
                </c:pt>
                <c:pt idx="144">
                  <c:v>13577420</c:v>
                </c:pt>
                <c:pt idx="145">
                  <c:v>15439292</c:v>
                </c:pt>
                <c:pt idx="146">
                  <c:v>14063671</c:v>
                </c:pt>
                <c:pt idx="147">
                  <c:v>9377612</c:v>
                </c:pt>
                <c:pt idx="148">
                  <c:v>11726893</c:v>
                </c:pt>
                <c:pt idx="149">
                  <c:v>16403442</c:v>
                </c:pt>
                <c:pt idx="150">
                  <c:v>14940721</c:v>
                </c:pt>
                <c:pt idx="151">
                  <c:v>14500632</c:v>
                </c:pt>
                <c:pt idx="152">
                  <c:v>14197637</c:v>
                </c:pt>
                <c:pt idx="153">
                  <c:v>15461780</c:v>
                </c:pt>
                <c:pt idx="154">
                  <c:v>7917559</c:v>
                </c:pt>
                <c:pt idx="155">
                  <c:v>8199491</c:v>
                </c:pt>
                <c:pt idx="156">
                  <c:v>10697260</c:v>
                </c:pt>
                <c:pt idx="157">
                  <c:v>11448124</c:v>
                </c:pt>
                <c:pt idx="158">
                  <c:v>7034657</c:v>
                </c:pt>
                <c:pt idx="159">
                  <c:v>7764517</c:v>
                </c:pt>
                <c:pt idx="160">
                  <c:v>5126581</c:v>
                </c:pt>
                <c:pt idx="161">
                  <c:v>3518702</c:v>
                </c:pt>
                <c:pt idx="162">
                  <c:v>6015094</c:v>
                </c:pt>
                <c:pt idx="163">
                  <c:v>6823030</c:v>
                </c:pt>
                <c:pt idx="164">
                  <c:v>8094331</c:v>
                </c:pt>
                <c:pt idx="165">
                  <c:v>7471269</c:v>
                </c:pt>
                <c:pt idx="166">
                  <c:v>8785475</c:v>
                </c:pt>
                <c:pt idx="167">
                  <c:v>5125048</c:v>
                </c:pt>
                <c:pt idx="168">
                  <c:v>7475875</c:v>
                </c:pt>
                <c:pt idx="169">
                  <c:v>9242883</c:v>
                </c:pt>
                <c:pt idx="170">
                  <c:v>9239971</c:v>
                </c:pt>
                <c:pt idx="171">
                  <c:v>8054896</c:v>
                </c:pt>
                <c:pt idx="172">
                  <c:v>6738608</c:v>
                </c:pt>
                <c:pt idx="173">
                  <c:v>9377813</c:v>
                </c:pt>
                <c:pt idx="174">
                  <c:v>9982943</c:v>
                </c:pt>
                <c:pt idx="175">
                  <c:v>7474777</c:v>
                </c:pt>
                <c:pt idx="176">
                  <c:v>5418536</c:v>
                </c:pt>
                <c:pt idx="177">
                  <c:v>8051938</c:v>
                </c:pt>
                <c:pt idx="178">
                  <c:v>9501568</c:v>
                </c:pt>
                <c:pt idx="179">
                  <c:v>7760162</c:v>
                </c:pt>
                <c:pt idx="180">
                  <c:v>3667003</c:v>
                </c:pt>
                <c:pt idx="181">
                  <c:v>7947940</c:v>
                </c:pt>
                <c:pt idx="182">
                  <c:v>8507027</c:v>
                </c:pt>
                <c:pt idx="183">
                  <c:v>9929663</c:v>
                </c:pt>
                <c:pt idx="184">
                  <c:v>9821605.0377358496</c:v>
                </c:pt>
                <c:pt idx="185">
                  <c:v>9666632</c:v>
                </c:pt>
                <c:pt idx="186">
                  <c:v>8943195</c:v>
                </c:pt>
                <c:pt idx="187">
                  <c:v>9529745</c:v>
                </c:pt>
                <c:pt idx="188">
                  <c:v>8053125</c:v>
                </c:pt>
                <c:pt idx="189">
                  <c:v>8055902</c:v>
                </c:pt>
                <c:pt idx="190">
                  <c:v>8204712</c:v>
                </c:pt>
                <c:pt idx="191">
                  <c:v>6887310</c:v>
                </c:pt>
                <c:pt idx="192">
                  <c:v>6340025</c:v>
                </c:pt>
                <c:pt idx="193">
                  <c:v>9971953</c:v>
                </c:pt>
                <c:pt idx="194">
                  <c:v>10207291</c:v>
                </c:pt>
                <c:pt idx="195">
                  <c:v>7613032</c:v>
                </c:pt>
                <c:pt idx="196">
                  <c:v>8787257</c:v>
                </c:pt>
                <c:pt idx="197">
                  <c:v>11693113</c:v>
                </c:pt>
                <c:pt idx="198">
                  <c:v>13080248</c:v>
                </c:pt>
                <c:pt idx="199">
                  <c:v>10251084</c:v>
                </c:pt>
                <c:pt idx="200">
                  <c:v>9518774</c:v>
                </c:pt>
                <c:pt idx="201">
                  <c:v>10717485</c:v>
                </c:pt>
                <c:pt idx="202">
                  <c:v>10251318</c:v>
                </c:pt>
                <c:pt idx="203">
                  <c:v>12774133</c:v>
                </c:pt>
                <c:pt idx="204">
                  <c:v>10546948</c:v>
                </c:pt>
                <c:pt idx="205">
                  <c:v>14941897</c:v>
                </c:pt>
                <c:pt idx="206">
                  <c:v>13919661</c:v>
                </c:pt>
                <c:pt idx="207">
                  <c:v>6699006</c:v>
                </c:pt>
                <c:pt idx="208">
                  <c:v>8441176</c:v>
                </c:pt>
                <c:pt idx="209">
                  <c:v>10821805</c:v>
                </c:pt>
                <c:pt idx="210">
                  <c:v>10999329</c:v>
                </c:pt>
                <c:pt idx="211">
                  <c:v>7621125</c:v>
                </c:pt>
                <c:pt idx="212">
                  <c:v>8198857</c:v>
                </c:pt>
                <c:pt idx="213">
                  <c:v>11412103</c:v>
                </c:pt>
                <c:pt idx="214">
                  <c:v>10399036</c:v>
                </c:pt>
                <c:pt idx="215">
                  <c:v>11878716</c:v>
                </c:pt>
                <c:pt idx="216">
                  <c:v>7029655</c:v>
                </c:pt>
                <c:pt idx="217">
                  <c:v>8940924</c:v>
                </c:pt>
                <c:pt idx="218">
                  <c:v>14357491</c:v>
                </c:pt>
                <c:pt idx="219">
                  <c:v>11112348</c:v>
                </c:pt>
                <c:pt idx="220">
                  <c:v>11887963</c:v>
                </c:pt>
                <c:pt idx="221">
                  <c:v>13514263</c:v>
                </c:pt>
                <c:pt idx="222">
                  <c:v>11711087</c:v>
                </c:pt>
                <c:pt idx="223">
                  <c:v>14124048</c:v>
                </c:pt>
                <c:pt idx="224">
                  <c:v>12440828</c:v>
                </c:pt>
                <c:pt idx="225">
                  <c:v>8639682</c:v>
                </c:pt>
                <c:pt idx="226">
                  <c:v>12586999</c:v>
                </c:pt>
                <c:pt idx="227">
                  <c:v>9833129</c:v>
                </c:pt>
                <c:pt idx="228">
                  <c:v>10992809</c:v>
                </c:pt>
                <c:pt idx="229">
                  <c:v>7015047</c:v>
                </c:pt>
                <c:pt idx="230">
                  <c:v>13472567</c:v>
                </c:pt>
                <c:pt idx="231">
                  <c:v>12750168</c:v>
                </c:pt>
                <c:pt idx="232">
                  <c:v>9529337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2-47FA-9407-B17D6FF22740}"/>
            </c:ext>
          </c:extLst>
        </c:ser>
        <c:ser>
          <c:idx val="1"/>
          <c:order val="1"/>
          <c:tx>
            <c:strRef>
              <c:f>Expanded_regression!$N$3</c:f>
              <c:strCache>
                <c:ptCount val="1"/>
                <c:pt idx="0">
                  <c:v>4w MA Urals loading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Expanded_regression!$B$4:$B$256</c:f>
              <c:numCache>
                <c:formatCode>m/d/yy</c:formatCode>
                <c:ptCount val="233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</c:numCache>
            </c:numRef>
          </c:cat>
          <c:val>
            <c:numRef>
              <c:f>Expanded_regression!$N$4:$N$256</c:f>
              <c:numCache>
                <c:formatCode>General</c:formatCode>
                <c:ptCount val="233"/>
                <c:pt idx="4" formatCode="#,##0">
                  <c:v>13956557.75</c:v>
                </c:pt>
                <c:pt idx="5" formatCode="#,##0">
                  <c:v>14323876.5</c:v>
                </c:pt>
                <c:pt idx="6" formatCode="#,##0">
                  <c:v>14310911.5</c:v>
                </c:pt>
                <c:pt idx="7" formatCode="#,##0">
                  <c:v>15197386.5</c:v>
                </c:pt>
                <c:pt idx="8" formatCode="#,##0">
                  <c:v>16656992.25</c:v>
                </c:pt>
                <c:pt idx="9" formatCode="#,##0">
                  <c:v>16446112.25</c:v>
                </c:pt>
                <c:pt idx="10" formatCode="#,##0">
                  <c:v>16162351.5</c:v>
                </c:pt>
                <c:pt idx="11" formatCode="#,##0">
                  <c:v>16274899.5</c:v>
                </c:pt>
                <c:pt idx="12" formatCode="#,##0">
                  <c:v>15483791.75</c:v>
                </c:pt>
                <c:pt idx="13" formatCode="#,##0">
                  <c:v>16044513.75</c:v>
                </c:pt>
                <c:pt idx="14" formatCode="#,##0">
                  <c:v>16994235.5</c:v>
                </c:pt>
                <c:pt idx="15" formatCode="#,##0">
                  <c:v>16750953.75</c:v>
                </c:pt>
                <c:pt idx="16" formatCode="#,##0">
                  <c:v>16596934.75</c:v>
                </c:pt>
                <c:pt idx="17" formatCode="#,##0">
                  <c:v>15713878.25</c:v>
                </c:pt>
                <c:pt idx="18" formatCode="#,##0">
                  <c:v>14801687.5</c:v>
                </c:pt>
                <c:pt idx="19" formatCode="#,##0">
                  <c:v>15340214.5</c:v>
                </c:pt>
                <c:pt idx="20" formatCode="#,##0">
                  <c:v>14996720.25</c:v>
                </c:pt>
                <c:pt idx="21" formatCode="#,##0">
                  <c:v>14705533.25</c:v>
                </c:pt>
                <c:pt idx="22" formatCode="#,##0">
                  <c:v>13719535.5</c:v>
                </c:pt>
                <c:pt idx="23" formatCode="#,##0">
                  <c:v>13696881.75</c:v>
                </c:pt>
                <c:pt idx="24" formatCode="#,##0">
                  <c:v>13291735.25</c:v>
                </c:pt>
                <c:pt idx="25" formatCode="#,##0">
                  <c:v>13482726.5</c:v>
                </c:pt>
                <c:pt idx="26" formatCode="#,##0">
                  <c:v>13324984</c:v>
                </c:pt>
                <c:pt idx="27" formatCode="#,##0">
                  <c:v>12245648</c:v>
                </c:pt>
                <c:pt idx="28" formatCode="#,##0">
                  <c:v>13134758.5</c:v>
                </c:pt>
                <c:pt idx="29" formatCode="#,##0">
                  <c:v>13507432.25</c:v>
                </c:pt>
                <c:pt idx="30" formatCode="#,##0">
                  <c:v>13256979.25</c:v>
                </c:pt>
                <c:pt idx="31" formatCode="#,##0">
                  <c:v>13877333.5</c:v>
                </c:pt>
                <c:pt idx="32" formatCode="#,##0">
                  <c:v>13522526.5</c:v>
                </c:pt>
                <c:pt idx="33" formatCode="#,##0">
                  <c:v>13434777.5</c:v>
                </c:pt>
                <c:pt idx="34" formatCode="#,##0">
                  <c:v>15013497</c:v>
                </c:pt>
                <c:pt idx="35" formatCode="#,##0">
                  <c:v>14718715</c:v>
                </c:pt>
                <c:pt idx="36" formatCode="#,##0">
                  <c:v>14173276.75</c:v>
                </c:pt>
                <c:pt idx="37" formatCode="#,##0">
                  <c:v>14759282</c:v>
                </c:pt>
                <c:pt idx="38" formatCode="#,##0">
                  <c:v>14384955</c:v>
                </c:pt>
                <c:pt idx="39" formatCode="#,##0">
                  <c:v>15098886</c:v>
                </c:pt>
                <c:pt idx="40" formatCode="#,##0">
                  <c:v>15555627.75</c:v>
                </c:pt>
                <c:pt idx="41" formatCode="#,##0">
                  <c:v>15078911.75</c:v>
                </c:pt>
                <c:pt idx="42" formatCode="#,##0">
                  <c:v>13925475</c:v>
                </c:pt>
                <c:pt idx="43" formatCode="#,##0">
                  <c:v>13893606.5</c:v>
                </c:pt>
                <c:pt idx="44" formatCode="#,##0">
                  <c:v>12793373.75</c:v>
                </c:pt>
                <c:pt idx="45" formatCode="#,##0">
                  <c:v>12655833.25</c:v>
                </c:pt>
                <c:pt idx="46" formatCode="#,##0">
                  <c:v>11885804.75</c:v>
                </c:pt>
                <c:pt idx="47" formatCode="#,##0">
                  <c:v>12790104</c:v>
                </c:pt>
                <c:pt idx="48" formatCode="#,##0">
                  <c:v>13641525.269230768</c:v>
                </c:pt>
                <c:pt idx="49" formatCode="#,##0">
                  <c:v>13446488.769230768</c:v>
                </c:pt>
                <c:pt idx="50" formatCode="#,##0">
                  <c:v>13377822.769230768</c:v>
                </c:pt>
                <c:pt idx="51" formatCode="#,##0">
                  <c:v>12325319.519230768</c:v>
                </c:pt>
                <c:pt idx="52" formatCode="#,##0">
                  <c:v>12134608.75</c:v>
                </c:pt>
                <c:pt idx="53" formatCode="#,##0">
                  <c:v>12538438.5</c:v>
                </c:pt>
                <c:pt idx="54" formatCode="#,##0">
                  <c:v>12569552.5</c:v>
                </c:pt>
                <c:pt idx="55" formatCode="#,##0">
                  <c:v>13075835</c:v>
                </c:pt>
                <c:pt idx="56" formatCode="#,##0">
                  <c:v>12451800.5</c:v>
                </c:pt>
                <c:pt idx="57" formatCode="#,##0">
                  <c:v>13290064.75</c:v>
                </c:pt>
                <c:pt idx="58" formatCode="#,##0">
                  <c:v>12305302</c:v>
                </c:pt>
                <c:pt idx="59" formatCode="#,##0">
                  <c:v>12845927.5</c:v>
                </c:pt>
                <c:pt idx="60" formatCode="#,##0">
                  <c:v>12513730.75</c:v>
                </c:pt>
                <c:pt idx="61" formatCode="#,##0">
                  <c:v>12700145</c:v>
                </c:pt>
                <c:pt idx="62" formatCode="#,##0">
                  <c:v>12876231.5</c:v>
                </c:pt>
                <c:pt idx="63" formatCode="#,##0">
                  <c:v>13241177.25</c:v>
                </c:pt>
                <c:pt idx="64" formatCode="#,##0">
                  <c:v>13310212.5</c:v>
                </c:pt>
                <c:pt idx="65" formatCode="#,##0">
                  <c:v>12827913.75</c:v>
                </c:pt>
                <c:pt idx="66" formatCode="#,##0">
                  <c:v>12825058.75</c:v>
                </c:pt>
                <c:pt idx="67" formatCode="#,##0">
                  <c:v>12478430.25</c:v>
                </c:pt>
                <c:pt idx="68" formatCode="#,##0">
                  <c:v>12300180</c:v>
                </c:pt>
                <c:pt idx="69" formatCode="#,##0">
                  <c:v>11822438.75</c:v>
                </c:pt>
                <c:pt idx="70" formatCode="#,##0">
                  <c:v>11245028.5</c:v>
                </c:pt>
                <c:pt idx="71" formatCode="#,##0">
                  <c:v>11587074.5</c:v>
                </c:pt>
                <c:pt idx="72" formatCode="#,##0">
                  <c:v>11736625.5</c:v>
                </c:pt>
                <c:pt idx="73" formatCode="#,##0">
                  <c:v>12139135.25</c:v>
                </c:pt>
                <c:pt idx="74" formatCode="#,##0">
                  <c:v>11308436</c:v>
                </c:pt>
                <c:pt idx="75" formatCode="#,##0">
                  <c:v>11365185.5</c:v>
                </c:pt>
                <c:pt idx="76" formatCode="#,##0">
                  <c:v>11997053.75</c:v>
                </c:pt>
                <c:pt idx="77" formatCode="#,##0">
                  <c:v>11591241</c:v>
                </c:pt>
                <c:pt idx="78" formatCode="#,##0">
                  <c:v>13022276</c:v>
                </c:pt>
                <c:pt idx="79" formatCode="#,##0">
                  <c:v>11952654.5</c:v>
                </c:pt>
                <c:pt idx="80" formatCode="#,##0">
                  <c:v>12538964</c:v>
                </c:pt>
                <c:pt idx="81" formatCode="#,##0">
                  <c:v>12069263.25</c:v>
                </c:pt>
                <c:pt idx="82" formatCode="#,##0">
                  <c:v>11865462.25</c:v>
                </c:pt>
                <c:pt idx="83" formatCode="#,##0">
                  <c:v>12231532.5</c:v>
                </c:pt>
                <c:pt idx="84" formatCode="#,##0">
                  <c:v>11940750</c:v>
                </c:pt>
                <c:pt idx="85" formatCode="#,##0">
                  <c:v>13144711.5</c:v>
                </c:pt>
                <c:pt idx="86" formatCode="#,##0">
                  <c:v>13911000</c:v>
                </c:pt>
                <c:pt idx="87" formatCode="#,##0">
                  <c:v>14263738.25</c:v>
                </c:pt>
                <c:pt idx="88" formatCode="#,##0">
                  <c:v>14789759.25</c:v>
                </c:pt>
                <c:pt idx="89" formatCode="#,##0">
                  <c:v>13907599.75</c:v>
                </c:pt>
                <c:pt idx="90" formatCode="#,##0">
                  <c:v>12611246.5</c:v>
                </c:pt>
                <c:pt idx="91" formatCode="#,##0">
                  <c:v>12423812.5</c:v>
                </c:pt>
                <c:pt idx="92" formatCode="#,##0">
                  <c:v>12788925.75</c:v>
                </c:pt>
                <c:pt idx="93" formatCode="#,##0">
                  <c:v>13164007.5</c:v>
                </c:pt>
                <c:pt idx="94" formatCode="#,##0">
                  <c:v>13280605.600961538</c:v>
                </c:pt>
                <c:pt idx="95" formatCode="#,##0">
                  <c:v>12921072.100961538</c:v>
                </c:pt>
                <c:pt idx="96" formatCode="#,##0">
                  <c:v>12780007.350961538</c:v>
                </c:pt>
                <c:pt idx="97" formatCode="#,##0">
                  <c:v>12548410.5</c:v>
                </c:pt>
                <c:pt idx="98" formatCode="#,##0">
                  <c:v>12679247.25</c:v>
                </c:pt>
                <c:pt idx="99" formatCode="#,##0">
                  <c:v>13304372.75</c:v>
                </c:pt>
                <c:pt idx="100" formatCode="#,##0">
                  <c:v>13382654.75</c:v>
                </c:pt>
                <c:pt idx="101" formatCode="#,##0">
                  <c:v>13381084.25</c:v>
                </c:pt>
                <c:pt idx="102" formatCode="#,##0">
                  <c:v>13526143.25</c:v>
                </c:pt>
                <c:pt idx="103" formatCode="#,##0">
                  <c:v>13584561.75</c:v>
                </c:pt>
                <c:pt idx="104" formatCode="#,##0">
                  <c:v>13627653.75</c:v>
                </c:pt>
                <c:pt idx="105" formatCode="#,##0">
                  <c:v>14142225</c:v>
                </c:pt>
                <c:pt idx="106" formatCode="#,##0">
                  <c:v>14226842.5</c:v>
                </c:pt>
                <c:pt idx="107" formatCode="#,##0">
                  <c:v>14835469</c:v>
                </c:pt>
                <c:pt idx="108" formatCode="#,##0">
                  <c:v>14842063.25</c:v>
                </c:pt>
                <c:pt idx="109" formatCode="#,##0">
                  <c:v>15422760.25</c:v>
                </c:pt>
                <c:pt idx="110" formatCode="#,##0">
                  <c:v>16338174.5</c:v>
                </c:pt>
                <c:pt idx="111" formatCode="#,##0">
                  <c:v>16559700.5</c:v>
                </c:pt>
                <c:pt idx="112" formatCode="#,##0">
                  <c:v>16743438.5</c:v>
                </c:pt>
                <c:pt idx="113" formatCode="#,##0">
                  <c:v>15973346.25</c:v>
                </c:pt>
                <c:pt idx="114" formatCode="#,##0">
                  <c:v>14618694.75</c:v>
                </c:pt>
                <c:pt idx="115" formatCode="#,##0">
                  <c:v>14365177</c:v>
                </c:pt>
                <c:pt idx="116" formatCode="#,##0">
                  <c:v>13707124</c:v>
                </c:pt>
                <c:pt idx="117" formatCode="#,##0">
                  <c:v>13302125.25</c:v>
                </c:pt>
                <c:pt idx="118" formatCode="#,##0">
                  <c:v>13044218.75</c:v>
                </c:pt>
                <c:pt idx="119" formatCode="#,##0">
                  <c:v>12761125.5</c:v>
                </c:pt>
                <c:pt idx="120" formatCode="#,##0">
                  <c:v>13198651.25</c:v>
                </c:pt>
                <c:pt idx="121" formatCode="#,##0">
                  <c:v>13417563.5</c:v>
                </c:pt>
                <c:pt idx="122" formatCode="#,##0">
                  <c:v>13527232.75</c:v>
                </c:pt>
                <c:pt idx="123" formatCode="#,##0">
                  <c:v>14135662.25</c:v>
                </c:pt>
                <c:pt idx="124" formatCode="#,##0">
                  <c:v>14536452</c:v>
                </c:pt>
                <c:pt idx="125" formatCode="#,##0">
                  <c:v>14759127.75</c:v>
                </c:pt>
                <c:pt idx="126" formatCode="#,##0">
                  <c:v>14973592.5</c:v>
                </c:pt>
                <c:pt idx="127" formatCode="#,##0">
                  <c:v>15375940.5</c:v>
                </c:pt>
                <c:pt idx="128" formatCode="#,##0">
                  <c:v>15314675.75</c:v>
                </c:pt>
                <c:pt idx="129" formatCode="#,##0">
                  <c:v>15126553.5</c:v>
                </c:pt>
                <c:pt idx="130" formatCode="#,##0">
                  <c:v>15091722.75</c:v>
                </c:pt>
                <c:pt idx="131" formatCode="#,##0">
                  <c:v>13146896.25</c:v>
                </c:pt>
                <c:pt idx="132" formatCode="#,##0">
                  <c:v>11425249</c:v>
                </c:pt>
                <c:pt idx="133" formatCode="#,##0">
                  <c:v>10808245</c:v>
                </c:pt>
                <c:pt idx="134" formatCode="#,##0">
                  <c:v>10517330.25</c:v>
                </c:pt>
                <c:pt idx="135" formatCode="#,##0">
                  <c:v>10872468.5</c:v>
                </c:pt>
                <c:pt idx="136" formatCode="#,##0">
                  <c:v>10831707.75</c:v>
                </c:pt>
                <c:pt idx="137" formatCode="#,##0">
                  <c:v>11531307.25</c:v>
                </c:pt>
                <c:pt idx="138" formatCode="#,##0">
                  <c:v>12051664.475961538</c:v>
                </c:pt>
                <c:pt idx="139" formatCode="#,##0">
                  <c:v>12320014.725961538</c:v>
                </c:pt>
                <c:pt idx="140" formatCode="#,##0">
                  <c:v>13376376.475961538</c:v>
                </c:pt>
                <c:pt idx="141" formatCode="#,##0">
                  <c:v>13482304.5</c:v>
                </c:pt>
                <c:pt idx="142" formatCode="#,##0">
                  <c:v>13449353.5</c:v>
                </c:pt>
                <c:pt idx="143" formatCode="#,##0">
                  <c:v>13961366.25</c:v>
                </c:pt>
                <c:pt idx="144" formatCode="#,##0">
                  <c:v>13887750</c:v>
                </c:pt>
                <c:pt idx="145" formatCode="#,##0">
                  <c:v>13690777</c:v>
                </c:pt>
                <c:pt idx="146" formatCode="#,##0">
                  <c:v>14399078.75</c:v>
                </c:pt>
                <c:pt idx="147" formatCode="#,##0">
                  <c:v>14030882.75</c:v>
                </c:pt>
                <c:pt idx="148" formatCode="#,##0">
                  <c:v>13114498.75</c:v>
                </c:pt>
                <c:pt idx="149" formatCode="#,##0">
                  <c:v>12651867</c:v>
                </c:pt>
                <c:pt idx="150" formatCode="#,##0">
                  <c:v>12892904.5</c:v>
                </c:pt>
                <c:pt idx="151" formatCode="#,##0">
                  <c:v>13112167</c:v>
                </c:pt>
                <c:pt idx="152" formatCode="#,##0">
                  <c:v>14392922</c:v>
                </c:pt>
                <c:pt idx="153" formatCode="#,##0">
                  <c:v>15010608</c:v>
                </c:pt>
                <c:pt idx="154" formatCode="#,##0">
                  <c:v>14775192.5</c:v>
                </c:pt>
                <c:pt idx="155" formatCode="#,##0">
                  <c:v>13019402</c:v>
                </c:pt>
                <c:pt idx="156" formatCode="#,##0">
                  <c:v>11444116.75</c:v>
                </c:pt>
                <c:pt idx="157" formatCode="#,##0">
                  <c:v>10569022.5</c:v>
                </c:pt>
                <c:pt idx="158" formatCode="#,##0">
                  <c:v>9821974</c:v>
                </c:pt>
                <c:pt idx="159" formatCode="#,##0">
                  <c:v>9530765.5</c:v>
                </c:pt>
                <c:pt idx="160" formatCode="#,##0">
                  <c:v>8905944.75</c:v>
                </c:pt>
                <c:pt idx="161" formatCode="#,##0">
                  <c:v>8428925.75</c:v>
                </c:pt>
                <c:pt idx="162" formatCode="#,##0">
                  <c:v>7367472</c:v>
                </c:pt>
                <c:pt idx="163" formatCode="#,##0">
                  <c:v>6229938.25</c:v>
                </c:pt>
                <c:pt idx="164" formatCode="#,##0">
                  <c:v>5444529</c:v>
                </c:pt>
                <c:pt idx="165" formatCode="#,##0">
                  <c:v>6588436.25</c:v>
                </c:pt>
                <c:pt idx="166" formatCode="#,##0">
                  <c:v>7773302.25</c:v>
                </c:pt>
                <c:pt idx="167" formatCode="#,##0">
                  <c:v>8614348.5</c:v>
                </c:pt>
                <c:pt idx="168" formatCode="#,##0">
                  <c:v>7872027.75</c:v>
                </c:pt>
                <c:pt idx="169" formatCode="#,##0">
                  <c:v>7873179.25</c:v>
                </c:pt>
                <c:pt idx="170" formatCode="#,##0">
                  <c:v>7657320.25</c:v>
                </c:pt>
                <c:pt idx="171" formatCode="#,##0">
                  <c:v>7770944.25</c:v>
                </c:pt>
                <c:pt idx="172" formatCode="#,##0">
                  <c:v>8503406.25</c:v>
                </c:pt>
                <c:pt idx="173" formatCode="#,##0">
                  <c:v>8319089.5</c:v>
                </c:pt>
                <c:pt idx="174" formatCode="#,##0">
                  <c:v>8352822</c:v>
                </c:pt>
                <c:pt idx="175" formatCode="#,##0">
                  <c:v>8538565</c:v>
                </c:pt>
                <c:pt idx="176" formatCode="#,##0">
                  <c:v>8393535.25</c:v>
                </c:pt>
                <c:pt idx="177" formatCode="#,##0">
                  <c:v>8063517.25</c:v>
                </c:pt>
                <c:pt idx="178" formatCode="#,##0">
                  <c:v>7732048.5</c:v>
                </c:pt>
                <c:pt idx="179" formatCode="#,##0">
                  <c:v>7611704.75</c:v>
                </c:pt>
                <c:pt idx="180" formatCode="#,##0">
                  <c:v>7683051</c:v>
                </c:pt>
                <c:pt idx="181" formatCode="#,##0">
                  <c:v>7245167.75</c:v>
                </c:pt>
                <c:pt idx="182" formatCode="#,##0">
                  <c:v>7219168.25</c:v>
                </c:pt>
                <c:pt idx="183" formatCode="#,##0">
                  <c:v>6970533</c:v>
                </c:pt>
                <c:pt idx="184" formatCode="#,##0">
                  <c:v>7512908.25</c:v>
                </c:pt>
                <c:pt idx="185" formatCode="#,##0">
                  <c:v>9051558.7594339624</c:v>
                </c:pt>
                <c:pt idx="186" formatCode="#,##0">
                  <c:v>9481231.7594339624</c:v>
                </c:pt>
                <c:pt idx="187" formatCode="#,##0">
                  <c:v>9590273.7594339624</c:v>
                </c:pt>
                <c:pt idx="188" formatCode="#,##0">
                  <c:v>9490294.2594339624</c:v>
                </c:pt>
                <c:pt idx="189" formatCode="#,##0">
                  <c:v>9048174.25</c:v>
                </c:pt>
                <c:pt idx="190" formatCode="#,##0">
                  <c:v>8998965.25</c:v>
                </c:pt>
                <c:pt idx="191" formatCode="#,##0">
                  <c:v>9036862</c:v>
                </c:pt>
                <c:pt idx="192" formatCode="#,##0">
                  <c:v>8744714</c:v>
                </c:pt>
                <c:pt idx="193" formatCode="#,##0">
                  <c:v>8022745.75</c:v>
                </c:pt>
                <c:pt idx="194" formatCode="#,##0">
                  <c:v>7851000</c:v>
                </c:pt>
                <c:pt idx="195" formatCode="#,##0">
                  <c:v>8351644.75</c:v>
                </c:pt>
                <c:pt idx="196" formatCode="#,##0">
                  <c:v>8533075.25</c:v>
                </c:pt>
                <c:pt idx="197" formatCode="#,##0">
                  <c:v>9144883.25</c:v>
                </c:pt>
                <c:pt idx="198" formatCode="#,##0">
                  <c:v>9575173.25</c:v>
                </c:pt>
                <c:pt idx="199" formatCode="#,##0">
                  <c:v>10293412.5</c:v>
                </c:pt>
                <c:pt idx="200" formatCode="#,##0">
                  <c:v>10952925.5</c:v>
                </c:pt>
                <c:pt idx="201" formatCode="#,##0">
                  <c:v>11135804.75</c:v>
                </c:pt>
                <c:pt idx="202" formatCode="#,##0">
                  <c:v>10729037.25</c:v>
                </c:pt>
                <c:pt idx="203" formatCode="#,##0">
                  <c:v>10729095.75</c:v>
                </c:pt>
                <c:pt idx="204" formatCode="#,##0">
                  <c:v>11542935.5</c:v>
                </c:pt>
                <c:pt idx="205" formatCode="#,##0">
                  <c:v>11500301.25</c:v>
                </c:pt>
                <c:pt idx="206" formatCode="#,##0">
                  <c:v>12128574</c:v>
                </c:pt>
                <c:pt idx="207" formatCode="#,##0">
                  <c:v>13045659.75</c:v>
                </c:pt>
                <c:pt idx="208" formatCode="#,##0">
                  <c:v>11526878</c:v>
                </c:pt>
                <c:pt idx="209" formatCode="#,##0">
                  <c:v>11000435</c:v>
                </c:pt>
                <c:pt idx="210" formatCode="#,##0">
                  <c:v>9970412</c:v>
                </c:pt>
                <c:pt idx="211" formatCode="#,##0">
                  <c:v>9240329</c:v>
                </c:pt>
                <c:pt idx="212" formatCode="#,##0">
                  <c:v>9470858.75</c:v>
                </c:pt>
                <c:pt idx="213" formatCode="#,##0">
                  <c:v>9410279</c:v>
                </c:pt>
                <c:pt idx="214" formatCode="#,##0">
                  <c:v>9557853.5</c:v>
                </c:pt>
                <c:pt idx="215" formatCode="#,##0">
                  <c:v>9407780.25</c:v>
                </c:pt>
                <c:pt idx="216" formatCode="#,##0">
                  <c:v>10472178</c:v>
                </c:pt>
                <c:pt idx="217" formatCode="#,##0">
                  <c:v>10179877.5</c:v>
                </c:pt>
                <c:pt idx="218" formatCode="#,##0">
                  <c:v>9562082.75</c:v>
                </c:pt>
                <c:pt idx="219" formatCode="#,##0">
                  <c:v>10551696.5</c:v>
                </c:pt>
                <c:pt idx="220" formatCode="#,##0">
                  <c:v>10360104.5</c:v>
                </c:pt>
                <c:pt idx="221" formatCode="#,##0">
                  <c:v>11574681.5</c:v>
                </c:pt>
                <c:pt idx="222" formatCode="#,##0">
                  <c:v>12718016.25</c:v>
                </c:pt>
                <c:pt idx="223" formatCode="#,##0">
                  <c:v>12056415.25</c:v>
                </c:pt>
                <c:pt idx="224" formatCode="#,##0">
                  <c:v>12809340.25</c:v>
                </c:pt>
                <c:pt idx="225" formatCode="#,##0">
                  <c:v>12947556.5</c:v>
                </c:pt>
                <c:pt idx="226" formatCode="#,##0">
                  <c:v>11728911.25</c:v>
                </c:pt>
                <c:pt idx="227" formatCode="#,##0">
                  <c:v>11947889.25</c:v>
                </c:pt>
                <c:pt idx="228" formatCode="#,##0">
                  <c:v>10875159.5</c:v>
                </c:pt>
                <c:pt idx="229" formatCode="#,##0">
                  <c:v>10513154.75</c:v>
                </c:pt>
                <c:pt idx="230" formatCode="#,##0">
                  <c:v>10106996</c:v>
                </c:pt>
                <c:pt idx="231" formatCode="#,##0">
                  <c:v>10328388</c:v>
                </c:pt>
                <c:pt idx="232" formatCode="#,##0">
                  <c:v>11057647.75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2-47FA-9407-B17D6FF22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3012655"/>
        <c:axId val="1883018063"/>
      </c:lineChart>
      <c:dateAx>
        <c:axId val="188301265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18063"/>
        <c:crosses val="autoZero"/>
        <c:auto val="1"/>
        <c:lblOffset val="100"/>
        <c:baseTimeUnit val="days"/>
      </c:dateAx>
      <c:valAx>
        <c:axId val="18830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Loadings</a:t>
                </a:r>
                <a:r>
                  <a:rPr lang="en-GB" b="1" baseline="0"/>
                  <a:t> (in mb/w)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12655"/>
        <c:crosses val="autoZero"/>
        <c:crossBetween val="between"/>
        <c:dispUnits>
          <c:builtInUnit val="millions"/>
        </c:dispUnits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Brent futures (LCOc1) time series</a:t>
            </a:r>
          </a:p>
          <a:p>
            <a:pPr>
              <a:defRPr/>
            </a:pPr>
            <a:r>
              <a:rPr lang="en-GB" sz="1000">
                <a:solidFill>
                  <a:sysClr val="windowText" lastClr="000000"/>
                </a:solidFill>
              </a:rPr>
              <a:t>Data: Refinitiv Eikon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Expanded_regression!#REF!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Expanded_regression!$B$4:$B$256</c:f>
              <c:numCache>
                <c:formatCode>m/d/yy</c:formatCode>
                <c:ptCount val="233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</c:numCache>
            </c:numRef>
          </c:cat>
          <c:val>
            <c:numRef>
              <c:f>Expanded_regression!$C$4:$C$256</c:f>
              <c:numCache>
                <c:formatCode>General</c:formatCode>
                <c:ptCount val="233"/>
                <c:pt idx="0">
                  <c:v>56.75</c:v>
                </c:pt>
                <c:pt idx="1">
                  <c:v>55.59</c:v>
                </c:pt>
                <c:pt idx="2">
                  <c:v>55.49</c:v>
                </c:pt>
                <c:pt idx="3">
                  <c:v>55.46</c:v>
                </c:pt>
                <c:pt idx="4">
                  <c:v>56.72</c:v>
                </c:pt>
                <c:pt idx="5">
                  <c:v>56.61</c:v>
                </c:pt>
                <c:pt idx="6">
                  <c:v>55.72</c:v>
                </c:pt>
                <c:pt idx="7">
                  <c:v>56.04</c:v>
                </c:pt>
                <c:pt idx="8">
                  <c:v>55.71</c:v>
                </c:pt>
                <c:pt idx="9">
                  <c:v>51.27</c:v>
                </c:pt>
                <c:pt idx="10">
                  <c:v>51.67</c:v>
                </c:pt>
                <c:pt idx="11">
                  <c:v>50.97</c:v>
                </c:pt>
                <c:pt idx="12">
                  <c:v>52.74</c:v>
                </c:pt>
                <c:pt idx="13">
                  <c:v>55.26</c:v>
                </c:pt>
                <c:pt idx="14">
                  <c:v>52.05</c:v>
                </c:pt>
                <c:pt idx="15">
                  <c:v>51.71</c:v>
                </c:pt>
                <c:pt idx="16">
                  <c:v>49.47</c:v>
                </c:pt>
                <c:pt idx="17">
                  <c:v>50.91</c:v>
                </c:pt>
                <c:pt idx="18">
                  <c:v>53.8</c:v>
                </c:pt>
                <c:pt idx="19">
                  <c:v>52.23</c:v>
                </c:pt>
                <c:pt idx="20">
                  <c:v>49.95</c:v>
                </c:pt>
                <c:pt idx="21">
                  <c:v>48.3</c:v>
                </c:pt>
                <c:pt idx="22">
                  <c:v>47.29</c:v>
                </c:pt>
                <c:pt idx="23">
                  <c:v>45.61</c:v>
                </c:pt>
                <c:pt idx="24">
                  <c:v>47.9</c:v>
                </c:pt>
                <c:pt idx="25">
                  <c:v>46.88</c:v>
                </c:pt>
                <c:pt idx="26">
                  <c:v>49.09</c:v>
                </c:pt>
                <c:pt idx="27">
                  <c:v>47.93</c:v>
                </c:pt>
                <c:pt idx="28">
                  <c:v>52.63</c:v>
                </c:pt>
                <c:pt idx="29">
                  <c:v>52.46</c:v>
                </c:pt>
                <c:pt idx="30">
                  <c:v>52.05</c:v>
                </c:pt>
                <c:pt idx="31">
                  <c:v>52.86</c:v>
                </c:pt>
                <c:pt idx="32">
                  <c:v>52.35</c:v>
                </c:pt>
                <c:pt idx="33">
                  <c:v>52.69</c:v>
                </c:pt>
                <c:pt idx="34">
                  <c:v>53.75</c:v>
                </c:pt>
                <c:pt idx="35">
                  <c:v>55.48</c:v>
                </c:pt>
                <c:pt idx="36">
                  <c:v>56.9</c:v>
                </c:pt>
                <c:pt idx="37">
                  <c:v>57.51</c:v>
                </c:pt>
                <c:pt idx="38">
                  <c:v>55.68</c:v>
                </c:pt>
                <c:pt idx="39">
                  <c:v>57.2</c:v>
                </c:pt>
                <c:pt idx="40">
                  <c:v>60.5</c:v>
                </c:pt>
                <c:pt idx="41">
                  <c:v>62.09</c:v>
                </c:pt>
                <c:pt idx="42">
                  <c:v>63.6</c:v>
                </c:pt>
                <c:pt idx="43">
                  <c:v>62.72</c:v>
                </c:pt>
                <c:pt idx="44">
                  <c:v>63.73</c:v>
                </c:pt>
                <c:pt idx="45">
                  <c:v>63.7</c:v>
                </c:pt>
                <c:pt idx="46">
                  <c:v>63.39</c:v>
                </c:pt>
                <c:pt idx="47">
                  <c:v>63.25</c:v>
                </c:pt>
                <c:pt idx="48">
                  <c:v>65.040000000000006</c:v>
                </c:pt>
                <c:pt idx="49">
                  <c:v>66.62</c:v>
                </c:pt>
                <c:pt idx="50">
                  <c:v>67.790000000000006</c:v>
                </c:pt>
                <c:pt idx="51">
                  <c:v>69.81</c:v>
                </c:pt>
                <c:pt idx="52">
                  <c:v>68.650000000000006</c:v>
                </c:pt>
                <c:pt idx="53">
                  <c:v>70.290000000000006</c:v>
                </c:pt>
                <c:pt idx="54">
                  <c:v>68.23</c:v>
                </c:pt>
                <c:pt idx="55">
                  <c:v>62.71</c:v>
                </c:pt>
                <c:pt idx="56">
                  <c:v>64.900000000000006</c:v>
                </c:pt>
                <c:pt idx="57">
                  <c:v>64.56</c:v>
                </c:pt>
                <c:pt idx="58">
                  <c:v>65.489999999999995</c:v>
                </c:pt>
                <c:pt idx="59">
                  <c:v>65.989999999999995</c:v>
                </c:pt>
                <c:pt idx="60">
                  <c:v>70.36</c:v>
                </c:pt>
                <c:pt idx="61">
                  <c:v>66.930000000000007</c:v>
                </c:pt>
                <c:pt idx="62">
                  <c:v>72.62</c:v>
                </c:pt>
                <c:pt idx="63">
                  <c:v>73.709999999999994</c:v>
                </c:pt>
                <c:pt idx="64">
                  <c:v>74.44</c:v>
                </c:pt>
                <c:pt idx="65">
                  <c:v>75</c:v>
                </c:pt>
                <c:pt idx="66">
                  <c:v>77.180000000000007</c:v>
                </c:pt>
                <c:pt idx="67">
                  <c:v>78.709999999999994</c:v>
                </c:pt>
                <c:pt idx="68">
                  <c:v>76.33</c:v>
                </c:pt>
                <c:pt idx="69">
                  <c:v>76.709999999999994</c:v>
                </c:pt>
                <c:pt idx="70">
                  <c:v>76.34</c:v>
                </c:pt>
                <c:pt idx="71">
                  <c:v>73</c:v>
                </c:pt>
                <c:pt idx="72">
                  <c:v>75.53</c:v>
                </c:pt>
                <c:pt idx="73">
                  <c:v>79.42</c:v>
                </c:pt>
                <c:pt idx="74">
                  <c:v>77.290000000000006</c:v>
                </c:pt>
                <c:pt idx="75">
                  <c:v>74.92</c:v>
                </c:pt>
                <c:pt idx="76">
                  <c:v>73</c:v>
                </c:pt>
                <c:pt idx="77">
                  <c:v>74.39</c:v>
                </c:pt>
                <c:pt idx="78">
                  <c:v>72.959999999999994</c:v>
                </c:pt>
                <c:pt idx="79">
                  <c:v>71.86</c:v>
                </c:pt>
                <c:pt idx="80">
                  <c:v>75.430000000000007</c:v>
                </c:pt>
                <c:pt idx="81">
                  <c:v>77.45</c:v>
                </c:pt>
                <c:pt idx="82">
                  <c:v>77.099999999999994</c:v>
                </c:pt>
                <c:pt idx="83">
                  <c:v>78.099999999999994</c:v>
                </c:pt>
                <c:pt idx="84">
                  <c:v>78.77</c:v>
                </c:pt>
                <c:pt idx="85">
                  <c:v>82.69</c:v>
                </c:pt>
                <c:pt idx="86">
                  <c:v>84.11</c:v>
                </c:pt>
                <c:pt idx="87">
                  <c:v>80.599999999999994</c:v>
                </c:pt>
                <c:pt idx="88">
                  <c:v>80.02</c:v>
                </c:pt>
                <c:pt idx="89">
                  <c:v>77.73</c:v>
                </c:pt>
                <c:pt idx="90">
                  <c:v>69.88</c:v>
                </c:pt>
                <c:pt idx="91">
                  <c:v>67.099999999999994</c:v>
                </c:pt>
                <c:pt idx="92">
                  <c:v>59.19</c:v>
                </c:pt>
                <c:pt idx="93">
                  <c:v>58.68</c:v>
                </c:pt>
                <c:pt idx="94">
                  <c:v>61.4</c:v>
                </c:pt>
                <c:pt idx="95">
                  <c:v>60.25</c:v>
                </c:pt>
                <c:pt idx="96">
                  <c:v>53.5</c:v>
                </c:pt>
                <c:pt idx="97">
                  <c:v>57.42</c:v>
                </c:pt>
                <c:pt idx="98">
                  <c:v>60.59</c:v>
                </c:pt>
                <c:pt idx="99">
                  <c:v>62.58</c:v>
                </c:pt>
                <c:pt idx="100">
                  <c:v>61.51</c:v>
                </c:pt>
                <c:pt idx="101">
                  <c:v>62.9</c:v>
                </c:pt>
                <c:pt idx="102">
                  <c:v>61.97</c:v>
                </c:pt>
                <c:pt idx="103">
                  <c:v>64.88</c:v>
                </c:pt>
                <c:pt idx="104">
                  <c:v>66.91</c:v>
                </c:pt>
                <c:pt idx="105">
                  <c:v>65</c:v>
                </c:pt>
                <c:pt idx="106">
                  <c:v>67.02</c:v>
                </c:pt>
                <c:pt idx="107">
                  <c:v>67.08</c:v>
                </c:pt>
                <c:pt idx="108">
                  <c:v>68.39</c:v>
                </c:pt>
                <c:pt idx="109">
                  <c:v>70.48</c:v>
                </c:pt>
                <c:pt idx="110">
                  <c:v>71.55</c:v>
                </c:pt>
                <c:pt idx="111">
                  <c:v>71.569999999999993</c:v>
                </c:pt>
                <c:pt idx="112">
                  <c:v>70.78</c:v>
                </c:pt>
                <c:pt idx="113">
                  <c:v>72.17</c:v>
                </c:pt>
                <c:pt idx="114">
                  <c:v>64.47</c:v>
                </c:pt>
                <c:pt idx="115">
                  <c:v>63.24</c:v>
                </c:pt>
                <c:pt idx="116">
                  <c:v>62.04</c:v>
                </c:pt>
                <c:pt idx="117">
                  <c:v>65.349999999999994</c:v>
                </c:pt>
                <c:pt idx="118">
                  <c:v>66.510000000000005</c:v>
                </c:pt>
                <c:pt idx="119">
                  <c:v>64.44</c:v>
                </c:pt>
                <c:pt idx="120">
                  <c:v>67</c:v>
                </c:pt>
                <c:pt idx="121">
                  <c:v>62.65</c:v>
                </c:pt>
                <c:pt idx="122">
                  <c:v>63.39</c:v>
                </c:pt>
                <c:pt idx="123">
                  <c:v>61.17</c:v>
                </c:pt>
                <c:pt idx="124">
                  <c:v>58.42</c:v>
                </c:pt>
                <c:pt idx="125">
                  <c:v>58.64</c:v>
                </c:pt>
                <c:pt idx="126">
                  <c:v>58.94</c:v>
                </c:pt>
                <c:pt idx="127">
                  <c:v>60.43</c:v>
                </c:pt>
                <c:pt idx="128">
                  <c:v>61.78</c:v>
                </c:pt>
                <c:pt idx="129">
                  <c:v>60.25</c:v>
                </c:pt>
                <c:pt idx="130">
                  <c:v>64.77</c:v>
                </c:pt>
                <c:pt idx="131">
                  <c:v>61.91</c:v>
                </c:pt>
                <c:pt idx="132">
                  <c:v>58.43</c:v>
                </c:pt>
                <c:pt idx="133">
                  <c:v>60.68</c:v>
                </c:pt>
                <c:pt idx="134">
                  <c:v>59.3</c:v>
                </c:pt>
                <c:pt idx="135">
                  <c:v>62.03</c:v>
                </c:pt>
                <c:pt idx="136">
                  <c:v>61.55</c:v>
                </c:pt>
                <c:pt idx="137">
                  <c:v>62.61</c:v>
                </c:pt>
                <c:pt idx="138">
                  <c:v>63.45</c:v>
                </c:pt>
                <c:pt idx="139">
                  <c:v>63.5</c:v>
                </c:pt>
                <c:pt idx="140">
                  <c:v>64.27</c:v>
                </c:pt>
                <c:pt idx="141">
                  <c:v>64.989999999999995</c:v>
                </c:pt>
                <c:pt idx="142">
                  <c:v>66.099999999999994</c:v>
                </c:pt>
                <c:pt idx="143">
                  <c:v>68.2</c:v>
                </c:pt>
                <c:pt idx="144">
                  <c:v>68.7</c:v>
                </c:pt>
                <c:pt idx="145">
                  <c:v>65.099999999999994</c:v>
                </c:pt>
                <c:pt idx="146">
                  <c:v>65.349999999999994</c:v>
                </c:pt>
                <c:pt idx="147">
                  <c:v>60.56</c:v>
                </c:pt>
                <c:pt idx="148">
                  <c:v>58.19</c:v>
                </c:pt>
                <c:pt idx="149">
                  <c:v>54.5</c:v>
                </c:pt>
                <c:pt idx="150">
                  <c:v>57.24</c:v>
                </c:pt>
                <c:pt idx="151">
                  <c:v>58.36</c:v>
                </c:pt>
                <c:pt idx="152">
                  <c:v>50.5</c:v>
                </c:pt>
                <c:pt idx="153">
                  <c:v>45.5</c:v>
                </c:pt>
                <c:pt idx="154">
                  <c:v>34.97</c:v>
                </c:pt>
                <c:pt idx="155">
                  <c:v>27.21</c:v>
                </c:pt>
                <c:pt idx="156">
                  <c:v>25.1</c:v>
                </c:pt>
                <c:pt idx="157">
                  <c:v>34.65</c:v>
                </c:pt>
                <c:pt idx="158">
                  <c:v>28.25</c:v>
                </c:pt>
                <c:pt idx="159">
                  <c:v>21.8</c:v>
                </c:pt>
                <c:pt idx="160">
                  <c:v>32.74</c:v>
                </c:pt>
                <c:pt idx="161">
                  <c:v>35.119999999999997</c:v>
                </c:pt>
                <c:pt idx="162">
                  <c:v>35.31</c:v>
                </c:pt>
                <c:pt idx="163">
                  <c:v>42.07</c:v>
                </c:pt>
                <c:pt idx="164">
                  <c:v>41.92</c:v>
                </c:pt>
                <c:pt idx="165">
                  <c:v>40.67</c:v>
                </c:pt>
                <c:pt idx="166">
                  <c:v>43.17</c:v>
                </c:pt>
                <c:pt idx="167">
                  <c:v>43.1</c:v>
                </c:pt>
                <c:pt idx="168">
                  <c:v>43.42</c:v>
                </c:pt>
                <c:pt idx="169">
                  <c:v>43.32</c:v>
                </c:pt>
                <c:pt idx="170">
                  <c:v>44.69</c:v>
                </c:pt>
                <c:pt idx="171">
                  <c:v>44.95</c:v>
                </c:pt>
                <c:pt idx="172">
                  <c:v>44.26</c:v>
                </c:pt>
                <c:pt idx="173">
                  <c:v>45.08</c:v>
                </c:pt>
                <c:pt idx="174">
                  <c:v>42.35</c:v>
                </c:pt>
                <c:pt idx="175">
                  <c:v>39.92</c:v>
                </c:pt>
                <c:pt idx="176">
                  <c:v>43.04</c:v>
                </c:pt>
                <c:pt idx="177">
                  <c:v>41.79</c:v>
                </c:pt>
                <c:pt idx="178">
                  <c:v>38.9</c:v>
                </c:pt>
                <c:pt idx="179">
                  <c:v>42.82</c:v>
                </c:pt>
                <c:pt idx="180">
                  <c:v>42.85</c:v>
                </c:pt>
                <c:pt idx="181">
                  <c:v>41.59</c:v>
                </c:pt>
                <c:pt idx="182">
                  <c:v>37.450000000000003</c:v>
                </c:pt>
                <c:pt idx="183">
                  <c:v>39.6</c:v>
                </c:pt>
                <c:pt idx="184">
                  <c:v>42.63</c:v>
                </c:pt>
                <c:pt idx="185">
                  <c:v>45.24</c:v>
                </c:pt>
                <c:pt idx="186">
                  <c:v>48.27</c:v>
                </c:pt>
                <c:pt idx="187">
                  <c:v>49.03</c:v>
                </c:pt>
                <c:pt idx="188">
                  <c:v>50.07</c:v>
                </c:pt>
                <c:pt idx="189">
                  <c:v>52.37</c:v>
                </c:pt>
                <c:pt idx="190">
                  <c:v>56.36</c:v>
                </c:pt>
                <c:pt idx="191">
                  <c:v>55</c:v>
                </c:pt>
                <c:pt idx="192">
                  <c:v>55.21</c:v>
                </c:pt>
                <c:pt idx="193">
                  <c:v>55.89</c:v>
                </c:pt>
                <c:pt idx="194">
                  <c:v>59.62</c:v>
                </c:pt>
                <c:pt idx="195">
                  <c:v>62.71</c:v>
                </c:pt>
                <c:pt idx="196">
                  <c:v>62.84</c:v>
                </c:pt>
                <c:pt idx="197">
                  <c:v>65.97</c:v>
                </c:pt>
                <c:pt idx="198">
                  <c:v>69.69</c:v>
                </c:pt>
                <c:pt idx="199">
                  <c:v>69.23</c:v>
                </c:pt>
                <c:pt idx="200">
                  <c:v>64.459999999999994</c:v>
                </c:pt>
                <c:pt idx="201">
                  <c:v>64.33</c:v>
                </c:pt>
                <c:pt idx="202">
                  <c:v>63.05</c:v>
                </c:pt>
                <c:pt idx="203">
                  <c:v>66.72</c:v>
                </c:pt>
                <c:pt idx="204">
                  <c:v>66.12</c:v>
                </c:pt>
                <c:pt idx="205">
                  <c:v>67.260000000000005</c:v>
                </c:pt>
                <c:pt idx="206">
                  <c:v>68.27</c:v>
                </c:pt>
                <c:pt idx="207">
                  <c:v>68.83</c:v>
                </c:pt>
                <c:pt idx="208">
                  <c:v>66.73</c:v>
                </c:pt>
                <c:pt idx="209">
                  <c:v>69.650000000000006</c:v>
                </c:pt>
                <c:pt idx="210">
                  <c:v>71.819999999999993</c:v>
                </c:pt>
                <c:pt idx="211">
                  <c:v>72.62</c:v>
                </c:pt>
                <c:pt idx="212">
                  <c:v>73.22</c:v>
                </c:pt>
                <c:pt idx="213">
                  <c:v>76.010000000000005</c:v>
                </c:pt>
                <c:pt idx="214">
                  <c:v>75.97</c:v>
                </c:pt>
                <c:pt idx="215">
                  <c:v>75.58</c:v>
                </c:pt>
                <c:pt idx="216">
                  <c:v>73.3</c:v>
                </c:pt>
                <c:pt idx="217">
                  <c:v>74.19</c:v>
                </c:pt>
                <c:pt idx="218">
                  <c:v>76.33</c:v>
                </c:pt>
                <c:pt idx="219">
                  <c:v>70.489999999999995</c:v>
                </c:pt>
                <c:pt idx="220">
                  <c:v>70.25</c:v>
                </c:pt>
                <c:pt idx="221">
                  <c:v>65</c:v>
                </c:pt>
                <c:pt idx="222">
                  <c:v>72.75</c:v>
                </c:pt>
                <c:pt idx="223">
                  <c:v>72.48</c:v>
                </c:pt>
                <c:pt idx="224">
                  <c:v>72.95</c:v>
                </c:pt>
                <c:pt idx="225">
                  <c:v>75.489999999999995</c:v>
                </c:pt>
                <c:pt idx="226">
                  <c:v>78.069999999999993</c:v>
                </c:pt>
                <c:pt idx="227">
                  <c:v>79.239999999999995</c:v>
                </c:pt>
                <c:pt idx="228">
                  <c:v>82.58</c:v>
                </c:pt>
                <c:pt idx="229">
                  <c:v>84.92</c:v>
                </c:pt>
                <c:pt idx="230">
                  <c:v>85.77</c:v>
                </c:pt>
                <c:pt idx="231">
                  <c:v>84.38</c:v>
                </c:pt>
                <c:pt idx="232">
                  <c:v>82.55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8-45D7-ABC6-1961D0CE3A8B}"/>
            </c:ext>
          </c:extLst>
        </c:ser>
        <c:ser>
          <c:idx val="1"/>
          <c:order val="1"/>
          <c:tx>
            <c:strRef>
              <c:f>Expanded_regression!$I$3</c:f>
              <c:strCache>
                <c:ptCount val="1"/>
                <c:pt idx="0">
                  <c:v>4w MA LCOc1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Expanded_regression!$B$4:$B$256</c:f>
              <c:numCache>
                <c:formatCode>m/d/yy</c:formatCode>
                <c:ptCount val="233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</c:numCache>
            </c:numRef>
          </c:cat>
          <c:val>
            <c:numRef>
              <c:f>Expanded_regression!$I$4:$I$256</c:f>
              <c:numCache>
                <c:formatCode>#,##0</c:formatCode>
                <c:ptCount val="233"/>
                <c:pt idx="4" formatCode="#,##0.00">
                  <c:v>55.822500000000005</c:v>
                </c:pt>
                <c:pt idx="5" formatCode="#,##0.00">
                  <c:v>55.815000000000005</c:v>
                </c:pt>
                <c:pt idx="6" formatCode="#,##0.00">
                  <c:v>56.070000000000007</c:v>
                </c:pt>
                <c:pt idx="7" formatCode="#,##0.00">
                  <c:v>56.127500000000005</c:v>
                </c:pt>
                <c:pt idx="8" formatCode="#,##0.00">
                  <c:v>56.272500000000001</c:v>
                </c:pt>
                <c:pt idx="9" formatCode="#,##0.00">
                  <c:v>56.02</c:v>
                </c:pt>
                <c:pt idx="10" formatCode="#,##0.00">
                  <c:v>54.685000000000002</c:v>
                </c:pt>
                <c:pt idx="11" formatCode="#,##0.00">
                  <c:v>53.672499999999999</c:v>
                </c:pt>
                <c:pt idx="12" formatCode="#,##0.00">
                  <c:v>52.405000000000001</c:v>
                </c:pt>
                <c:pt idx="13" formatCode="#,##0.00">
                  <c:v>51.662500000000001</c:v>
                </c:pt>
                <c:pt idx="14" formatCode="#,##0.00">
                  <c:v>53.652500000000003</c:v>
                </c:pt>
                <c:pt idx="15" formatCode="#,##0.00">
                  <c:v>53.922499999999999</c:v>
                </c:pt>
                <c:pt idx="16" formatCode="#,##0.00">
                  <c:v>53.664999999999999</c:v>
                </c:pt>
                <c:pt idx="17" formatCode="#,##0.00">
                  <c:v>52.217500000000001</c:v>
                </c:pt>
                <c:pt idx="18" formatCode="#,##0.00">
                  <c:v>51.034999999999997</c:v>
                </c:pt>
                <c:pt idx="19" formatCode="#,##0.00">
                  <c:v>51.472499999999997</c:v>
                </c:pt>
                <c:pt idx="20" formatCode="#,##0.00">
                  <c:v>51.602499999999999</c:v>
                </c:pt>
                <c:pt idx="21" formatCode="#,##0.00">
                  <c:v>51.722499999999997</c:v>
                </c:pt>
                <c:pt idx="22" formatCode="#,##0.00">
                  <c:v>51.070000000000007</c:v>
                </c:pt>
                <c:pt idx="23" formatCode="#,##0.00">
                  <c:v>49.442500000000003</c:v>
                </c:pt>
                <c:pt idx="24" formatCode="#,##0.00">
                  <c:v>47.787499999999994</c:v>
                </c:pt>
                <c:pt idx="25" formatCode="#,##0.00">
                  <c:v>47.274999999999999</c:v>
                </c:pt>
                <c:pt idx="26" formatCode="#,##0.00">
                  <c:v>46.92</c:v>
                </c:pt>
                <c:pt idx="27" formatCode="#,##0.00">
                  <c:v>47.37</c:v>
                </c:pt>
                <c:pt idx="28" formatCode="#,##0.00">
                  <c:v>47.95</c:v>
                </c:pt>
                <c:pt idx="29" formatCode="#,##0.00">
                  <c:v>49.1325</c:v>
                </c:pt>
                <c:pt idx="30" formatCode="#,##0.00">
                  <c:v>50.527500000000003</c:v>
                </c:pt>
                <c:pt idx="31" formatCode="#,##0.00">
                  <c:v>51.267499999999998</c:v>
                </c:pt>
                <c:pt idx="32" formatCode="#,##0.00">
                  <c:v>52.5</c:v>
                </c:pt>
                <c:pt idx="33" formatCode="#,##0.00">
                  <c:v>52.43</c:v>
                </c:pt>
                <c:pt idx="34" formatCode="#,##0.00">
                  <c:v>52.487499999999997</c:v>
                </c:pt>
                <c:pt idx="35" formatCode="#,##0.00">
                  <c:v>52.912500000000001</c:v>
                </c:pt>
                <c:pt idx="36" formatCode="#,##0.00">
                  <c:v>53.567499999999995</c:v>
                </c:pt>
                <c:pt idx="37" formatCode="#,##0.00">
                  <c:v>54.704999999999998</c:v>
                </c:pt>
                <c:pt idx="38" formatCode="#,##0.00">
                  <c:v>55.91</c:v>
                </c:pt>
                <c:pt idx="39" formatCode="#,##0.00">
                  <c:v>56.392499999999998</c:v>
                </c:pt>
                <c:pt idx="40" formatCode="#,##0.00">
                  <c:v>57.082499999999996</c:v>
                </c:pt>
                <c:pt idx="41" formatCode="#,##0.00">
                  <c:v>57.83</c:v>
                </c:pt>
                <c:pt idx="42" formatCode="#,##0.00">
                  <c:v>59.432499999999997</c:v>
                </c:pt>
                <c:pt idx="43" formatCode="#,##0.00">
                  <c:v>61.032499999999999</c:v>
                </c:pt>
                <c:pt idx="44" formatCode="#,##0.00">
                  <c:v>62.227499999999999</c:v>
                </c:pt>
                <c:pt idx="45" formatCode="#,##0.00">
                  <c:v>63.034999999999997</c:v>
                </c:pt>
                <c:pt idx="46" formatCode="#,##0.00">
                  <c:v>63.4375</c:v>
                </c:pt>
                <c:pt idx="47" formatCode="#,##0.00">
                  <c:v>63.384999999999991</c:v>
                </c:pt>
                <c:pt idx="48" formatCode="#,##0.00">
                  <c:v>63.517499999999998</c:v>
                </c:pt>
                <c:pt idx="49" formatCode="#,##0.00">
                  <c:v>63.844999999999999</c:v>
                </c:pt>
                <c:pt idx="50" formatCode="#,##0.00">
                  <c:v>64.575000000000003</c:v>
                </c:pt>
                <c:pt idx="51" formatCode="#,##0.00">
                  <c:v>65.675000000000011</c:v>
                </c:pt>
                <c:pt idx="52" formatCode="#,##0.00">
                  <c:v>67.315000000000012</c:v>
                </c:pt>
                <c:pt idx="53" formatCode="#,##0.00">
                  <c:v>68.217500000000001</c:v>
                </c:pt>
                <c:pt idx="54" formatCode="#,##0.00">
                  <c:v>69.135000000000005</c:v>
                </c:pt>
                <c:pt idx="55" formatCode="#,##0.00">
                  <c:v>69.245000000000005</c:v>
                </c:pt>
                <c:pt idx="56" formatCode="#,##0.00">
                  <c:v>67.47</c:v>
                </c:pt>
                <c:pt idx="57" formatCode="#,##0.00">
                  <c:v>65.734999999999999</c:v>
                </c:pt>
                <c:pt idx="58" formatCode="#,##0.00">
                  <c:v>64.817499999999995</c:v>
                </c:pt>
                <c:pt idx="59" formatCode="#,##0.00">
                  <c:v>65.512500000000003</c:v>
                </c:pt>
                <c:pt idx="60" formatCode="#,##0.00">
                  <c:v>65.784999999999997</c:v>
                </c:pt>
                <c:pt idx="61" formatCode="#,##0.00">
                  <c:v>68.014999999999986</c:v>
                </c:pt>
                <c:pt idx="62" formatCode="#,##0.00">
                  <c:v>68.375</c:v>
                </c:pt>
                <c:pt idx="63" formatCode="#,##0.00">
                  <c:v>70.032499999999999</c:v>
                </c:pt>
                <c:pt idx="64" formatCode="#,##0.00">
                  <c:v>70.87</c:v>
                </c:pt>
                <c:pt idx="65" formatCode="#,##0.00">
                  <c:v>71.924999999999997</c:v>
                </c:pt>
                <c:pt idx="66" formatCode="#,##0.00">
                  <c:v>73.942499999999995</c:v>
                </c:pt>
                <c:pt idx="67" formatCode="#,##0.00">
                  <c:v>75.082499999999996</c:v>
                </c:pt>
                <c:pt idx="68" formatCode="#,##0.00">
                  <c:v>76.332499999999996</c:v>
                </c:pt>
                <c:pt idx="69" formatCode="#,##0.00">
                  <c:v>76.804999999999993</c:v>
                </c:pt>
                <c:pt idx="70" formatCode="#,##0.00">
                  <c:v>77.232499999999987</c:v>
                </c:pt>
                <c:pt idx="71" formatCode="#,##0.00">
                  <c:v>77.022500000000008</c:v>
                </c:pt>
                <c:pt idx="72" formatCode="#,##0.00">
                  <c:v>75.594999999999999</c:v>
                </c:pt>
                <c:pt idx="73" formatCode="#,##0.00">
                  <c:v>75.39500000000001</c:v>
                </c:pt>
                <c:pt idx="74" formatCode="#,##0.00">
                  <c:v>76.072500000000005</c:v>
                </c:pt>
                <c:pt idx="75" formatCode="#,##0.00">
                  <c:v>76.31</c:v>
                </c:pt>
                <c:pt idx="76" formatCode="#,##0.00">
                  <c:v>76.790000000000006</c:v>
                </c:pt>
                <c:pt idx="77" formatCode="#,##0.00">
                  <c:v>76.157499999999999</c:v>
                </c:pt>
                <c:pt idx="78" formatCode="#,##0.00">
                  <c:v>73.932500000000005</c:v>
                </c:pt>
                <c:pt idx="79" formatCode="#,##0.00">
                  <c:v>73.442499999999995</c:v>
                </c:pt>
                <c:pt idx="80" formatCode="#,##0.00">
                  <c:v>73.157499999999999</c:v>
                </c:pt>
                <c:pt idx="81" formatCode="#,##0.00">
                  <c:v>73.417500000000004</c:v>
                </c:pt>
                <c:pt idx="82" formatCode="#,##0.00">
                  <c:v>74.424999999999997</c:v>
                </c:pt>
                <c:pt idx="83" formatCode="#,##0.00">
                  <c:v>75.460000000000008</c:v>
                </c:pt>
                <c:pt idx="84" formatCode="#,##0.00">
                  <c:v>77.02</c:v>
                </c:pt>
                <c:pt idx="85" formatCode="#,##0.00">
                  <c:v>77.855000000000004</c:v>
                </c:pt>
                <c:pt idx="86" formatCode="#,##0.00">
                  <c:v>79.164999999999992</c:v>
                </c:pt>
                <c:pt idx="87" formatCode="#,##0.00">
                  <c:v>80.917500000000004</c:v>
                </c:pt>
                <c:pt idx="88" formatCode="#,##0.00">
                  <c:v>81.54249999999999</c:v>
                </c:pt>
                <c:pt idx="89" formatCode="#,##0.00">
                  <c:v>81.855000000000004</c:v>
                </c:pt>
                <c:pt idx="90" formatCode="#,##0.00">
                  <c:v>77.742500000000007</c:v>
                </c:pt>
                <c:pt idx="91" formatCode="#,##0.00">
                  <c:v>75.0625</c:v>
                </c:pt>
                <c:pt idx="92" formatCode="#,##0.00">
                  <c:v>71.83250000000001</c:v>
                </c:pt>
                <c:pt idx="93" formatCode="#,##0.00">
                  <c:v>67.197499999999991</c:v>
                </c:pt>
                <c:pt idx="94" formatCode="#,##0.00">
                  <c:v>63.712499999999999</c:v>
                </c:pt>
                <c:pt idx="95" formatCode="#,##0.00">
                  <c:v>61.592500000000001</c:v>
                </c:pt>
                <c:pt idx="96" formatCode="#,##0.00">
                  <c:v>59.88</c:v>
                </c:pt>
                <c:pt idx="97" formatCode="#,##0.00">
                  <c:v>56.844999999999999</c:v>
                </c:pt>
                <c:pt idx="98" formatCode="#,##0.00">
                  <c:v>55.849999999999994</c:v>
                </c:pt>
                <c:pt idx="99" formatCode="#,##0.00">
                  <c:v>55.934999999999995</c:v>
                </c:pt>
                <c:pt idx="100" formatCode="#,##0.00">
                  <c:v>58.204999999999998</c:v>
                </c:pt>
                <c:pt idx="101" formatCode="#,##0.00">
                  <c:v>60.524999999999999</c:v>
                </c:pt>
                <c:pt idx="102" formatCode="#,##0.00">
                  <c:v>61.895000000000003</c:v>
                </c:pt>
                <c:pt idx="103" formatCode="#,##0.00">
                  <c:v>62.24</c:v>
                </c:pt>
                <c:pt idx="104" formatCode="#,##0.00">
                  <c:v>62.814999999999998</c:v>
                </c:pt>
                <c:pt idx="105" formatCode="#,##0.00">
                  <c:v>64.164999999999992</c:v>
                </c:pt>
                <c:pt idx="106" formatCode="#,##0.00">
                  <c:v>65.650000000000006</c:v>
                </c:pt>
                <c:pt idx="107" formatCode="#,##0.00">
                  <c:v>66.185000000000002</c:v>
                </c:pt>
                <c:pt idx="108" formatCode="#,##0.00">
                  <c:v>66.227499999999992</c:v>
                </c:pt>
                <c:pt idx="109" formatCode="#,##0.00">
                  <c:v>67.074999999999989</c:v>
                </c:pt>
                <c:pt idx="110" formatCode="#,##0.00">
                  <c:v>68.242500000000007</c:v>
                </c:pt>
                <c:pt idx="111" formatCode="#,##0.00">
                  <c:v>70.607500000000002</c:v>
                </c:pt>
                <c:pt idx="112" formatCode="#,##0.00">
                  <c:v>71.402500000000003</c:v>
                </c:pt>
                <c:pt idx="113" formatCode="#,##0.00">
                  <c:v>71.304999999999993</c:v>
                </c:pt>
                <c:pt idx="114" formatCode="#,##0.00">
                  <c:v>70.767499999999998</c:v>
                </c:pt>
                <c:pt idx="115" formatCode="#,##0.00">
                  <c:v>69.19</c:v>
                </c:pt>
                <c:pt idx="116" formatCode="#,##0.00">
                  <c:v>67.284999999999997</c:v>
                </c:pt>
                <c:pt idx="117" formatCode="#,##0.00">
                  <c:v>64.752500000000012</c:v>
                </c:pt>
                <c:pt idx="118" formatCode="#,##0.00">
                  <c:v>63.774999999999999</c:v>
                </c:pt>
                <c:pt idx="119" formatCode="#,##0.00">
                  <c:v>64.284999999999997</c:v>
                </c:pt>
                <c:pt idx="120" formatCode="#,##0.00">
                  <c:v>64.584999999999994</c:v>
                </c:pt>
                <c:pt idx="121" formatCode="#,##0.00">
                  <c:v>65.825000000000003</c:v>
                </c:pt>
                <c:pt idx="122" formatCode="#,##0.00">
                  <c:v>65.149999999999991</c:v>
                </c:pt>
                <c:pt idx="123" formatCode="#,##0.00">
                  <c:v>64.37</c:v>
                </c:pt>
                <c:pt idx="124" formatCode="#,##0.00">
                  <c:v>63.552500000000009</c:v>
                </c:pt>
                <c:pt idx="125" formatCode="#,##0.00">
                  <c:v>61.407499999999999</c:v>
                </c:pt>
                <c:pt idx="126" formatCode="#,##0.00">
                  <c:v>60.405000000000001</c:v>
                </c:pt>
                <c:pt idx="127" formatCode="#,##0.00">
                  <c:v>59.292500000000004</c:v>
                </c:pt>
                <c:pt idx="128" formatCode="#,##0.00">
                  <c:v>59.107500000000002</c:v>
                </c:pt>
                <c:pt idx="129" formatCode="#,##0.00">
                  <c:v>59.947499999999998</c:v>
                </c:pt>
                <c:pt idx="130" formatCode="#,##0.00">
                  <c:v>60.35</c:v>
                </c:pt>
                <c:pt idx="131" formatCode="#,##0.00">
                  <c:v>61.807500000000005</c:v>
                </c:pt>
                <c:pt idx="132" formatCode="#,##0.00">
                  <c:v>62.177500000000002</c:v>
                </c:pt>
                <c:pt idx="133" formatCode="#,##0.00">
                  <c:v>61.34</c:v>
                </c:pt>
                <c:pt idx="134" formatCode="#,##0.00">
                  <c:v>61.447499999999998</c:v>
                </c:pt>
                <c:pt idx="135" formatCode="#,##0.00">
                  <c:v>60.08</c:v>
                </c:pt>
                <c:pt idx="136" formatCode="#,##0.00">
                  <c:v>60.11</c:v>
                </c:pt>
                <c:pt idx="137" formatCode="#,##0.00">
                  <c:v>60.89</c:v>
                </c:pt>
                <c:pt idx="138" formatCode="#,##0.00">
                  <c:v>61.372500000000002</c:v>
                </c:pt>
                <c:pt idx="139" formatCode="#,##0.00">
                  <c:v>62.41</c:v>
                </c:pt>
                <c:pt idx="140" formatCode="#,##0.00">
                  <c:v>63.370000000000005</c:v>
                </c:pt>
                <c:pt idx="141" formatCode="#,##0.00">
                  <c:v>63.784999999999997</c:v>
                </c:pt>
                <c:pt idx="142" formatCode="#,##0.00">
                  <c:v>64.17</c:v>
                </c:pt>
                <c:pt idx="143" formatCode="#,##0.00">
                  <c:v>64.819999999999993</c:v>
                </c:pt>
                <c:pt idx="144" formatCode="#,##0.00">
                  <c:v>65.89</c:v>
                </c:pt>
                <c:pt idx="145" formatCode="#,##0.00">
                  <c:v>66.997499999999988</c:v>
                </c:pt>
                <c:pt idx="146" formatCode="#,##0.00">
                  <c:v>67.025000000000006</c:v>
                </c:pt>
                <c:pt idx="147" formatCode="#,##0.00">
                  <c:v>66.837500000000006</c:v>
                </c:pt>
                <c:pt idx="148" formatCode="#,##0.00">
                  <c:v>64.927500000000009</c:v>
                </c:pt>
                <c:pt idx="149" formatCode="#,##0.00">
                  <c:v>62.3</c:v>
                </c:pt>
                <c:pt idx="150" formatCode="#,##0.00">
                  <c:v>59.65</c:v>
                </c:pt>
                <c:pt idx="151" formatCode="#,##0.00">
                  <c:v>57.622500000000002</c:v>
                </c:pt>
                <c:pt idx="152" formatCode="#,##0.00">
                  <c:v>57.072500000000005</c:v>
                </c:pt>
                <c:pt idx="153" formatCode="#,##0.00">
                  <c:v>55.150000000000006</c:v>
                </c:pt>
                <c:pt idx="154" formatCode="#,##0.00">
                  <c:v>52.9</c:v>
                </c:pt>
                <c:pt idx="155" formatCode="#,##0.00">
                  <c:v>47.332500000000003</c:v>
                </c:pt>
                <c:pt idx="156" formatCode="#,##0.00">
                  <c:v>39.545000000000002</c:v>
                </c:pt>
                <c:pt idx="157" formatCode="#,##0.00">
                  <c:v>33.195</c:v>
                </c:pt>
                <c:pt idx="158" formatCode="#,##0.00">
                  <c:v>29.747500000000002</c:v>
                </c:pt>
                <c:pt idx="159" formatCode="#,##0.00">
                  <c:v>30.0075</c:v>
                </c:pt>
                <c:pt idx="160" formatCode="#,##0.00">
                  <c:v>26.877500000000001</c:v>
                </c:pt>
                <c:pt idx="161" formatCode="#,##0.00">
                  <c:v>28</c:v>
                </c:pt>
                <c:pt idx="162" formatCode="#,##0.00">
                  <c:v>31.33</c:v>
                </c:pt>
                <c:pt idx="163" formatCode="#,##0.00">
                  <c:v>33.5075</c:v>
                </c:pt>
                <c:pt idx="164" formatCode="#,##0.00">
                  <c:v>37.884999999999998</c:v>
                </c:pt>
                <c:pt idx="165" formatCode="#,##0.00">
                  <c:v>39.584999999999994</c:v>
                </c:pt>
                <c:pt idx="166" formatCode="#,##0.00">
                  <c:v>41.102500000000006</c:v>
                </c:pt>
                <c:pt idx="167" formatCode="#,##0.00">
                  <c:v>42.135000000000005</c:v>
                </c:pt>
                <c:pt idx="168" formatCode="#,##0.00">
                  <c:v>42.43</c:v>
                </c:pt>
                <c:pt idx="169" formatCode="#,##0.00">
                  <c:v>43.117500000000007</c:v>
                </c:pt>
                <c:pt idx="170" formatCode="#,##0.00">
                  <c:v>43.252499999999998</c:v>
                </c:pt>
                <c:pt idx="171" formatCode="#,##0.00">
                  <c:v>43.6325</c:v>
                </c:pt>
                <c:pt idx="172" formatCode="#,##0.00">
                  <c:v>44.094999999999999</c:v>
                </c:pt>
                <c:pt idx="173" formatCode="#,##0.00">
                  <c:v>44.304999999999993</c:v>
                </c:pt>
                <c:pt idx="174" formatCode="#,##0.00">
                  <c:v>44.745000000000005</c:v>
                </c:pt>
                <c:pt idx="175" formatCode="#,##0.00">
                  <c:v>44.160000000000004</c:v>
                </c:pt>
                <c:pt idx="176" formatCode="#,##0.00">
                  <c:v>42.902500000000003</c:v>
                </c:pt>
                <c:pt idx="177" formatCode="#,##0.00">
                  <c:v>42.597500000000004</c:v>
                </c:pt>
                <c:pt idx="178" formatCode="#,##0.00">
                  <c:v>41.774999999999999</c:v>
                </c:pt>
                <c:pt idx="179" formatCode="#,##0.00">
                  <c:v>40.912500000000001</c:v>
                </c:pt>
                <c:pt idx="180" formatCode="#,##0.00">
                  <c:v>41.637499999999996</c:v>
                </c:pt>
                <c:pt idx="181" formatCode="#,##0.00">
                  <c:v>41.589999999999996</c:v>
                </c:pt>
                <c:pt idx="182" formatCode="#,##0.00">
                  <c:v>41.54</c:v>
                </c:pt>
                <c:pt idx="183" formatCode="#,##0.00">
                  <c:v>41.177500000000002</c:v>
                </c:pt>
                <c:pt idx="184" formatCode="#,##0.00">
                  <c:v>40.372500000000002</c:v>
                </c:pt>
                <c:pt idx="185" formatCode="#,##0.00">
                  <c:v>40.317500000000003</c:v>
                </c:pt>
                <c:pt idx="186" formatCode="#,##0.00">
                  <c:v>41.230000000000004</c:v>
                </c:pt>
                <c:pt idx="187" formatCode="#,##0.00">
                  <c:v>43.935000000000002</c:v>
                </c:pt>
                <c:pt idx="188" formatCode="#,##0.00">
                  <c:v>46.292500000000004</c:v>
                </c:pt>
                <c:pt idx="189" formatCode="#,##0.00">
                  <c:v>48.152500000000003</c:v>
                </c:pt>
                <c:pt idx="190" formatCode="#,##0.00">
                  <c:v>51.365000000000002</c:v>
                </c:pt>
                <c:pt idx="191" formatCode="#,##0.00">
                  <c:v>52.9375</c:v>
                </c:pt>
                <c:pt idx="192" formatCode="#,##0.00">
                  <c:v>53.594999999999999</c:v>
                </c:pt>
                <c:pt idx="193" formatCode="#,##0.00">
                  <c:v>54.572499999999998</c:v>
                </c:pt>
                <c:pt idx="194" formatCode="#,##0.00">
                  <c:v>55.614999999999995</c:v>
                </c:pt>
                <c:pt idx="195" formatCode="#,##0.00">
                  <c:v>56.430000000000007</c:v>
                </c:pt>
                <c:pt idx="196" formatCode="#,##0.00">
                  <c:v>58.357500000000002</c:v>
                </c:pt>
                <c:pt idx="197" formatCode="#,##0.00">
                  <c:v>60.265000000000001</c:v>
                </c:pt>
                <c:pt idx="198" formatCode="#,##0.00">
                  <c:v>62.785000000000004</c:v>
                </c:pt>
                <c:pt idx="199" formatCode="#,##0.00">
                  <c:v>65.302500000000009</c:v>
                </c:pt>
                <c:pt idx="200" formatCode="#,##0.00">
                  <c:v>66.932500000000005</c:v>
                </c:pt>
                <c:pt idx="201" formatCode="#,##0.00">
                  <c:v>67.337499999999991</c:v>
                </c:pt>
                <c:pt idx="202" formatCode="#,##0.00">
                  <c:v>65.66749999999999</c:v>
                </c:pt>
                <c:pt idx="203" formatCode="#,##0.00">
                  <c:v>64.122500000000002</c:v>
                </c:pt>
                <c:pt idx="204" formatCode="#,##0.00">
                  <c:v>64.6875</c:v>
                </c:pt>
                <c:pt idx="205" formatCode="#,##0.00">
                  <c:v>65.135000000000005</c:v>
                </c:pt>
                <c:pt idx="206" formatCode="#,##0.00">
                  <c:v>65.787499999999994</c:v>
                </c:pt>
                <c:pt idx="207" formatCode="#,##0.00">
                  <c:v>67.092500000000001</c:v>
                </c:pt>
                <c:pt idx="208" formatCode="#,##0.00">
                  <c:v>67.61999999999999</c:v>
                </c:pt>
                <c:pt idx="209" formatCode="#,##0.00">
                  <c:v>67.772500000000008</c:v>
                </c:pt>
                <c:pt idx="210" formatCode="#,##0.00">
                  <c:v>68.37</c:v>
                </c:pt>
                <c:pt idx="211" formatCode="#,##0.00">
                  <c:v>69.257499999999993</c:v>
                </c:pt>
                <c:pt idx="212" formatCode="#,##0.00">
                  <c:v>70.204999999999998</c:v>
                </c:pt>
                <c:pt idx="213" formatCode="#,##0.00">
                  <c:v>71.827500000000001</c:v>
                </c:pt>
                <c:pt idx="214" formatCode="#,##0.00">
                  <c:v>73.417500000000004</c:v>
                </c:pt>
                <c:pt idx="215" formatCode="#,##0.00">
                  <c:v>74.455000000000013</c:v>
                </c:pt>
                <c:pt idx="216" formatCode="#,##0.00">
                  <c:v>75.195000000000007</c:v>
                </c:pt>
                <c:pt idx="217" formatCode="#,##0.00">
                  <c:v>75.215000000000003</c:v>
                </c:pt>
                <c:pt idx="218" formatCode="#,##0.00">
                  <c:v>74.760000000000005</c:v>
                </c:pt>
                <c:pt idx="219" formatCode="#,##0.00">
                  <c:v>74.849999999999994</c:v>
                </c:pt>
                <c:pt idx="220" formatCode="#,##0.00">
                  <c:v>73.577500000000001</c:v>
                </c:pt>
                <c:pt idx="221" formatCode="#,##0.00">
                  <c:v>72.814999999999998</c:v>
                </c:pt>
                <c:pt idx="222" formatCode="#,##0.00">
                  <c:v>70.517499999999998</c:v>
                </c:pt>
                <c:pt idx="223" formatCode="#,##0.00">
                  <c:v>69.622500000000002</c:v>
                </c:pt>
                <c:pt idx="224" formatCode="#,##0.00">
                  <c:v>70.12</c:v>
                </c:pt>
                <c:pt idx="225" formatCode="#,##0.00">
                  <c:v>70.795000000000002</c:v>
                </c:pt>
                <c:pt idx="226" formatCode="#,##0.00">
                  <c:v>73.417500000000004</c:v>
                </c:pt>
                <c:pt idx="227" formatCode="#,##0.00">
                  <c:v>74.747500000000002</c:v>
                </c:pt>
                <c:pt idx="228" formatCode="#,##0.00">
                  <c:v>76.4375</c:v>
                </c:pt>
                <c:pt idx="229" formatCode="#,##0.00">
                  <c:v>78.844999999999999</c:v>
                </c:pt>
                <c:pt idx="230" formatCode="#,##0.00">
                  <c:v>81.202500000000001</c:v>
                </c:pt>
                <c:pt idx="231" formatCode="#,##0.00">
                  <c:v>83.127499999999998</c:v>
                </c:pt>
                <c:pt idx="232" formatCode="#,##0.00">
                  <c:v>84.412499999999994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8-45D7-ABC6-1961D0CE3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045247"/>
        <c:axId val="1660045663"/>
      </c:lineChart>
      <c:dateAx>
        <c:axId val="166004524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45663"/>
        <c:crosses val="autoZero"/>
        <c:auto val="1"/>
        <c:lblOffset val="100"/>
        <c:baseTimeUnit val="days"/>
      </c:dateAx>
      <c:valAx>
        <c:axId val="1660045663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Price ($/bbl)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452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Urals</a:t>
            </a:r>
            <a:r>
              <a:rPr lang="en-GB" sz="1200" b="1" baseline="0">
                <a:solidFill>
                  <a:sysClr val="windowText" lastClr="000000"/>
                </a:solidFill>
              </a:rPr>
              <a:t> refinery margin (NWEMURLCRKMc1) time series</a:t>
            </a:r>
          </a:p>
          <a:p>
            <a:pPr>
              <a:defRPr/>
            </a:pPr>
            <a:r>
              <a:rPr lang="en-GB" sz="1000" baseline="0">
                <a:solidFill>
                  <a:sysClr val="windowText" lastClr="000000"/>
                </a:solidFill>
              </a:rPr>
              <a:t>Data: Refinitiv Eikon</a:t>
            </a:r>
            <a:endParaRPr lang="en-GB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Expanded_regression!#REF!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Expanded_regression!$B$4:$B$256</c:f>
              <c:numCache>
                <c:formatCode>m/d/yy</c:formatCode>
                <c:ptCount val="233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</c:numCache>
            </c:numRef>
          </c:cat>
          <c:val>
            <c:numRef>
              <c:f>Expanded_regression!$D$4:$D$256</c:f>
              <c:numCache>
                <c:formatCode>0.000</c:formatCode>
                <c:ptCount val="233"/>
                <c:pt idx="0">
                  <c:v>-0.54527568000000004</c:v>
                </c:pt>
                <c:pt idx="1">
                  <c:v>1.238237963</c:v>
                </c:pt>
                <c:pt idx="2">
                  <c:v>0.38649809299999999</c:v>
                </c:pt>
                <c:pt idx="3">
                  <c:v>0.34859342100000001</c:v>
                </c:pt>
                <c:pt idx="4">
                  <c:v>0.21963830500000001</c:v>
                </c:pt>
                <c:pt idx="5">
                  <c:v>0.97590199099999997</c:v>
                </c:pt>
                <c:pt idx="6">
                  <c:v>0.38973630399999998</c:v>
                </c:pt>
                <c:pt idx="7">
                  <c:v>0.54025441900000004</c:v>
                </c:pt>
                <c:pt idx="8">
                  <c:v>-4.8587384999999997E-2</c:v>
                </c:pt>
                <c:pt idx="9">
                  <c:v>0.27804193599999999</c:v>
                </c:pt>
                <c:pt idx="10">
                  <c:v>0.86281831899999994</c:v>
                </c:pt>
                <c:pt idx="11">
                  <c:v>0.75419658899999997</c:v>
                </c:pt>
                <c:pt idx="12">
                  <c:v>0.48698550499999999</c:v>
                </c:pt>
                <c:pt idx="13">
                  <c:v>1.2623428370000001</c:v>
                </c:pt>
                <c:pt idx="14">
                  <c:v>1.734635691</c:v>
                </c:pt>
                <c:pt idx="15">
                  <c:v>-0.161768775</c:v>
                </c:pt>
                <c:pt idx="16">
                  <c:v>1.515722521</c:v>
                </c:pt>
                <c:pt idx="17">
                  <c:v>1.586672694</c:v>
                </c:pt>
                <c:pt idx="18">
                  <c:v>1.233227721</c:v>
                </c:pt>
                <c:pt idx="19">
                  <c:v>1.7037482690000001</c:v>
                </c:pt>
                <c:pt idx="20">
                  <c:v>1.946998335</c:v>
                </c:pt>
                <c:pt idx="21">
                  <c:v>2.1794009910000001</c:v>
                </c:pt>
                <c:pt idx="22">
                  <c:v>2.2776121909999998</c:v>
                </c:pt>
                <c:pt idx="23">
                  <c:v>2.930156931</c:v>
                </c:pt>
                <c:pt idx="24">
                  <c:v>2.5198099360000001</c:v>
                </c:pt>
                <c:pt idx="25">
                  <c:v>2.368059127</c:v>
                </c:pt>
                <c:pt idx="26">
                  <c:v>3.010124131</c:v>
                </c:pt>
                <c:pt idx="27">
                  <c:v>3.352449853</c:v>
                </c:pt>
                <c:pt idx="28">
                  <c:v>2.0118133729999998</c:v>
                </c:pt>
                <c:pt idx="29">
                  <c:v>1.6805799589999999</c:v>
                </c:pt>
                <c:pt idx="30">
                  <c:v>2.8852017079999999</c:v>
                </c:pt>
                <c:pt idx="31">
                  <c:v>3.1039032660000001</c:v>
                </c:pt>
                <c:pt idx="32">
                  <c:v>2.2553008590000001</c:v>
                </c:pt>
                <c:pt idx="33">
                  <c:v>2.9095993500000001</c:v>
                </c:pt>
                <c:pt idx="34">
                  <c:v>1.9488985000000001</c:v>
                </c:pt>
                <c:pt idx="35">
                  <c:v>0.78006629699999996</c:v>
                </c:pt>
                <c:pt idx="36">
                  <c:v>-0.34264435100000001</c:v>
                </c:pt>
                <c:pt idx="37">
                  <c:v>1.048073161</c:v>
                </c:pt>
                <c:pt idx="38">
                  <c:v>3.25</c:v>
                </c:pt>
                <c:pt idx="39">
                  <c:v>3.73</c:v>
                </c:pt>
                <c:pt idx="40">
                  <c:v>2.46</c:v>
                </c:pt>
                <c:pt idx="41">
                  <c:v>3.51</c:v>
                </c:pt>
                <c:pt idx="42">
                  <c:v>3.6</c:v>
                </c:pt>
                <c:pt idx="43">
                  <c:v>0.22</c:v>
                </c:pt>
                <c:pt idx="44">
                  <c:v>2.7</c:v>
                </c:pt>
                <c:pt idx="45">
                  <c:v>2.0499999999999998</c:v>
                </c:pt>
                <c:pt idx="46">
                  <c:v>0.85</c:v>
                </c:pt>
                <c:pt idx="47">
                  <c:v>1.38</c:v>
                </c:pt>
                <c:pt idx="48">
                  <c:v>3.28</c:v>
                </c:pt>
                <c:pt idx="49">
                  <c:v>3.78</c:v>
                </c:pt>
                <c:pt idx="50">
                  <c:v>3.22</c:v>
                </c:pt>
                <c:pt idx="51">
                  <c:v>1.59</c:v>
                </c:pt>
                <c:pt idx="52">
                  <c:v>-0.65</c:v>
                </c:pt>
                <c:pt idx="53">
                  <c:v>1.68</c:v>
                </c:pt>
                <c:pt idx="54">
                  <c:v>1.18</c:v>
                </c:pt>
                <c:pt idx="55">
                  <c:v>-2.19</c:v>
                </c:pt>
                <c:pt idx="56">
                  <c:v>1.96</c:v>
                </c:pt>
                <c:pt idx="57">
                  <c:v>0.21507515499999999</c:v>
                </c:pt>
                <c:pt idx="58">
                  <c:v>-0.39894137099999999</c:v>
                </c:pt>
                <c:pt idx="59">
                  <c:v>0.540032662</c:v>
                </c:pt>
                <c:pt idx="60">
                  <c:v>7.91</c:v>
                </c:pt>
                <c:pt idx="61">
                  <c:v>0.68</c:v>
                </c:pt>
                <c:pt idx="62">
                  <c:v>6.66</c:v>
                </c:pt>
                <c:pt idx="63">
                  <c:v>3.62</c:v>
                </c:pt>
                <c:pt idx="64">
                  <c:v>2.4700000000000002</c:v>
                </c:pt>
                <c:pt idx="65">
                  <c:v>1.1100000000000001</c:v>
                </c:pt>
                <c:pt idx="66">
                  <c:v>5.34</c:v>
                </c:pt>
                <c:pt idx="67">
                  <c:v>4.5999999999999996</c:v>
                </c:pt>
                <c:pt idx="68">
                  <c:v>-0.72</c:v>
                </c:pt>
                <c:pt idx="69">
                  <c:v>-0.77</c:v>
                </c:pt>
                <c:pt idx="70">
                  <c:v>2.1800000000000002</c:v>
                </c:pt>
                <c:pt idx="71">
                  <c:v>-0.23</c:v>
                </c:pt>
                <c:pt idx="72">
                  <c:v>0.4</c:v>
                </c:pt>
                <c:pt idx="73">
                  <c:v>4.83</c:v>
                </c:pt>
                <c:pt idx="74">
                  <c:v>2.1800000000000002</c:v>
                </c:pt>
                <c:pt idx="75">
                  <c:v>0.75</c:v>
                </c:pt>
                <c:pt idx="76">
                  <c:v>1.89</c:v>
                </c:pt>
                <c:pt idx="77">
                  <c:v>7.07</c:v>
                </c:pt>
                <c:pt idx="78">
                  <c:v>3.58</c:v>
                </c:pt>
                <c:pt idx="79">
                  <c:v>4.51</c:v>
                </c:pt>
                <c:pt idx="80">
                  <c:v>8.34</c:v>
                </c:pt>
                <c:pt idx="81">
                  <c:v>7.5</c:v>
                </c:pt>
                <c:pt idx="82">
                  <c:v>1.1399999999999999</c:v>
                </c:pt>
                <c:pt idx="83">
                  <c:v>1.05</c:v>
                </c:pt>
                <c:pt idx="84">
                  <c:v>0.76</c:v>
                </c:pt>
                <c:pt idx="85">
                  <c:v>2.86</c:v>
                </c:pt>
                <c:pt idx="86">
                  <c:v>2.0699999999999998</c:v>
                </c:pt>
                <c:pt idx="87">
                  <c:v>-3.6</c:v>
                </c:pt>
                <c:pt idx="88">
                  <c:v>-1.4</c:v>
                </c:pt>
                <c:pt idx="89">
                  <c:v>-0.92</c:v>
                </c:pt>
                <c:pt idx="90">
                  <c:v>-7.59</c:v>
                </c:pt>
                <c:pt idx="91">
                  <c:v>0.11</c:v>
                </c:pt>
                <c:pt idx="92">
                  <c:v>-16.34</c:v>
                </c:pt>
                <c:pt idx="93">
                  <c:v>-1.52</c:v>
                </c:pt>
                <c:pt idx="94">
                  <c:v>4.17</c:v>
                </c:pt>
                <c:pt idx="95">
                  <c:v>-0.3</c:v>
                </c:pt>
                <c:pt idx="96">
                  <c:v>-4.09</c:v>
                </c:pt>
                <c:pt idx="97">
                  <c:v>6.78</c:v>
                </c:pt>
                <c:pt idx="98">
                  <c:v>6.66</c:v>
                </c:pt>
                <c:pt idx="99">
                  <c:v>3.09</c:v>
                </c:pt>
                <c:pt idx="100">
                  <c:v>0.31</c:v>
                </c:pt>
                <c:pt idx="101">
                  <c:v>0.32</c:v>
                </c:pt>
                <c:pt idx="102">
                  <c:v>0.46</c:v>
                </c:pt>
                <c:pt idx="103">
                  <c:v>4.5199999999999996</c:v>
                </c:pt>
                <c:pt idx="104">
                  <c:v>3.28</c:v>
                </c:pt>
                <c:pt idx="105">
                  <c:v>1.85</c:v>
                </c:pt>
                <c:pt idx="106">
                  <c:v>4.4000000000000004</c:v>
                </c:pt>
                <c:pt idx="107">
                  <c:v>2.78</c:v>
                </c:pt>
                <c:pt idx="108">
                  <c:v>2.44</c:v>
                </c:pt>
                <c:pt idx="109">
                  <c:v>2.7</c:v>
                </c:pt>
                <c:pt idx="110">
                  <c:v>2.77</c:v>
                </c:pt>
                <c:pt idx="111">
                  <c:v>1.06</c:v>
                </c:pt>
                <c:pt idx="112">
                  <c:v>-0.66</c:v>
                </c:pt>
                <c:pt idx="113">
                  <c:v>2.09</c:v>
                </c:pt>
                <c:pt idx="114">
                  <c:v>-4.49</c:v>
                </c:pt>
                <c:pt idx="115">
                  <c:v>-3.06</c:v>
                </c:pt>
                <c:pt idx="116">
                  <c:v>2.04</c:v>
                </c:pt>
                <c:pt idx="117">
                  <c:v>7.79</c:v>
                </c:pt>
                <c:pt idx="118">
                  <c:v>8.06</c:v>
                </c:pt>
                <c:pt idx="119">
                  <c:v>5.43</c:v>
                </c:pt>
                <c:pt idx="120">
                  <c:v>9.1300000000000008</c:v>
                </c:pt>
                <c:pt idx="121">
                  <c:v>2.79</c:v>
                </c:pt>
                <c:pt idx="122">
                  <c:v>5.95</c:v>
                </c:pt>
                <c:pt idx="123">
                  <c:v>3.49</c:v>
                </c:pt>
                <c:pt idx="124">
                  <c:v>0.26</c:v>
                </c:pt>
                <c:pt idx="125">
                  <c:v>4.28</c:v>
                </c:pt>
                <c:pt idx="126">
                  <c:v>1.57</c:v>
                </c:pt>
                <c:pt idx="127">
                  <c:v>2.2400000000000002</c:v>
                </c:pt>
                <c:pt idx="128">
                  <c:v>0.77</c:v>
                </c:pt>
                <c:pt idx="129">
                  <c:v>0.52</c:v>
                </c:pt>
                <c:pt idx="130">
                  <c:v>2.74</c:v>
                </c:pt>
                <c:pt idx="131">
                  <c:v>-1.72</c:v>
                </c:pt>
                <c:pt idx="132">
                  <c:v>-1.59</c:v>
                </c:pt>
                <c:pt idx="133">
                  <c:v>3.26</c:v>
                </c:pt>
                <c:pt idx="134">
                  <c:v>1.8</c:v>
                </c:pt>
                <c:pt idx="135">
                  <c:v>4.58</c:v>
                </c:pt>
                <c:pt idx="136">
                  <c:v>1.6</c:v>
                </c:pt>
                <c:pt idx="137">
                  <c:v>-0.36</c:v>
                </c:pt>
                <c:pt idx="138">
                  <c:v>-0.85</c:v>
                </c:pt>
                <c:pt idx="139">
                  <c:v>-0.22</c:v>
                </c:pt>
                <c:pt idx="140">
                  <c:v>-1.92</c:v>
                </c:pt>
                <c:pt idx="141">
                  <c:v>-2</c:v>
                </c:pt>
                <c:pt idx="142">
                  <c:v>-0.79</c:v>
                </c:pt>
                <c:pt idx="143">
                  <c:v>-0.89</c:v>
                </c:pt>
                <c:pt idx="144">
                  <c:v>0</c:v>
                </c:pt>
                <c:pt idx="145">
                  <c:v>0.43</c:v>
                </c:pt>
                <c:pt idx="146">
                  <c:v>-0.66</c:v>
                </c:pt>
                <c:pt idx="147">
                  <c:v>1.3</c:v>
                </c:pt>
                <c:pt idx="148">
                  <c:v>0.08</c:v>
                </c:pt>
                <c:pt idx="149">
                  <c:v>3.5</c:v>
                </c:pt>
                <c:pt idx="150">
                  <c:v>6.42</c:v>
                </c:pt>
                <c:pt idx="151">
                  <c:v>3.75</c:v>
                </c:pt>
                <c:pt idx="152">
                  <c:v>-8.16</c:v>
                </c:pt>
                <c:pt idx="153">
                  <c:v>-2.86</c:v>
                </c:pt>
                <c:pt idx="154">
                  <c:v>-11.17</c:v>
                </c:pt>
                <c:pt idx="155">
                  <c:v>-0.51</c:v>
                </c:pt>
                <c:pt idx="156">
                  <c:v>7.71</c:v>
                </c:pt>
                <c:pt idx="157">
                  <c:v>15.14</c:v>
                </c:pt>
                <c:pt idx="158">
                  <c:v>8.02</c:v>
                </c:pt>
                <c:pt idx="159">
                  <c:v>6.45</c:v>
                </c:pt>
                <c:pt idx="160">
                  <c:v>2.4900000000000002</c:v>
                </c:pt>
                <c:pt idx="161">
                  <c:v>4.84</c:v>
                </c:pt>
                <c:pt idx="162">
                  <c:v>-0.48</c:v>
                </c:pt>
                <c:pt idx="163">
                  <c:v>4.33</c:v>
                </c:pt>
                <c:pt idx="164">
                  <c:v>3.47</c:v>
                </c:pt>
                <c:pt idx="165">
                  <c:v>-3.01</c:v>
                </c:pt>
                <c:pt idx="166">
                  <c:v>0.01</c:v>
                </c:pt>
                <c:pt idx="167">
                  <c:v>-0.62</c:v>
                </c:pt>
                <c:pt idx="168">
                  <c:v>0.23</c:v>
                </c:pt>
                <c:pt idx="169">
                  <c:v>-1.37</c:v>
                </c:pt>
                <c:pt idx="170">
                  <c:v>1.1399999999999999</c:v>
                </c:pt>
                <c:pt idx="171">
                  <c:v>0.82</c:v>
                </c:pt>
                <c:pt idx="172">
                  <c:v>0.43</c:v>
                </c:pt>
                <c:pt idx="173">
                  <c:v>-1.18</c:v>
                </c:pt>
                <c:pt idx="174">
                  <c:v>-1.55</c:v>
                </c:pt>
                <c:pt idx="175">
                  <c:v>-1.21</c:v>
                </c:pt>
                <c:pt idx="176">
                  <c:v>4.79</c:v>
                </c:pt>
                <c:pt idx="177">
                  <c:v>1.17</c:v>
                </c:pt>
                <c:pt idx="178">
                  <c:v>0.82</c:v>
                </c:pt>
                <c:pt idx="179">
                  <c:v>4.8899999999999997</c:v>
                </c:pt>
                <c:pt idx="180">
                  <c:v>2.69</c:v>
                </c:pt>
                <c:pt idx="181">
                  <c:v>1.49</c:v>
                </c:pt>
                <c:pt idx="182">
                  <c:v>-1.93</c:v>
                </c:pt>
                <c:pt idx="183">
                  <c:v>3.16</c:v>
                </c:pt>
                <c:pt idx="184">
                  <c:v>-2.13</c:v>
                </c:pt>
                <c:pt idx="185">
                  <c:v>0.2</c:v>
                </c:pt>
                <c:pt idx="186">
                  <c:v>1.79</c:v>
                </c:pt>
                <c:pt idx="187">
                  <c:v>0.21</c:v>
                </c:pt>
                <c:pt idx="188">
                  <c:v>0.53</c:v>
                </c:pt>
                <c:pt idx="189">
                  <c:v>1.78</c:v>
                </c:pt>
                <c:pt idx="190">
                  <c:v>1.97</c:v>
                </c:pt>
                <c:pt idx="191">
                  <c:v>-0.2</c:v>
                </c:pt>
                <c:pt idx="192">
                  <c:v>-0.84</c:v>
                </c:pt>
                <c:pt idx="193">
                  <c:v>0.51</c:v>
                </c:pt>
                <c:pt idx="194">
                  <c:v>3.77</c:v>
                </c:pt>
                <c:pt idx="195">
                  <c:v>2.19</c:v>
                </c:pt>
                <c:pt idx="196">
                  <c:v>2.87</c:v>
                </c:pt>
                <c:pt idx="197">
                  <c:v>2.42</c:v>
                </c:pt>
                <c:pt idx="198">
                  <c:v>4.1900000000000004</c:v>
                </c:pt>
                <c:pt idx="199">
                  <c:v>3.54</c:v>
                </c:pt>
                <c:pt idx="200">
                  <c:v>-4.26</c:v>
                </c:pt>
                <c:pt idx="201">
                  <c:v>-0.15</c:v>
                </c:pt>
                <c:pt idx="202">
                  <c:v>1.97</c:v>
                </c:pt>
                <c:pt idx="203">
                  <c:v>7.06</c:v>
                </c:pt>
                <c:pt idx="204">
                  <c:v>2.15</c:v>
                </c:pt>
                <c:pt idx="205">
                  <c:v>3.14</c:v>
                </c:pt>
                <c:pt idx="206">
                  <c:v>2.7</c:v>
                </c:pt>
                <c:pt idx="207">
                  <c:v>0.94</c:v>
                </c:pt>
                <c:pt idx="208">
                  <c:v>-0.89</c:v>
                </c:pt>
                <c:pt idx="209">
                  <c:v>3.28</c:v>
                </c:pt>
                <c:pt idx="210">
                  <c:v>5.22</c:v>
                </c:pt>
                <c:pt idx="211">
                  <c:v>3.7</c:v>
                </c:pt>
                <c:pt idx="212">
                  <c:v>2.78</c:v>
                </c:pt>
                <c:pt idx="213">
                  <c:v>3.79</c:v>
                </c:pt>
                <c:pt idx="214">
                  <c:v>2.91</c:v>
                </c:pt>
                <c:pt idx="215">
                  <c:v>2.2200000000000002</c:v>
                </c:pt>
                <c:pt idx="216">
                  <c:v>2.19</c:v>
                </c:pt>
                <c:pt idx="217">
                  <c:v>4.04</c:v>
                </c:pt>
                <c:pt idx="218">
                  <c:v>7.43</c:v>
                </c:pt>
                <c:pt idx="219">
                  <c:v>2.79</c:v>
                </c:pt>
                <c:pt idx="220">
                  <c:v>4.54</c:v>
                </c:pt>
                <c:pt idx="221">
                  <c:v>0.52</c:v>
                </c:pt>
                <c:pt idx="222">
                  <c:v>10.029999999999999</c:v>
                </c:pt>
                <c:pt idx="223">
                  <c:v>7.23</c:v>
                </c:pt>
                <c:pt idx="224">
                  <c:v>4.93</c:v>
                </c:pt>
                <c:pt idx="225">
                  <c:v>7.39</c:v>
                </c:pt>
                <c:pt idx="226">
                  <c:v>8.2899999999999991</c:v>
                </c:pt>
                <c:pt idx="227">
                  <c:v>7.59</c:v>
                </c:pt>
                <c:pt idx="228">
                  <c:v>8.7899999999999991</c:v>
                </c:pt>
                <c:pt idx="229">
                  <c:v>9.69</c:v>
                </c:pt>
                <c:pt idx="230">
                  <c:v>7.09</c:v>
                </c:pt>
                <c:pt idx="231">
                  <c:v>3.93</c:v>
                </c:pt>
                <c:pt idx="232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C-47E5-9C19-85B2EF071158}"/>
            </c:ext>
          </c:extLst>
        </c:ser>
        <c:ser>
          <c:idx val="1"/>
          <c:order val="1"/>
          <c:tx>
            <c:strRef>
              <c:f>Expanded_regression!$J$3</c:f>
              <c:strCache>
                <c:ptCount val="1"/>
                <c:pt idx="0">
                  <c:v>4w MA NWEMURLCRKMc1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Expanded_regression!$B$4:$B$256</c:f>
              <c:numCache>
                <c:formatCode>m/d/yy</c:formatCode>
                <c:ptCount val="233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</c:numCache>
            </c:numRef>
          </c:cat>
          <c:val>
            <c:numRef>
              <c:f>Expanded_regression!$J$4:$J$256</c:f>
              <c:numCache>
                <c:formatCode>#,##0</c:formatCode>
                <c:ptCount val="233"/>
                <c:pt idx="4" formatCode="#,##0.00">
                  <c:v>0.35701344925</c:v>
                </c:pt>
                <c:pt idx="5" formatCode="#,##0.00">
                  <c:v>0.54824194550000005</c:v>
                </c:pt>
                <c:pt idx="6" formatCode="#,##0.00">
                  <c:v>0.48265795249999999</c:v>
                </c:pt>
                <c:pt idx="7" formatCode="#,##0.00">
                  <c:v>0.48346750524999998</c:v>
                </c:pt>
                <c:pt idx="8" formatCode="#,##0.00">
                  <c:v>0.53138275474999996</c:v>
                </c:pt>
                <c:pt idx="9" formatCode="#,##0.00">
                  <c:v>0.46432633224999997</c:v>
                </c:pt>
                <c:pt idx="10" formatCode="#,##0.00">
                  <c:v>0.28986131849999996</c:v>
                </c:pt>
                <c:pt idx="11" formatCode="#,##0.00">
                  <c:v>0.40813182225</c:v>
                </c:pt>
                <c:pt idx="12" formatCode="#,##0.00">
                  <c:v>0.46161736474999998</c:v>
                </c:pt>
                <c:pt idx="13" formatCode="#,##0.00">
                  <c:v>0.59551058724999995</c:v>
                </c:pt>
                <c:pt idx="14" formatCode="#,##0.00">
                  <c:v>0.83450831033333339</c:v>
                </c:pt>
                <c:pt idx="15" formatCode="#,##0.00">
                  <c:v>1.1613213443333334</c:v>
                </c:pt>
                <c:pt idx="16" formatCode="#,##0.00">
                  <c:v>0.9450699176666667</c:v>
                </c:pt>
                <c:pt idx="17" formatCode="#,##0.00">
                  <c:v>1.0295298123333334</c:v>
                </c:pt>
                <c:pt idx="18" formatCode="#,##0.00">
                  <c:v>1.1688155327500001</c:v>
                </c:pt>
                <c:pt idx="19" formatCode="#,##0.00">
                  <c:v>1.0434635402499999</c:v>
                </c:pt>
                <c:pt idx="20" formatCode="#,##0.00">
                  <c:v>1.50984280125</c:v>
                </c:pt>
                <c:pt idx="21" formatCode="#,##0.00">
                  <c:v>1.6176617547500001</c:v>
                </c:pt>
                <c:pt idx="22" formatCode="#,##0.00">
                  <c:v>1.765843829</c:v>
                </c:pt>
                <c:pt idx="23" formatCode="#,##0.00">
                  <c:v>2.0269399464999998</c:v>
                </c:pt>
                <c:pt idx="24" formatCode="#,##0.00">
                  <c:v>2.3335421119999999</c:v>
                </c:pt>
                <c:pt idx="25" formatCode="#,##0.00">
                  <c:v>2.4767450122499999</c:v>
                </c:pt>
                <c:pt idx="26" formatCode="#,##0.00">
                  <c:v>2.5239095462500001</c:v>
                </c:pt>
                <c:pt idx="27" formatCode="#,##0.00">
                  <c:v>2.7070375312500001</c:v>
                </c:pt>
                <c:pt idx="28" formatCode="#,##0.00">
                  <c:v>2.8126107617499998</c:v>
                </c:pt>
                <c:pt idx="29" formatCode="#,##0.00">
                  <c:v>2.6856116209999996</c:v>
                </c:pt>
                <c:pt idx="30" formatCode="#,##0.00">
                  <c:v>2.5137418289999998</c:v>
                </c:pt>
                <c:pt idx="31" formatCode="#,##0.00">
                  <c:v>2.48251122325</c:v>
                </c:pt>
                <c:pt idx="32" formatCode="#,##0.00">
                  <c:v>2.4203745765</c:v>
                </c:pt>
                <c:pt idx="33" formatCode="#,##0.00">
                  <c:v>2.4812464479999998</c:v>
                </c:pt>
                <c:pt idx="34" formatCode="#,##0.00">
                  <c:v>2.7885012957500002</c:v>
                </c:pt>
                <c:pt idx="35" formatCode="#,##0.00">
                  <c:v>2.5544254937500002</c:v>
                </c:pt>
                <c:pt idx="36" formatCode="#,##0.00">
                  <c:v>1.9734662515000003</c:v>
                </c:pt>
                <c:pt idx="37" formatCode="#,##0.00">
                  <c:v>1.3239799490000002</c:v>
                </c:pt>
                <c:pt idx="38" formatCode="#,##0.00">
                  <c:v>0.85859840175000002</c:v>
                </c:pt>
                <c:pt idx="39" formatCode="#,##0.00">
                  <c:v>1.1838737767500001</c:v>
                </c:pt>
                <c:pt idx="40" formatCode="#,##0.00">
                  <c:v>2.676024387</c:v>
                </c:pt>
                <c:pt idx="41" formatCode="#,##0.00">
                  <c:v>3.1466666666666669</c:v>
                </c:pt>
                <c:pt idx="42" formatCode="#,##0.00">
                  <c:v>3.2333333333333329</c:v>
                </c:pt>
                <c:pt idx="43" formatCode="#,##0.00">
                  <c:v>3.19</c:v>
                </c:pt>
                <c:pt idx="44" formatCode="#,##0.00">
                  <c:v>2.4475000000000002</c:v>
                </c:pt>
                <c:pt idx="45" formatCode="#,##0.00">
                  <c:v>2.5074999999999998</c:v>
                </c:pt>
                <c:pt idx="46" formatCode="#,##0.00">
                  <c:v>2.1425000000000001</c:v>
                </c:pt>
                <c:pt idx="47" formatCode="#,##0.00">
                  <c:v>1.4550000000000001</c:v>
                </c:pt>
                <c:pt idx="48" formatCode="#,##0.00">
                  <c:v>1.7449999999999999</c:v>
                </c:pt>
                <c:pt idx="49" formatCode="#,##0.00">
                  <c:v>1.8899999999999997</c:v>
                </c:pt>
                <c:pt idx="50" formatCode="#,##0.00">
                  <c:v>2.3224999999999998</c:v>
                </c:pt>
                <c:pt idx="51" formatCode="#,##0.00">
                  <c:v>2.915</c:v>
                </c:pt>
                <c:pt idx="52" formatCode="#,##0.00">
                  <c:v>2.9674999999999998</c:v>
                </c:pt>
                <c:pt idx="53" formatCode="#,##0.00">
                  <c:v>1.9849999999999999</c:v>
                </c:pt>
                <c:pt idx="54" formatCode="#,##0.00">
                  <c:v>1.46</c:v>
                </c:pt>
                <c:pt idx="55" formatCode="#,##0.00">
                  <c:v>0.95</c:v>
                </c:pt>
                <c:pt idx="56" formatCode="#,##0.00">
                  <c:v>5.0000000000000044E-3</c:v>
                </c:pt>
                <c:pt idx="57" formatCode="#,##0.00">
                  <c:v>1.45</c:v>
                </c:pt>
                <c:pt idx="58" formatCode="#,##0.00">
                  <c:v>1.2087687887499998</c:v>
                </c:pt>
                <c:pt idx="59" formatCode="#,##0.00">
                  <c:v>1.6565334459999999</c:v>
                </c:pt>
                <c:pt idx="60" formatCode="#,##0.00">
                  <c:v>1.3015416114999998</c:v>
                </c:pt>
                <c:pt idx="61" formatCode="#,##0.00">
                  <c:v>2.683697097</c:v>
                </c:pt>
                <c:pt idx="62" formatCode="#,##0.00">
                  <c:v>3.0433442206666665</c:v>
                </c:pt>
                <c:pt idx="63" formatCode="#,##0.00">
                  <c:v>5.083333333333333</c:v>
                </c:pt>
                <c:pt idx="64" formatCode="#,##0.00">
                  <c:v>3.6533333333333338</c:v>
                </c:pt>
                <c:pt idx="65" formatCode="#,##0.00">
                  <c:v>3.3575000000000004</c:v>
                </c:pt>
                <c:pt idx="66" formatCode="#,##0.00">
                  <c:v>3.4650000000000003</c:v>
                </c:pt>
                <c:pt idx="67" formatCode="#,##0.00">
                  <c:v>3.1349999999999998</c:v>
                </c:pt>
                <c:pt idx="68" formatCode="#,##0.00">
                  <c:v>3.38</c:v>
                </c:pt>
                <c:pt idx="69" formatCode="#,##0.00">
                  <c:v>2.5825</c:v>
                </c:pt>
                <c:pt idx="70" formatCode="#,##0.00">
                  <c:v>2.1124999999999998</c:v>
                </c:pt>
                <c:pt idx="71" formatCode="#,##0.00">
                  <c:v>1.3225</c:v>
                </c:pt>
                <c:pt idx="72" formatCode="#,##0.00">
                  <c:v>0.11500000000000005</c:v>
                </c:pt>
                <c:pt idx="73" formatCode="#,##0.00">
                  <c:v>0.39500000000000002</c:v>
                </c:pt>
                <c:pt idx="74" formatCode="#,##0.00">
                  <c:v>1.7949999999999999</c:v>
                </c:pt>
                <c:pt idx="75" formatCode="#,##0.00">
                  <c:v>1.7949999999999999</c:v>
                </c:pt>
                <c:pt idx="76" formatCode="#,##0.00">
                  <c:v>2.04</c:v>
                </c:pt>
                <c:pt idx="77" formatCode="#,##0.00">
                  <c:v>2.4125000000000001</c:v>
                </c:pt>
                <c:pt idx="78" formatCode="#,##0.00">
                  <c:v>3.2366666666666668</c:v>
                </c:pt>
                <c:pt idx="79" formatCode="#,##0.00">
                  <c:v>4.1800000000000006</c:v>
                </c:pt>
                <c:pt idx="80" formatCode="#,##0.00">
                  <c:v>5.0533333333333337</c:v>
                </c:pt>
                <c:pt idx="81" formatCode="#,##0.00">
                  <c:v>5.4766666666666666</c:v>
                </c:pt>
                <c:pt idx="82" formatCode="#,##0.00">
                  <c:v>5.9824999999999999</c:v>
                </c:pt>
                <c:pt idx="83" formatCode="#,##0.00">
                  <c:v>5.3725000000000005</c:v>
                </c:pt>
                <c:pt idx="84" formatCode="#,##0.00">
                  <c:v>4.5075000000000003</c:v>
                </c:pt>
                <c:pt idx="85" formatCode="#,##0.00">
                  <c:v>2.6125000000000003</c:v>
                </c:pt>
                <c:pt idx="86" formatCode="#,##0.00">
                  <c:v>1.4525000000000001</c:v>
                </c:pt>
                <c:pt idx="87" formatCode="#,##0.00">
                  <c:v>1.6850000000000001</c:v>
                </c:pt>
                <c:pt idx="88" formatCode="#,##0.00">
                  <c:v>0.52249999999999985</c:v>
                </c:pt>
                <c:pt idx="89" formatCode="#,##0.00">
                  <c:v>-1.7500000000000071E-2</c:v>
                </c:pt>
                <c:pt idx="90" formatCode="#,##0.00">
                  <c:v>-1.9733333333333334</c:v>
                </c:pt>
                <c:pt idx="91" formatCode="#,##0.00">
                  <c:v>-3.3033333333333332</c:v>
                </c:pt>
                <c:pt idx="92" formatCode="#,##0.00">
                  <c:v>-2.8000000000000003</c:v>
                </c:pt>
                <c:pt idx="93" formatCode="#,##0.00">
                  <c:v>-7.94</c:v>
                </c:pt>
                <c:pt idx="94" formatCode="#,##0.00">
                  <c:v>-6.335</c:v>
                </c:pt>
                <c:pt idx="95" formatCode="#,##0.00">
                  <c:v>-3.395</c:v>
                </c:pt>
                <c:pt idx="96" formatCode="#,##0.00">
                  <c:v>-3.4975000000000001</c:v>
                </c:pt>
                <c:pt idx="97" formatCode="#,##0.00">
                  <c:v>-7.333333333333325E-2</c:v>
                </c:pt>
                <c:pt idx="98" formatCode="#,##0.00">
                  <c:v>0.79666666666666686</c:v>
                </c:pt>
                <c:pt idx="99" formatCode="#,##0.00">
                  <c:v>3.1166666666666671</c:v>
                </c:pt>
                <c:pt idx="100" formatCode="#,##0.00">
                  <c:v>5.5100000000000007</c:v>
                </c:pt>
                <c:pt idx="101" formatCode="#,##0.00">
                  <c:v>4.21</c:v>
                </c:pt>
                <c:pt idx="102" formatCode="#,##0.00">
                  <c:v>2.5950000000000002</c:v>
                </c:pt>
                <c:pt idx="103" formatCode="#,##0.00">
                  <c:v>1.0449999999999999</c:v>
                </c:pt>
                <c:pt idx="104" formatCode="#,##0.00">
                  <c:v>1.4024999999999999</c:v>
                </c:pt>
                <c:pt idx="105" formatCode="#,##0.00">
                  <c:v>2.145</c:v>
                </c:pt>
                <c:pt idx="106" formatCode="#,##0.00">
                  <c:v>3.0474999999999994</c:v>
                </c:pt>
                <c:pt idx="107" formatCode="#,##0.00">
                  <c:v>3.0175000000000001</c:v>
                </c:pt>
                <c:pt idx="108" formatCode="#,##0.00">
                  <c:v>2.8925000000000001</c:v>
                </c:pt>
                <c:pt idx="109" formatCode="#,##0.00">
                  <c:v>3.04</c:v>
                </c:pt>
                <c:pt idx="110" formatCode="#,##0.00">
                  <c:v>3.08</c:v>
                </c:pt>
                <c:pt idx="111" formatCode="#,##0.00">
                  <c:v>2.6366666666666667</c:v>
                </c:pt>
                <c:pt idx="112" formatCode="#,##0.00">
                  <c:v>2.1766666666666672</c:v>
                </c:pt>
                <c:pt idx="113" formatCode="#,##0.00">
                  <c:v>0.2</c:v>
                </c:pt>
                <c:pt idx="114" formatCode="#,##0.00">
                  <c:v>0.71499999999999986</c:v>
                </c:pt>
                <c:pt idx="115" formatCode="#,##0.00">
                  <c:v>-1.2000000000000002</c:v>
                </c:pt>
                <c:pt idx="116" formatCode="#,##0.00">
                  <c:v>-1.8200000000000003</c:v>
                </c:pt>
                <c:pt idx="117" formatCode="#,##0.00">
                  <c:v>-1.8366666666666669</c:v>
                </c:pt>
                <c:pt idx="118" formatCode="#,##0.00">
                  <c:v>0.56999999999999984</c:v>
                </c:pt>
                <c:pt idx="119" formatCode="#,##0.00">
                  <c:v>3.7075</c:v>
                </c:pt>
                <c:pt idx="120" formatCode="#,##0.00">
                  <c:v>5.83</c:v>
                </c:pt>
                <c:pt idx="121" formatCode="#,##0.00">
                  <c:v>7.6025000000000009</c:v>
                </c:pt>
                <c:pt idx="122" formatCode="#,##0.00">
                  <c:v>6.3525</c:v>
                </c:pt>
                <c:pt idx="123" formatCode="#,##0.00">
                  <c:v>5.8250000000000002</c:v>
                </c:pt>
                <c:pt idx="124" formatCode="#,##0.00">
                  <c:v>5.34</c:v>
                </c:pt>
                <c:pt idx="125" formatCode="#,##0.00">
                  <c:v>3.1225000000000001</c:v>
                </c:pt>
                <c:pt idx="126" formatCode="#,##0.00">
                  <c:v>3.4950000000000001</c:v>
                </c:pt>
                <c:pt idx="127" formatCode="#,##0.00">
                  <c:v>2.4000000000000004</c:v>
                </c:pt>
                <c:pt idx="128" formatCode="#,##0.00">
                  <c:v>2.0875000000000004</c:v>
                </c:pt>
                <c:pt idx="129" formatCode="#,##0.00">
                  <c:v>2.2149999999999999</c:v>
                </c:pt>
                <c:pt idx="130" formatCode="#,##0.00">
                  <c:v>1.2749999999999999</c:v>
                </c:pt>
                <c:pt idx="131" formatCode="#,##0.00">
                  <c:v>1.5675000000000001</c:v>
                </c:pt>
                <c:pt idx="132" formatCode="#,##0.00">
                  <c:v>0.57750000000000012</c:v>
                </c:pt>
                <c:pt idx="133" formatCode="#,##0.00">
                  <c:v>-1.2499999999999956E-2</c:v>
                </c:pt>
                <c:pt idx="134" formatCode="#,##0.00">
                  <c:v>0.67249999999999999</c:v>
                </c:pt>
                <c:pt idx="135" formatCode="#,##0.00">
                  <c:v>0.43749999999999994</c:v>
                </c:pt>
                <c:pt idx="136" formatCode="#,##0.00">
                  <c:v>2.0125000000000002</c:v>
                </c:pt>
                <c:pt idx="137" formatCode="#,##0.00">
                  <c:v>2.81</c:v>
                </c:pt>
                <c:pt idx="138" formatCode="#,##0.00">
                  <c:v>1.905</c:v>
                </c:pt>
                <c:pt idx="139" formatCode="#,##0.00">
                  <c:v>1.2424999999999999</c:v>
                </c:pt>
                <c:pt idx="140" formatCode="#,##0.00">
                  <c:v>-0.47666666666666663</c:v>
                </c:pt>
                <c:pt idx="141" formatCode="#,##0.00">
                  <c:v>-0.9966666666666667</c:v>
                </c:pt>
                <c:pt idx="142" formatCode="#,##0.00">
                  <c:v>-1.3800000000000001</c:v>
                </c:pt>
                <c:pt idx="143" formatCode="#,##0.00">
                  <c:v>-1.57</c:v>
                </c:pt>
                <c:pt idx="144" formatCode="#,##0.00">
                  <c:v>-1.4</c:v>
                </c:pt>
                <c:pt idx="145" formatCode="#,##0.00">
                  <c:v>-0.92</c:v>
                </c:pt>
                <c:pt idx="146" formatCode="#,##0.00">
                  <c:v>-0.31250000000000006</c:v>
                </c:pt>
                <c:pt idx="147" formatCode="#,##0.00">
                  <c:v>-0.28000000000000003</c:v>
                </c:pt>
                <c:pt idx="148" formatCode="#,##0.00">
                  <c:v>0.26750000000000002</c:v>
                </c:pt>
                <c:pt idx="149" formatCode="#,##0.00">
                  <c:v>0.28750000000000003</c:v>
                </c:pt>
                <c:pt idx="150" formatCode="#,##0.00">
                  <c:v>1.0549999999999999</c:v>
                </c:pt>
                <c:pt idx="151" formatCode="#,##0.00">
                  <c:v>2.8250000000000002</c:v>
                </c:pt>
                <c:pt idx="152" formatCode="#,##0.00">
                  <c:v>3.4375</c:v>
                </c:pt>
                <c:pt idx="153" formatCode="#,##0.00">
                  <c:v>1.3774999999999999</c:v>
                </c:pt>
                <c:pt idx="154" formatCode="#,##0.00">
                  <c:v>-0.21250000000000002</c:v>
                </c:pt>
                <c:pt idx="155" formatCode="#,##0.00">
                  <c:v>-4.6099999999999994</c:v>
                </c:pt>
                <c:pt idx="156" formatCode="#,##0.00">
                  <c:v>-5.6749999999999998</c:v>
                </c:pt>
                <c:pt idx="157" formatCode="#,##0.00">
                  <c:v>-1.7074999999999998</c:v>
                </c:pt>
                <c:pt idx="158" formatCode="#,##0.00">
                  <c:v>7.4466666666666663</c:v>
                </c:pt>
                <c:pt idx="159" formatCode="#,##0.00">
                  <c:v>10.290000000000001</c:v>
                </c:pt>
                <c:pt idx="160" formatCode="#,##0.00">
                  <c:v>9.0024999999999995</c:v>
                </c:pt>
                <c:pt idx="161" formatCode="#,##0.00">
                  <c:v>7.620000000000001</c:v>
                </c:pt>
                <c:pt idx="162" formatCode="#,##0.00">
                  <c:v>7.2175000000000002</c:v>
                </c:pt>
                <c:pt idx="163" formatCode="#,##0.00">
                  <c:v>4.12</c:v>
                </c:pt>
                <c:pt idx="164" formatCode="#,##0.00">
                  <c:v>2.4224999999999999</c:v>
                </c:pt>
                <c:pt idx="165" formatCode="#,##0.00">
                  <c:v>2.08</c:v>
                </c:pt>
                <c:pt idx="166" formatCode="#,##0.00">
                  <c:v>0.81000000000000028</c:v>
                </c:pt>
                <c:pt idx="167" formatCode="#,##0.00">
                  <c:v>0.5625</c:v>
                </c:pt>
                <c:pt idx="168" formatCode="#,##0.00">
                  <c:v>-0.45999999999999996</c:v>
                </c:pt>
                <c:pt idx="169" formatCode="#,##0.00">
                  <c:v>0.35</c:v>
                </c:pt>
                <c:pt idx="170" formatCode="#,##0.00">
                  <c:v>-0.4375</c:v>
                </c:pt>
                <c:pt idx="171" formatCode="#,##0.00">
                  <c:v>-0.15500000000000008</c:v>
                </c:pt>
                <c:pt idx="172" formatCode="#,##0.00">
                  <c:v>0.20499999999999993</c:v>
                </c:pt>
                <c:pt idx="173" formatCode="#,##0.00">
                  <c:v>0.25499999999999995</c:v>
                </c:pt>
                <c:pt idx="174" formatCode="#,##0.00">
                  <c:v>0.30250000000000005</c:v>
                </c:pt>
                <c:pt idx="175" formatCode="#,##0.00">
                  <c:v>-0.37</c:v>
                </c:pt>
                <c:pt idx="176" formatCode="#,##0.00">
                  <c:v>-0.87749999999999995</c:v>
                </c:pt>
                <c:pt idx="177" formatCode="#,##0.00">
                  <c:v>0.21250000000000002</c:v>
                </c:pt>
                <c:pt idx="178" formatCode="#,##0.00">
                  <c:v>0.8</c:v>
                </c:pt>
                <c:pt idx="179" formatCode="#,##0.00">
                  <c:v>1.3925000000000001</c:v>
                </c:pt>
                <c:pt idx="180" formatCode="#,##0.00">
                  <c:v>2.9175</c:v>
                </c:pt>
                <c:pt idx="181" formatCode="#,##0.00">
                  <c:v>2.3924999999999996</c:v>
                </c:pt>
                <c:pt idx="182" formatCode="#,##0.00">
                  <c:v>2.4725000000000001</c:v>
                </c:pt>
                <c:pt idx="183" formatCode="#,##0.00">
                  <c:v>1.7850000000000001</c:v>
                </c:pt>
                <c:pt idx="184" formatCode="#,##0.00">
                  <c:v>1.3525</c:v>
                </c:pt>
                <c:pt idx="185" formatCode="#,##0.00">
                  <c:v>0.14750000000000008</c:v>
                </c:pt>
                <c:pt idx="186" formatCode="#,##0.00">
                  <c:v>-0.17499999999999993</c:v>
                </c:pt>
                <c:pt idx="187" formatCode="#,##0.00">
                  <c:v>0.75500000000000012</c:v>
                </c:pt>
                <c:pt idx="188" formatCode="#,##0.00">
                  <c:v>1.7500000000000022E-2</c:v>
                </c:pt>
                <c:pt idx="189" formatCode="#,##0.00">
                  <c:v>0.68250000000000011</c:v>
                </c:pt>
                <c:pt idx="190" formatCode="#,##0.00">
                  <c:v>1.155</c:v>
                </c:pt>
                <c:pt idx="191" formatCode="#,##0.00">
                  <c:v>1.875</c:v>
                </c:pt>
                <c:pt idx="192" formatCode="#,##0.00">
                  <c:v>0.88500000000000001</c:v>
                </c:pt>
                <c:pt idx="193" formatCode="#,##0.00">
                  <c:v>0.31</c:v>
                </c:pt>
                <c:pt idx="194" formatCode="#,##0.00">
                  <c:v>0.36</c:v>
                </c:pt>
                <c:pt idx="195" formatCode="#,##0.00">
                  <c:v>0.81</c:v>
                </c:pt>
                <c:pt idx="196" formatCode="#,##0.00">
                  <c:v>1.4075</c:v>
                </c:pt>
                <c:pt idx="197" formatCode="#,##0.00">
                  <c:v>2.335</c:v>
                </c:pt>
                <c:pt idx="198" formatCode="#,##0.00">
                  <c:v>2.8125</c:v>
                </c:pt>
                <c:pt idx="199" formatCode="#,##0.00">
                  <c:v>2.9175000000000004</c:v>
                </c:pt>
                <c:pt idx="200" formatCode="#,##0.00">
                  <c:v>3.2549999999999999</c:v>
                </c:pt>
                <c:pt idx="201" formatCode="#,##0.00">
                  <c:v>1.4725000000000001</c:v>
                </c:pt>
                <c:pt idx="202" formatCode="#,##0.00">
                  <c:v>-0.28999999999999992</c:v>
                </c:pt>
                <c:pt idx="203" formatCode="#,##0.00">
                  <c:v>-0.81333333333333346</c:v>
                </c:pt>
                <c:pt idx="204" formatCode="#,##0.00">
                  <c:v>2.9599999999999995</c:v>
                </c:pt>
                <c:pt idx="205" formatCode="#,##0.00">
                  <c:v>3.7266666666666666</c:v>
                </c:pt>
                <c:pt idx="206" formatCode="#,##0.00">
                  <c:v>3.58</c:v>
                </c:pt>
                <c:pt idx="207" formatCode="#,##0.00">
                  <c:v>3.7625000000000002</c:v>
                </c:pt>
                <c:pt idx="208" formatCode="#,##0.00">
                  <c:v>2.2324999999999999</c:v>
                </c:pt>
                <c:pt idx="209" formatCode="#,##0.00">
                  <c:v>1.4724999999999999</c:v>
                </c:pt>
                <c:pt idx="210" formatCode="#,##0.00">
                  <c:v>1.5074999999999998</c:v>
                </c:pt>
                <c:pt idx="211" formatCode="#,##0.00">
                  <c:v>2.1374999999999997</c:v>
                </c:pt>
                <c:pt idx="212" formatCode="#,##0.00">
                  <c:v>2.8274999999999997</c:v>
                </c:pt>
                <c:pt idx="213" formatCode="#,##0.00">
                  <c:v>3.7449999999999997</c:v>
                </c:pt>
                <c:pt idx="214" formatCode="#,##0.00">
                  <c:v>3.8724999999999996</c:v>
                </c:pt>
                <c:pt idx="215" formatCode="#,##0.00">
                  <c:v>3.2949999999999999</c:v>
                </c:pt>
                <c:pt idx="216" formatCode="#,##0.00">
                  <c:v>2.9250000000000003</c:v>
                </c:pt>
                <c:pt idx="217" formatCode="#,##0.00">
                  <c:v>2.7774999999999999</c:v>
                </c:pt>
                <c:pt idx="218" formatCode="#,##0.00">
                  <c:v>2.84</c:v>
                </c:pt>
                <c:pt idx="219" formatCode="#,##0.00">
                  <c:v>3.9699999999999998</c:v>
                </c:pt>
                <c:pt idx="220" formatCode="#,##0.00">
                  <c:v>4.1124999999999998</c:v>
                </c:pt>
                <c:pt idx="221" formatCode="#,##0.00">
                  <c:v>4.6999999999999993</c:v>
                </c:pt>
                <c:pt idx="222" formatCode="#,##0.00">
                  <c:v>3.8199999999999994</c:v>
                </c:pt>
                <c:pt idx="223" formatCode="#,##0.00">
                  <c:v>4.47</c:v>
                </c:pt>
                <c:pt idx="224" formatCode="#,##0.00">
                  <c:v>5.58</c:v>
                </c:pt>
                <c:pt idx="225" formatCode="#,##0.00">
                  <c:v>5.6775000000000002</c:v>
                </c:pt>
                <c:pt idx="226" formatCode="#,##0.00">
                  <c:v>7.3949999999999996</c:v>
                </c:pt>
                <c:pt idx="227" formatCode="#,##0.00">
                  <c:v>6.96</c:v>
                </c:pt>
                <c:pt idx="228" formatCode="#,##0.00">
                  <c:v>7.05</c:v>
                </c:pt>
                <c:pt idx="229" formatCode="#,##0.00">
                  <c:v>8.0150000000000006</c:v>
                </c:pt>
                <c:pt idx="230" formatCode="#,##0.00">
                  <c:v>8.59</c:v>
                </c:pt>
                <c:pt idx="231" formatCode="#,##0.00">
                  <c:v>8.2899999999999991</c:v>
                </c:pt>
                <c:pt idx="232" formatCode="#,##0.00">
                  <c:v>7.3749999999999991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C-47E5-9C19-85B2EF07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704767"/>
        <c:axId val="1659707679"/>
      </c:lineChart>
      <c:dateAx>
        <c:axId val="165970476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707679"/>
        <c:crosses val="autoZero"/>
        <c:auto val="1"/>
        <c:lblOffset val="100"/>
        <c:baseTimeUnit val="days"/>
      </c:dateAx>
      <c:valAx>
        <c:axId val="165970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Refinery margin ($/bbl)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7047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baseline="0">
                <a:solidFill>
                  <a:sysClr val="windowText" lastClr="000000"/>
                </a:solidFill>
                <a:effectLst/>
              </a:rPr>
              <a:t>VanEck Russia ETF (RSX) time series</a:t>
            </a:r>
            <a:endParaRPr lang="en-GB" sz="1200">
              <a:solidFill>
                <a:sysClr val="windowText" lastClr="000000"/>
              </a:solidFill>
              <a:effectLst/>
            </a:endParaRPr>
          </a:p>
          <a:p>
            <a:pPr>
              <a:defRPr/>
            </a:pPr>
            <a:r>
              <a:rPr lang="en-GB" sz="1000" b="0" i="0" baseline="0">
                <a:solidFill>
                  <a:sysClr val="windowText" lastClr="000000"/>
                </a:solidFill>
                <a:effectLst/>
              </a:rPr>
              <a:t>Data: Refinitiv Eikon</a:t>
            </a:r>
            <a:endParaRPr lang="en-GB" sz="8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Expanded_regression!#REF!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Expanded_regression!$B$4:$B$258</c:f>
              <c:numCache>
                <c:formatCode>m/d/yy</c:formatCode>
                <c:ptCount val="235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  <c:pt idx="233">
                  <c:v>44512</c:v>
                </c:pt>
                <c:pt idx="234">
                  <c:v>44519</c:v>
                </c:pt>
              </c:numCache>
            </c:numRef>
          </c:cat>
          <c:val>
            <c:numRef>
              <c:f>Expanded_regression!$F$4:$F$258</c:f>
              <c:numCache>
                <c:formatCode>General</c:formatCode>
                <c:ptCount val="235"/>
                <c:pt idx="0">
                  <c:v>21.52</c:v>
                </c:pt>
                <c:pt idx="1">
                  <c:v>21.45</c:v>
                </c:pt>
                <c:pt idx="2">
                  <c:v>21.08</c:v>
                </c:pt>
                <c:pt idx="3">
                  <c:v>22.08</c:v>
                </c:pt>
                <c:pt idx="4">
                  <c:v>21.8</c:v>
                </c:pt>
                <c:pt idx="5">
                  <c:v>21.73</c:v>
                </c:pt>
                <c:pt idx="6">
                  <c:v>21.22</c:v>
                </c:pt>
                <c:pt idx="7">
                  <c:v>20.73</c:v>
                </c:pt>
                <c:pt idx="8">
                  <c:v>20.56</c:v>
                </c:pt>
                <c:pt idx="9">
                  <c:v>19.5</c:v>
                </c:pt>
                <c:pt idx="10">
                  <c:v>20.89</c:v>
                </c:pt>
                <c:pt idx="11">
                  <c:v>20.95</c:v>
                </c:pt>
                <c:pt idx="12">
                  <c:v>20.67</c:v>
                </c:pt>
                <c:pt idx="13">
                  <c:v>20.6</c:v>
                </c:pt>
                <c:pt idx="14">
                  <c:v>20.14</c:v>
                </c:pt>
                <c:pt idx="15">
                  <c:v>20.88</c:v>
                </c:pt>
                <c:pt idx="16">
                  <c:v>20.32</c:v>
                </c:pt>
                <c:pt idx="17">
                  <c:v>20.46</c:v>
                </c:pt>
                <c:pt idx="18">
                  <c:v>20.260000000000002</c:v>
                </c:pt>
                <c:pt idx="19">
                  <c:v>20.309999999999999</c:v>
                </c:pt>
                <c:pt idx="20">
                  <c:v>19.690000000000001</c:v>
                </c:pt>
                <c:pt idx="21">
                  <c:v>19.39</c:v>
                </c:pt>
                <c:pt idx="22">
                  <c:v>18.75</c:v>
                </c:pt>
                <c:pt idx="23">
                  <c:v>18.850000000000001</c:v>
                </c:pt>
                <c:pt idx="24">
                  <c:v>19.170000000000002</c:v>
                </c:pt>
                <c:pt idx="25">
                  <c:v>19.079999999999998</c:v>
                </c:pt>
                <c:pt idx="26">
                  <c:v>20.21</c:v>
                </c:pt>
                <c:pt idx="27">
                  <c:v>20</c:v>
                </c:pt>
                <c:pt idx="28">
                  <c:v>19.98</c:v>
                </c:pt>
                <c:pt idx="29">
                  <c:v>20.12</c:v>
                </c:pt>
                <c:pt idx="30">
                  <c:v>19.96</c:v>
                </c:pt>
                <c:pt idx="31">
                  <c:v>20.260000000000002</c:v>
                </c:pt>
                <c:pt idx="32">
                  <c:v>20.74</c:v>
                </c:pt>
                <c:pt idx="33">
                  <c:v>21.59</c:v>
                </c:pt>
                <c:pt idx="34">
                  <c:v>21.63</c:v>
                </c:pt>
                <c:pt idx="35">
                  <c:v>21.95</c:v>
                </c:pt>
                <c:pt idx="36">
                  <c:v>21.83</c:v>
                </c:pt>
                <c:pt idx="37">
                  <c:v>22.29</c:v>
                </c:pt>
                <c:pt idx="38">
                  <c:v>22.13</c:v>
                </c:pt>
                <c:pt idx="39">
                  <c:v>22.56</c:v>
                </c:pt>
                <c:pt idx="40">
                  <c:v>21.99</c:v>
                </c:pt>
                <c:pt idx="41">
                  <c:v>21.78</c:v>
                </c:pt>
                <c:pt idx="42">
                  <c:v>22.28</c:v>
                </c:pt>
                <c:pt idx="43">
                  <c:v>21.93</c:v>
                </c:pt>
                <c:pt idx="44">
                  <c:v>22.48</c:v>
                </c:pt>
                <c:pt idx="45">
                  <c:v>21.46</c:v>
                </c:pt>
                <c:pt idx="46">
                  <c:v>21.57</c:v>
                </c:pt>
                <c:pt idx="47">
                  <c:v>21.93</c:v>
                </c:pt>
                <c:pt idx="48">
                  <c:v>21.11</c:v>
                </c:pt>
                <c:pt idx="49">
                  <c:v>21.21</c:v>
                </c:pt>
                <c:pt idx="50">
                  <c:v>22.66</c:v>
                </c:pt>
                <c:pt idx="51">
                  <c:v>23.31</c:v>
                </c:pt>
                <c:pt idx="52">
                  <c:v>23.3</c:v>
                </c:pt>
                <c:pt idx="53">
                  <c:v>23.61</c:v>
                </c:pt>
                <c:pt idx="54">
                  <c:v>22.98</c:v>
                </c:pt>
                <c:pt idx="55">
                  <c:v>21.67</c:v>
                </c:pt>
                <c:pt idx="56">
                  <c:v>22.99</c:v>
                </c:pt>
                <c:pt idx="57">
                  <c:v>23.25</c:v>
                </c:pt>
                <c:pt idx="58">
                  <c:v>23.48</c:v>
                </c:pt>
                <c:pt idx="59">
                  <c:v>22.81</c:v>
                </c:pt>
                <c:pt idx="60">
                  <c:v>22.5</c:v>
                </c:pt>
                <c:pt idx="61">
                  <c:v>22.37</c:v>
                </c:pt>
                <c:pt idx="62">
                  <c:v>20.38</c:v>
                </c:pt>
                <c:pt idx="63">
                  <c:v>21</c:v>
                </c:pt>
                <c:pt idx="64">
                  <c:v>21.29</c:v>
                </c:pt>
                <c:pt idx="65">
                  <c:v>21.14</c:v>
                </c:pt>
                <c:pt idx="66">
                  <c:v>21.5</c:v>
                </c:pt>
                <c:pt idx="67">
                  <c:v>21.35</c:v>
                </c:pt>
                <c:pt idx="68">
                  <c:v>21.27</c:v>
                </c:pt>
                <c:pt idx="69">
                  <c:v>21.4</c:v>
                </c:pt>
                <c:pt idx="70">
                  <c:v>21.02</c:v>
                </c:pt>
                <c:pt idx="71">
                  <c:v>20.37</c:v>
                </c:pt>
                <c:pt idx="72">
                  <c:v>20.88</c:v>
                </c:pt>
                <c:pt idx="73">
                  <c:v>21.24</c:v>
                </c:pt>
                <c:pt idx="74">
                  <c:v>21.81</c:v>
                </c:pt>
                <c:pt idx="75">
                  <c:v>21.79</c:v>
                </c:pt>
                <c:pt idx="76">
                  <c:v>21.04</c:v>
                </c:pt>
                <c:pt idx="77">
                  <c:v>21.4</c:v>
                </c:pt>
                <c:pt idx="78">
                  <c:v>19.579999999999998</c:v>
                </c:pt>
                <c:pt idx="79">
                  <c:v>19.84</c:v>
                </c:pt>
                <c:pt idx="80">
                  <c:v>19.920000000000002</c:v>
                </c:pt>
                <c:pt idx="81">
                  <c:v>20.03</c:v>
                </c:pt>
                <c:pt idx="82">
                  <c:v>19.18</c:v>
                </c:pt>
                <c:pt idx="83">
                  <c:v>20.18</c:v>
                </c:pt>
                <c:pt idx="84">
                  <c:v>21.12</c:v>
                </c:pt>
                <c:pt idx="85">
                  <c:v>21.56</c:v>
                </c:pt>
                <c:pt idx="86">
                  <c:v>21.2</c:v>
                </c:pt>
                <c:pt idx="87">
                  <c:v>21.16</c:v>
                </c:pt>
                <c:pt idx="88">
                  <c:v>20.88</c:v>
                </c:pt>
                <c:pt idx="89">
                  <c:v>20.29</c:v>
                </c:pt>
                <c:pt idx="90">
                  <c:v>20.61</c:v>
                </c:pt>
                <c:pt idx="91">
                  <c:v>21.01</c:v>
                </c:pt>
                <c:pt idx="92">
                  <c:v>20.45</c:v>
                </c:pt>
                <c:pt idx="93">
                  <c:v>20.45</c:v>
                </c:pt>
                <c:pt idx="94">
                  <c:v>20.71</c:v>
                </c:pt>
                <c:pt idx="95">
                  <c:v>20.23</c:v>
                </c:pt>
                <c:pt idx="96">
                  <c:v>18.62</c:v>
                </c:pt>
                <c:pt idx="97">
                  <c:v>19.71</c:v>
                </c:pt>
                <c:pt idx="98">
                  <c:v>20.059999999999999</c:v>
                </c:pt>
                <c:pt idx="99">
                  <c:v>20.51</c:v>
                </c:pt>
                <c:pt idx="100">
                  <c:v>20.74</c:v>
                </c:pt>
                <c:pt idx="101">
                  <c:v>21.12</c:v>
                </c:pt>
                <c:pt idx="102">
                  <c:v>20.76</c:v>
                </c:pt>
                <c:pt idx="103">
                  <c:v>20.47</c:v>
                </c:pt>
                <c:pt idx="104">
                  <c:v>20.73</c:v>
                </c:pt>
                <c:pt idx="105">
                  <c:v>20.440000000000001</c:v>
                </c:pt>
                <c:pt idx="106">
                  <c:v>20.87</c:v>
                </c:pt>
                <c:pt idx="107">
                  <c:v>20.9</c:v>
                </c:pt>
                <c:pt idx="108">
                  <c:v>20.6</c:v>
                </c:pt>
                <c:pt idx="109">
                  <c:v>21.19</c:v>
                </c:pt>
                <c:pt idx="110">
                  <c:v>21.45</c:v>
                </c:pt>
                <c:pt idx="111">
                  <c:v>21.42</c:v>
                </c:pt>
                <c:pt idx="112">
                  <c:v>21.56</c:v>
                </c:pt>
                <c:pt idx="113">
                  <c:v>21.14</c:v>
                </c:pt>
                <c:pt idx="114">
                  <c:v>21.64</c:v>
                </c:pt>
                <c:pt idx="115">
                  <c:v>22.32</c:v>
                </c:pt>
                <c:pt idx="116">
                  <c:v>22.79</c:v>
                </c:pt>
                <c:pt idx="117">
                  <c:v>23.66</c:v>
                </c:pt>
                <c:pt idx="118">
                  <c:v>23.63</c:v>
                </c:pt>
                <c:pt idx="119">
                  <c:v>23.85</c:v>
                </c:pt>
                <c:pt idx="120">
                  <c:v>23.92</c:v>
                </c:pt>
                <c:pt idx="121">
                  <c:v>23.66</c:v>
                </c:pt>
                <c:pt idx="122">
                  <c:v>23.64</c:v>
                </c:pt>
                <c:pt idx="123">
                  <c:v>22.57</c:v>
                </c:pt>
                <c:pt idx="124">
                  <c:v>22.38</c:v>
                </c:pt>
                <c:pt idx="125">
                  <c:v>21.47</c:v>
                </c:pt>
                <c:pt idx="126">
                  <c:v>21.74</c:v>
                </c:pt>
                <c:pt idx="127">
                  <c:v>22.26</c:v>
                </c:pt>
                <c:pt idx="128">
                  <c:v>23.07</c:v>
                </c:pt>
                <c:pt idx="129">
                  <c:v>23.61</c:v>
                </c:pt>
                <c:pt idx="130">
                  <c:v>23.43</c:v>
                </c:pt>
                <c:pt idx="131">
                  <c:v>22.98</c:v>
                </c:pt>
                <c:pt idx="132">
                  <c:v>22.51</c:v>
                </c:pt>
                <c:pt idx="133">
                  <c:v>22.92</c:v>
                </c:pt>
                <c:pt idx="134">
                  <c:v>23.02</c:v>
                </c:pt>
                <c:pt idx="135">
                  <c:v>24.11</c:v>
                </c:pt>
                <c:pt idx="136">
                  <c:v>24.75</c:v>
                </c:pt>
                <c:pt idx="137">
                  <c:v>24.97</c:v>
                </c:pt>
                <c:pt idx="138">
                  <c:v>24.73</c:v>
                </c:pt>
                <c:pt idx="139">
                  <c:v>24.63</c:v>
                </c:pt>
                <c:pt idx="140">
                  <c:v>24.47</c:v>
                </c:pt>
                <c:pt idx="141">
                  <c:v>25.58</c:v>
                </c:pt>
                <c:pt idx="142">
                  <c:v>26</c:v>
                </c:pt>
                <c:pt idx="143">
                  <c:v>25.06</c:v>
                </c:pt>
                <c:pt idx="144">
                  <c:v>25.1</c:v>
                </c:pt>
                <c:pt idx="145">
                  <c:v>26.01</c:v>
                </c:pt>
                <c:pt idx="146">
                  <c:v>26.57</c:v>
                </c:pt>
                <c:pt idx="147">
                  <c:v>25.86</c:v>
                </c:pt>
                <c:pt idx="148">
                  <c:v>24.6</c:v>
                </c:pt>
                <c:pt idx="149">
                  <c:v>24.6</c:v>
                </c:pt>
                <c:pt idx="150">
                  <c:v>24.79</c:v>
                </c:pt>
                <c:pt idx="151">
                  <c:v>24.79</c:v>
                </c:pt>
                <c:pt idx="152">
                  <c:v>21.37</c:v>
                </c:pt>
                <c:pt idx="153">
                  <c:v>20.62</c:v>
                </c:pt>
                <c:pt idx="154">
                  <c:v>17.34</c:v>
                </c:pt>
                <c:pt idx="155">
                  <c:v>14.8</c:v>
                </c:pt>
                <c:pt idx="156">
                  <c:v>16.23</c:v>
                </c:pt>
                <c:pt idx="157">
                  <c:v>17.77</c:v>
                </c:pt>
                <c:pt idx="158">
                  <c:v>18.38</c:v>
                </c:pt>
                <c:pt idx="159">
                  <c:v>18.41</c:v>
                </c:pt>
                <c:pt idx="160">
                  <c:v>18.89</c:v>
                </c:pt>
                <c:pt idx="161">
                  <c:v>20.14</c:v>
                </c:pt>
                <c:pt idx="162">
                  <c:v>20.62</c:v>
                </c:pt>
                <c:pt idx="163">
                  <c:v>21.42</c:v>
                </c:pt>
                <c:pt idx="164">
                  <c:v>20.85</c:v>
                </c:pt>
                <c:pt idx="165">
                  <c:v>21.17</c:v>
                </c:pt>
                <c:pt idx="166">
                  <c:v>21.43</c:v>
                </c:pt>
                <c:pt idx="167">
                  <c:v>21.23</c:v>
                </c:pt>
                <c:pt idx="168">
                  <c:v>22.27</c:v>
                </c:pt>
                <c:pt idx="169">
                  <c:v>21.9</c:v>
                </c:pt>
                <c:pt idx="170">
                  <c:v>22.51</c:v>
                </c:pt>
                <c:pt idx="171">
                  <c:v>23.5</c:v>
                </c:pt>
                <c:pt idx="172">
                  <c:v>22.59</c:v>
                </c:pt>
                <c:pt idx="173">
                  <c:v>22.69</c:v>
                </c:pt>
                <c:pt idx="174">
                  <c:v>22.05</c:v>
                </c:pt>
                <c:pt idx="175">
                  <c:v>21.71</c:v>
                </c:pt>
                <c:pt idx="176">
                  <c:v>21.87</c:v>
                </c:pt>
                <c:pt idx="177">
                  <c:v>20.86</c:v>
                </c:pt>
                <c:pt idx="178">
                  <c:v>20.7</c:v>
                </c:pt>
                <c:pt idx="179">
                  <c:v>21.19</c:v>
                </c:pt>
                <c:pt idx="180">
                  <c:v>20.73</c:v>
                </c:pt>
                <c:pt idx="181">
                  <c:v>21.44</c:v>
                </c:pt>
                <c:pt idx="182">
                  <c:v>19.454999999999998</c:v>
                </c:pt>
                <c:pt idx="183">
                  <c:v>21.44</c:v>
                </c:pt>
                <c:pt idx="184">
                  <c:v>22.44</c:v>
                </c:pt>
                <c:pt idx="185">
                  <c:v>22.79</c:v>
                </c:pt>
                <c:pt idx="186">
                  <c:v>23.34</c:v>
                </c:pt>
                <c:pt idx="187">
                  <c:v>24.18</c:v>
                </c:pt>
                <c:pt idx="188">
                  <c:v>25.1</c:v>
                </c:pt>
                <c:pt idx="189">
                  <c:v>25.06</c:v>
                </c:pt>
                <c:pt idx="190">
                  <c:v>25.79</c:v>
                </c:pt>
                <c:pt idx="191">
                  <c:v>25.7</c:v>
                </c:pt>
                <c:pt idx="192">
                  <c:v>24.67</c:v>
                </c:pt>
                <c:pt idx="193">
                  <c:v>23.65</c:v>
                </c:pt>
                <c:pt idx="194">
                  <c:v>24.93</c:v>
                </c:pt>
                <c:pt idx="195">
                  <c:v>25.41</c:v>
                </c:pt>
                <c:pt idx="196">
                  <c:v>25.49</c:v>
                </c:pt>
                <c:pt idx="197">
                  <c:v>24.47</c:v>
                </c:pt>
                <c:pt idx="198">
                  <c:v>25.54</c:v>
                </c:pt>
                <c:pt idx="199">
                  <c:v>26.78</c:v>
                </c:pt>
                <c:pt idx="200">
                  <c:v>25.89</c:v>
                </c:pt>
                <c:pt idx="201">
                  <c:v>25.59</c:v>
                </c:pt>
                <c:pt idx="202">
                  <c:v>25</c:v>
                </c:pt>
                <c:pt idx="203">
                  <c:v>26.31</c:v>
                </c:pt>
                <c:pt idx="204">
                  <c:v>26.66</c:v>
                </c:pt>
                <c:pt idx="205">
                  <c:v>25.95</c:v>
                </c:pt>
                <c:pt idx="206">
                  <c:v>27.47</c:v>
                </c:pt>
                <c:pt idx="207">
                  <c:v>27.25</c:v>
                </c:pt>
                <c:pt idx="208">
                  <c:v>27.395</c:v>
                </c:pt>
                <c:pt idx="209">
                  <c:v>28.13</c:v>
                </c:pt>
                <c:pt idx="210">
                  <c:v>28.95</c:v>
                </c:pt>
                <c:pt idx="211">
                  <c:v>29.5</c:v>
                </c:pt>
                <c:pt idx="212">
                  <c:v>28.81</c:v>
                </c:pt>
                <c:pt idx="213">
                  <c:v>29.34</c:v>
                </c:pt>
                <c:pt idx="214">
                  <c:v>29.32</c:v>
                </c:pt>
                <c:pt idx="215">
                  <c:v>28.83</c:v>
                </c:pt>
                <c:pt idx="216">
                  <c:v>28.32</c:v>
                </c:pt>
                <c:pt idx="217">
                  <c:v>28.18</c:v>
                </c:pt>
                <c:pt idx="218">
                  <c:v>28.77</c:v>
                </c:pt>
                <c:pt idx="219">
                  <c:v>28.9</c:v>
                </c:pt>
                <c:pt idx="220">
                  <c:v>29.27</c:v>
                </c:pt>
                <c:pt idx="221">
                  <c:v>28.4</c:v>
                </c:pt>
                <c:pt idx="222">
                  <c:v>29.12</c:v>
                </c:pt>
                <c:pt idx="223">
                  <c:v>30.18</c:v>
                </c:pt>
                <c:pt idx="224">
                  <c:v>29.81</c:v>
                </c:pt>
                <c:pt idx="225">
                  <c:v>30.02</c:v>
                </c:pt>
                <c:pt idx="226">
                  <c:v>30.13</c:v>
                </c:pt>
                <c:pt idx="227">
                  <c:v>30.42</c:v>
                </c:pt>
                <c:pt idx="228">
                  <c:v>31.99</c:v>
                </c:pt>
                <c:pt idx="229">
                  <c:v>32.64</c:v>
                </c:pt>
                <c:pt idx="230">
                  <c:v>32.67</c:v>
                </c:pt>
                <c:pt idx="231">
                  <c:v>32</c:v>
                </c:pt>
                <c:pt idx="232">
                  <c:v>31.93</c:v>
                </c:pt>
                <c:pt idx="233">
                  <c:v>31.27</c:v>
                </c:pt>
                <c:pt idx="234">
                  <c:v>29.92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C-409E-927A-0ADA7CD3D19E}"/>
            </c:ext>
          </c:extLst>
        </c:ser>
        <c:ser>
          <c:idx val="1"/>
          <c:order val="1"/>
          <c:tx>
            <c:strRef>
              <c:f>Expanded_regression!$L$3</c:f>
              <c:strCache>
                <c:ptCount val="1"/>
                <c:pt idx="0">
                  <c:v>4w MA RSX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Expanded_regression!$B$4:$B$258</c:f>
              <c:numCache>
                <c:formatCode>m/d/yy</c:formatCode>
                <c:ptCount val="235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  <c:pt idx="233">
                  <c:v>44512</c:v>
                </c:pt>
                <c:pt idx="234">
                  <c:v>44519</c:v>
                </c:pt>
              </c:numCache>
            </c:numRef>
          </c:cat>
          <c:val>
            <c:numRef>
              <c:f>Expanded_regression!$L$4:$L$258</c:f>
              <c:numCache>
                <c:formatCode>#,##0</c:formatCode>
                <c:ptCount val="235"/>
                <c:pt idx="4" formatCode="#,##0.00">
                  <c:v>21.532499999999999</c:v>
                </c:pt>
                <c:pt idx="5" formatCode="#,##0.00">
                  <c:v>21.602499999999999</c:v>
                </c:pt>
                <c:pt idx="6" formatCode="#,##0.00">
                  <c:v>21.672499999999999</c:v>
                </c:pt>
                <c:pt idx="7" formatCode="#,##0.00">
                  <c:v>21.7075</c:v>
                </c:pt>
                <c:pt idx="8" formatCode="#,##0.00">
                  <c:v>21.37</c:v>
                </c:pt>
                <c:pt idx="9" formatCode="#,##0.00">
                  <c:v>21.060000000000002</c:v>
                </c:pt>
                <c:pt idx="10" formatCode="#,##0.00">
                  <c:v>20.502500000000001</c:v>
                </c:pt>
                <c:pt idx="11" formatCode="#,##0.00">
                  <c:v>20.420000000000002</c:v>
                </c:pt>
                <c:pt idx="12" formatCode="#,##0.00">
                  <c:v>20.475000000000001</c:v>
                </c:pt>
                <c:pt idx="13" formatCode="#,##0.00">
                  <c:v>20.502500000000001</c:v>
                </c:pt>
                <c:pt idx="14" formatCode="#,##0.00">
                  <c:v>20.57</c:v>
                </c:pt>
                <c:pt idx="15" formatCode="#,##0.00">
                  <c:v>20.3675</c:v>
                </c:pt>
                <c:pt idx="16" formatCode="#,##0.00">
                  <c:v>20.419999999999998</c:v>
                </c:pt>
                <c:pt idx="17" formatCode="#,##0.00">
                  <c:v>20.350000000000001</c:v>
                </c:pt>
                <c:pt idx="18" formatCode="#,##0.00">
                  <c:v>20.45</c:v>
                </c:pt>
                <c:pt idx="19" formatCode="#,##0.00">
                  <c:v>20.48</c:v>
                </c:pt>
                <c:pt idx="20" formatCode="#,##0.00">
                  <c:v>20.337500000000002</c:v>
                </c:pt>
                <c:pt idx="21" formatCode="#,##0.00">
                  <c:v>20.18</c:v>
                </c:pt>
                <c:pt idx="22" formatCode="#,##0.00">
                  <c:v>19.912500000000001</c:v>
                </c:pt>
                <c:pt idx="23" formatCode="#,##0.00">
                  <c:v>19.535</c:v>
                </c:pt>
                <c:pt idx="24" formatCode="#,##0.00">
                  <c:v>19.170000000000002</c:v>
                </c:pt>
                <c:pt idx="25" formatCode="#,##0.00">
                  <c:v>19.04</c:v>
                </c:pt>
                <c:pt idx="26" formatCode="#,##0.00">
                  <c:v>18.962499999999999</c:v>
                </c:pt>
                <c:pt idx="27" formatCode="#,##0.00">
                  <c:v>19.327500000000001</c:v>
                </c:pt>
                <c:pt idx="28" formatCode="#,##0.00">
                  <c:v>19.615000000000002</c:v>
                </c:pt>
                <c:pt idx="29" formatCode="#,##0.00">
                  <c:v>19.817499999999999</c:v>
                </c:pt>
                <c:pt idx="30" formatCode="#,##0.00">
                  <c:v>20.077500000000001</c:v>
                </c:pt>
                <c:pt idx="31" formatCode="#,##0.00">
                  <c:v>20.015000000000001</c:v>
                </c:pt>
                <c:pt idx="32" formatCode="#,##0.00">
                  <c:v>20.080000000000002</c:v>
                </c:pt>
                <c:pt idx="33" formatCode="#,##0.00">
                  <c:v>20.27</c:v>
                </c:pt>
                <c:pt idx="34" formatCode="#,##0.00">
                  <c:v>20.637499999999999</c:v>
                </c:pt>
                <c:pt idx="35" formatCode="#,##0.00">
                  <c:v>21.055</c:v>
                </c:pt>
                <c:pt idx="36" formatCode="#,##0.00">
                  <c:v>21.477499999999999</c:v>
                </c:pt>
                <c:pt idx="37" formatCode="#,##0.00">
                  <c:v>21.75</c:v>
                </c:pt>
                <c:pt idx="38" formatCode="#,##0.00">
                  <c:v>21.924999999999997</c:v>
                </c:pt>
                <c:pt idx="39" formatCode="#,##0.00">
                  <c:v>22.049999999999997</c:v>
                </c:pt>
                <c:pt idx="40" formatCode="#,##0.00">
                  <c:v>22.28</c:v>
                </c:pt>
                <c:pt idx="41" formatCode="#,##0.00">
                  <c:v>22.204999999999998</c:v>
                </c:pt>
                <c:pt idx="42" formatCode="#,##0.00">
                  <c:v>22.1175</c:v>
                </c:pt>
                <c:pt idx="43" formatCode="#,##0.00">
                  <c:v>22.047499999999999</c:v>
                </c:pt>
                <c:pt idx="44" formatCode="#,##0.00">
                  <c:v>21.994999999999997</c:v>
                </c:pt>
                <c:pt idx="45" formatCode="#,##0.00">
                  <c:v>22.117500000000003</c:v>
                </c:pt>
                <c:pt idx="46" formatCode="#,##0.00">
                  <c:v>22.037500000000001</c:v>
                </c:pt>
                <c:pt idx="47" formatCode="#,##0.00">
                  <c:v>21.86</c:v>
                </c:pt>
                <c:pt idx="48" formatCode="#,##0.00">
                  <c:v>21.86</c:v>
                </c:pt>
                <c:pt idx="49" formatCode="#,##0.00">
                  <c:v>21.517500000000002</c:v>
                </c:pt>
                <c:pt idx="50" formatCode="#,##0.00">
                  <c:v>21.454999999999998</c:v>
                </c:pt>
                <c:pt idx="51" formatCode="#,##0.00">
                  <c:v>21.727499999999999</c:v>
                </c:pt>
                <c:pt idx="52" formatCode="#,##0.00">
                  <c:v>22.072500000000002</c:v>
                </c:pt>
                <c:pt idx="53" formatCode="#,##0.00">
                  <c:v>22.62</c:v>
                </c:pt>
                <c:pt idx="54" formatCode="#,##0.00">
                  <c:v>23.22</c:v>
                </c:pt>
                <c:pt idx="55" formatCode="#,##0.00">
                  <c:v>23.3</c:v>
                </c:pt>
                <c:pt idx="56" formatCode="#,##0.00">
                  <c:v>22.89</c:v>
                </c:pt>
                <c:pt idx="57" formatCode="#,##0.00">
                  <c:v>22.85</c:v>
                </c:pt>
                <c:pt idx="58" formatCode="#,##0.00">
                  <c:v>22.9175</c:v>
                </c:pt>
                <c:pt idx="59" formatCode="#,##0.00">
                  <c:v>23.37</c:v>
                </c:pt>
                <c:pt idx="60" formatCode="#,##0.00">
                  <c:v>23.325000000000003</c:v>
                </c:pt>
                <c:pt idx="61" formatCode="#,##0.00">
                  <c:v>22.882499999999997</c:v>
                </c:pt>
                <c:pt idx="62" formatCode="#,##0.00">
                  <c:v>22.605</c:v>
                </c:pt>
                <c:pt idx="63" formatCode="#,##0.00">
                  <c:v>21.997499999999999</c:v>
                </c:pt>
                <c:pt idx="64" formatCode="#,##0.00">
                  <c:v>21.622499999999999</c:v>
                </c:pt>
                <c:pt idx="65" formatCode="#,##0.00">
                  <c:v>21.259999999999998</c:v>
                </c:pt>
                <c:pt idx="66" formatCode="#,##0.00">
                  <c:v>20.952500000000001</c:v>
                </c:pt>
                <c:pt idx="67" formatCode="#,##0.00">
                  <c:v>21.232500000000002</c:v>
                </c:pt>
                <c:pt idx="68" formatCode="#,##0.00">
                  <c:v>21.32</c:v>
                </c:pt>
                <c:pt idx="69" formatCode="#,##0.00">
                  <c:v>21.315000000000001</c:v>
                </c:pt>
                <c:pt idx="70" formatCode="#,##0.00">
                  <c:v>21.380000000000003</c:v>
                </c:pt>
                <c:pt idx="71" formatCode="#,##0.00">
                  <c:v>21.26</c:v>
                </c:pt>
                <c:pt idx="72" formatCode="#,##0.00">
                  <c:v>21.015000000000001</c:v>
                </c:pt>
                <c:pt idx="73" formatCode="#,##0.00">
                  <c:v>20.9175</c:v>
                </c:pt>
                <c:pt idx="74" formatCode="#,##0.00">
                  <c:v>20.877499999999998</c:v>
                </c:pt>
                <c:pt idx="75" formatCode="#,##0.00">
                  <c:v>21.074999999999999</c:v>
                </c:pt>
                <c:pt idx="76" formatCode="#,##0.00">
                  <c:v>21.43</c:v>
                </c:pt>
                <c:pt idx="77" formatCode="#,##0.00">
                  <c:v>21.47</c:v>
                </c:pt>
                <c:pt idx="78" formatCode="#,##0.00">
                  <c:v>21.36</c:v>
                </c:pt>
                <c:pt idx="79" formatCode="#,##0.00">
                  <c:v>20.807499999999997</c:v>
                </c:pt>
                <c:pt idx="80" formatCode="#,##0.00">
                  <c:v>20.5075</c:v>
                </c:pt>
                <c:pt idx="81" formatCode="#,##0.00">
                  <c:v>20.137499999999999</c:v>
                </c:pt>
                <c:pt idx="82" formatCode="#,##0.00">
                  <c:v>19.842500000000001</c:v>
                </c:pt>
                <c:pt idx="83" formatCode="#,##0.00">
                  <c:v>19.7425</c:v>
                </c:pt>
                <c:pt idx="84" formatCode="#,##0.00">
                  <c:v>19.827500000000001</c:v>
                </c:pt>
                <c:pt idx="85" formatCode="#,##0.00">
                  <c:v>20.127500000000001</c:v>
                </c:pt>
                <c:pt idx="86" formatCode="#,##0.00">
                  <c:v>20.51</c:v>
                </c:pt>
                <c:pt idx="87" formatCode="#,##0.00">
                  <c:v>21.015000000000001</c:v>
                </c:pt>
                <c:pt idx="88" formatCode="#,##0.00">
                  <c:v>21.259999999999998</c:v>
                </c:pt>
                <c:pt idx="89" formatCode="#,##0.00">
                  <c:v>21.2</c:v>
                </c:pt>
                <c:pt idx="90" formatCode="#,##0.00">
                  <c:v>20.862500000000001</c:v>
                </c:pt>
                <c:pt idx="91" formatCode="#,##0.00">
                  <c:v>20.725000000000001</c:v>
                </c:pt>
                <c:pt idx="92" formatCode="#,##0.00">
                  <c:v>20.7575</c:v>
                </c:pt>
                <c:pt idx="93" formatCode="#,##0.00">
                  <c:v>20.797500000000003</c:v>
                </c:pt>
                <c:pt idx="94" formatCode="#,##0.00">
                  <c:v>20.630000000000003</c:v>
                </c:pt>
                <c:pt idx="95" formatCode="#,##0.00">
                  <c:v>20.655000000000001</c:v>
                </c:pt>
                <c:pt idx="96" formatCode="#,##0.00">
                  <c:v>20.46</c:v>
                </c:pt>
                <c:pt idx="97" formatCode="#,##0.00">
                  <c:v>19.577500000000001</c:v>
                </c:pt>
                <c:pt idx="98" formatCode="#,##0.00">
                  <c:v>19.327500000000001</c:v>
                </c:pt>
                <c:pt idx="99" formatCode="#,##0.00">
                  <c:v>19.285</c:v>
                </c:pt>
                <c:pt idx="100" formatCode="#,##0.00">
                  <c:v>19.7575</c:v>
                </c:pt>
                <c:pt idx="101" formatCode="#,##0.00">
                  <c:v>20.254999999999999</c:v>
                </c:pt>
                <c:pt idx="102" formatCode="#,##0.00">
                  <c:v>20.607500000000002</c:v>
                </c:pt>
                <c:pt idx="103" formatCode="#,##0.00">
                  <c:v>20.782500000000002</c:v>
                </c:pt>
                <c:pt idx="104" formatCode="#,##0.00">
                  <c:v>20.772500000000001</c:v>
                </c:pt>
                <c:pt idx="105" formatCode="#,##0.00">
                  <c:v>20.77</c:v>
                </c:pt>
                <c:pt idx="106" formatCode="#,##0.00">
                  <c:v>20.452500000000001</c:v>
                </c:pt>
                <c:pt idx="107" formatCode="#,##0.00">
                  <c:v>20.552500000000002</c:v>
                </c:pt>
                <c:pt idx="108" formatCode="#,##0.00">
                  <c:v>20.594999999999999</c:v>
                </c:pt>
                <c:pt idx="109" formatCode="#,##0.00">
                  <c:v>20.635000000000002</c:v>
                </c:pt>
                <c:pt idx="110" formatCode="#,##0.00">
                  <c:v>20.89</c:v>
                </c:pt>
                <c:pt idx="111" formatCode="#,##0.00">
                  <c:v>21.242500000000003</c:v>
                </c:pt>
                <c:pt idx="112" formatCode="#,##0.00">
                  <c:v>21.447500000000002</c:v>
                </c:pt>
                <c:pt idx="113" formatCode="#,##0.00">
                  <c:v>21.410000000000004</c:v>
                </c:pt>
                <c:pt idx="114" formatCode="#,##0.00">
                  <c:v>21.3125</c:v>
                </c:pt>
                <c:pt idx="115" formatCode="#,##0.00">
                  <c:v>21.3325</c:v>
                </c:pt>
                <c:pt idx="116" formatCode="#,##0.00">
                  <c:v>21.68</c:v>
                </c:pt>
                <c:pt idx="117" formatCode="#,##0.00">
                  <c:v>22.092500000000001</c:v>
                </c:pt>
                <c:pt idx="118" formatCode="#,##0.00">
                  <c:v>22.602499999999999</c:v>
                </c:pt>
                <c:pt idx="119" formatCode="#,##0.00">
                  <c:v>23.099999999999998</c:v>
                </c:pt>
                <c:pt idx="120" formatCode="#,##0.00">
                  <c:v>23.482500000000002</c:v>
                </c:pt>
                <c:pt idx="121" formatCode="#,##0.00">
                  <c:v>23.765000000000001</c:v>
                </c:pt>
                <c:pt idx="122" formatCode="#,##0.00">
                  <c:v>23.765000000000001</c:v>
                </c:pt>
                <c:pt idx="123" formatCode="#,##0.00">
                  <c:v>23.767500000000002</c:v>
                </c:pt>
                <c:pt idx="124" formatCode="#,##0.00">
                  <c:v>23.447499999999998</c:v>
                </c:pt>
                <c:pt idx="125" formatCode="#,##0.00">
                  <c:v>23.0625</c:v>
                </c:pt>
                <c:pt idx="126" formatCode="#,##0.00">
                  <c:v>22.515000000000001</c:v>
                </c:pt>
                <c:pt idx="127" formatCode="#,##0.00">
                  <c:v>22.04</c:v>
                </c:pt>
                <c:pt idx="128" formatCode="#,##0.00">
                  <c:v>21.962499999999999</c:v>
                </c:pt>
                <c:pt idx="129" formatCode="#,##0.00">
                  <c:v>22.134999999999998</c:v>
                </c:pt>
                <c:pt idx="130" formatCode="#,##0.00">
                  <c:v>22.669999999999998</c:v>
                </c:pt>
                <c:pt idx="131" formatCode="#,##0.00">
                  <c:v>23.092500000000001</c:v>
                </c:pt>
                <c:pt idx="132" formatCode="#,##0.00">
                  <c:v>23.272500000000001</c:v>
                </c:pt>
                <c:pt idx="133" formatCode="#,##0.00">
                  <c:v>23.1325</c:v>
                </c:pt>
                <c:pt idx="134" formatCode="#,##0.00">
                  <c:v>22.96</c:v>
                </c:pt>
                <c:pt idx="135" formatCode="#,##0.00">
                  <c:v>22.857499999999998</c:v>
                </c:pt>
                <c:pt idx="136" formatCode="#,##0.00">
                  <c:v>23.14</c:v>
                </c:pt>
                <c:pt idx="137" formatCode="#,##0.00">
                  <c:v>23.7</c:v>
                </c:pt>
                <c:pt idx="138" formatCode="#,##0.00">
                  <c:v>24.212499999999999</c:v>
                </c:pt>
                <c:pt idx="139" formatCode="#,##0.00">
                  <c:v>24.64</c:v>
                </c:pt>
                <c:pt idx="140" formatCode="#,##0.00">
                  <c:v>24.776666666666667</c:v>
                </c:pt>
                <c:pt idx="141" formatCode="#,##0.00">
                  <c:v>24.61</c:v>
                </c:pt>
                <c:pt idx="142" formatCode="#,##0.00">
                  <c:v>24.893333333333331</c:v>
                </c:pt>
                <c:pt idx="143" formatCode="#,##0.00">
                  <c:v>25.349999999999998</c:v>
                </c:pt>
                <c:pt idx="144" formatCode="#,##0.00">
                  <c:v>25.2775</c:v>
                </c:pt>
                <c:pt idx="145" formatCode="#,##0.00">
                  <c:v>25.435000000000002</c:v>
                </c:pt>
                <c:pt idx="146" formatCode="#,##0.00">
                  <c:v>25.5425</c:v>
                </c:pt>
                <c:pt idx="147" formatCode="#,##0.00">
                  <c:v>25.685000000000002</c:v>
                </c:pt>
                <c:pt idx="148" formatCode="#,##0.00">
                  <c:v>25.885000000000002</c:v>
                </c:pt>
                <c:pt idx="149" formatCode="#,##0.00">
                  <c:v>25.759999999999998</c:v>
                </c:pt>
                <c:pt idx="150" formatCode="#,##0.00">
                  <c:v>25.407499999999999</c:v>
                </c:pt>
                <c:pt idx="151" formatCode="#,##0.00">
                  <c:v>24.962499999999999</c:v>
                </c:pt>
                <c:pt idx="152" formatCode="#,##0.00">
                  <c:v>24.695</c:v>
                </c:pt>
                <c:pt idx="153" formatCode="#,##0.00">
                  <c:v>23.887500000000003</c:v>
                </c:pt>
                <c:pt idx="154" formatCode="#,##0.00">
                  <c:v>22.892500000000002</c:v>
                </c:pt>
                <c:pt idx="155" formatCode="#,##0.00">
                  <c:v>21.03</c:v>
                </c:pt>
                <c:pt idx="156" formatCode="#,##0.00">
                  <c:v>18.532499999999999</c:v>
                </c:pt>
                <c:pt idx="157" formatCode="#,##0.00">
                  <c:v>17.247500000000002</c:v>
                </c:pt>
                <c:pt idx="158" formatCode="#,##0.00">
                  <c:v>16.895</c:v>
                </c:pt>
                <c:pt idx="159" formatCode="#,##0.00">
                  <c:v>17.79</c:v>
                </c:pt>
                <c:pt idx="160" formatCode="#,##0.00">
                  <c:v>18.619999999999997</c:v>
                </c:pt>
                <c:pt idx="161" formatCode="#,##0.00">
                  <c:v>18.747499999999999</c:v>
                </c:pt>
                <c:pt idx="162" formatCode="#,##0.00">
                  <c:v>19.18</c:v>
                </c:pt>
                <c:pt idx="163" formatCode="#,##0.00">
                  <c:v>19.752500000000001</c:v>
                </c:pt>
                <c:pt idx="164" formatCode="#,##0.00">
                  <c:v>20.775000000000002</c:v>
                </c:pt>
                <c:pt idx="165" formatCode="#,##0.00">
                  <c:v>20.952500000000001</c:v>
                </c:pt>
                <c:pt idx="166" formatCode="#,##0.00">
                  <c:v>20.98</c:v>
                </c:pt>
                <c:pt idx="167" formatCode="#,##0.00">
                  <c:v>21.150000000000002</c:v>
                </c:pt>
                <c:pt idx="168" formatCode="#,##0.00">
                  <c:v>21.276666666666667</c:v>
                </c:pt>
                <c:pt idx="169" formatCode="#,##0.00">
                  <c:v>21.643333333333331</c:v>
                </c:pt>
                <c:pt idx="170" formatCode="#,##0.00">
                  <c:v>21.707499999999996</c:v>
                </c:pt>
                <c:pt idx="171" formatCode="#,##0.00">
                  <c:v>21.977500000000003</c:v>
                </c:pt>
                <c:pt idx="172" formatCode="#,##0.00">
                  <c:v>22.545000000000002</c:v>
                </c:pt>
                <c:pt idx="173" formatCode="#,##0.00">
                  <c:v>22.625</c:v>
                </c:pt>
                <c:pt idx="174" formatCode="#,##0.00">
                  <c:v>22.822500000000002</c:v>
                </c:pt>
                <c:pt idx="175" formatCode="#,##0.00">
                  <c:v>22.7075</c:v>
                </c:pt>
                <c:pt idx="176" formatCode="#,##0.00">
                  <c:v>22.259999999999998</c:v>
                </c:pt>
                <c:pt idx="177" formatCode="#,##0.00">
                  <c:v>22.080000000000002</c:v>
                </c:pt>
                <c:pt idx="178" formatCode="#,##0.00">
                  <c:v>21.622500000000002</c:v>
                </c:pt>
                <c:pt idx="179" formatCode="#,##0.00">
                  <c:v>21.285</c:v>
                </c:pt>
                <c:pt idx="180" formatCode="#,##0.00">
                  <c:v>21.155000000000001</c:v>
                </c:pt>
                <c:pt idx="181" formatCode="#,##0.00">
                  <c:v>20.87</c:v>
                </c:pt>
                <c:pt idx="182" formatCode="#,##0.00">
                  <c:v>21.015000000000001</c:v>
                </c:pt>
                <c:pt idx="183" formatCode="#,##0.00">
                  <c:v>20.703749999999999</c:v>
                </c:pt>
                <c:pt idx="184" formatCode="#,##0.00">
                  <c:v>20.766249999999999</c:v>
                </c:pt>
                <c:pt idx="185" formatCode="#,##0.00">
                  <c:v>21.193749999999998</c:v>
                </c:pt>
                <c:pt idx="186" formatCode="#,##0.00">
                  <c:v>21.53125</c:v>
                </c:pt>
                <c:pt idx="187" formatCode="#,##0.00">
                  <c:v>22.502500000000001</c:v>
                </c:pt>
                <c:pt idx="188" formatCode="#,##0.00">
                  <c:v>23.1875</c:v>
                </c:pt>
                <c:pt idx="189" formatCode="#,##0.00">
                  <c:v>23.852499999999999</c:v>
                </c:pt>
                <c:pt idx="190" formatCode="#,##0.00">
                  <c:v>24.572499999999998</c:v>
                </c:pt>
                <c:pt idx="191" formatCode="#,##0.00">
                  <c:v>24.744999999999997</c:v>
                </c:pt>
                <c:pt idx="192" formatCode="#,##0.00">
                  <c:v>24.904999999999998</c:v>
                </c:pt>
                <c:pt idx="193" formatCode="#,##0.00">
                  <c:v>25.077500000000001</c:v>
                </c:pt>
                <c:pt idx="194" formatCode="#,##0.00">
                  <c:v>24.952500000000001</c:v>
                </c:pt>
                <c:pt idx="195" formatCode="#,##0.00">
                  <c:v>24.737500000000004</c:v>
                </c:pt>
                <c:pt idx="196" formatCode="#,##0.00">
                  <c:v>24.664999999999999</c:v>
                </c:pt>
                <c:pt idx="197" formatCode="#,##0.00">
                  <c:v>24.869999999999997</c:v>
                </c:pt>
                <c:pt idx="198" formatCode="#,##0.00">
                  <c:v>25.074999999999999</c:v>
                </c:pt>
                <c:pt idx="199" formatCode="#,##0.00">
                  <c:v>25.227499999999999</c:v>
                </c:pt>
                <c:pt idx="200" formatCode="#,##0.00">
                  <c:v>25.57</c:v>
                </c:pt>
                <c:pt idx="201" formatCode="#,##0.00">
                  <c:v>25.669999999999998</c:v>
                </c:pt>
                <c:pt idx="202" formatCode="#,##0.00">
                  <c:v>25.965000000000003</c:v>
                </c:pt>
                <c:pt idx="203" formatCode="#,##0.00">
                  <c:v>25.520000000000003</c:v>
                </c:pt>
                <c:pt idx="204" formatCode="#,##0.00">
                  <c:v>25.625</c:v>
                </c:pt>
                <c:pt idx="205" formatCode="#,##0.00">
                  <c:v>25.892499999999998</c:v>
                </c:pt>
                <c:pt idx="206" formatCode="#,##0.00">
                  <c:v>25.98</c:v>
                </c:pt>
                <c:pt idx="207" formatCode="#,##0.00">
                  <c:v>26.5975</c:v>
                </c:pt>
                <c:pt idx="208" formatCode="#,##0.00">
                  <c:v>26.8325</c:v>
                </c:pt>
                <c:pt idx="209" formatCode="#,##0.00">
                  <c:v>27.016249999999999</c:v>
                </c:pt>
                <c:pt idx="210" formatCode="#,##0.00">
                  <c:v>27.561249999999998</c:v>
                </c:pt>
                <c:pt idx="211" formatCode="#,##0.00">
                  <c:v>27.931249999999999</c:v>
                </c:pt>
                <c:pt idx="212" formatCode="#,##0.00">
                  <c:v>28.493749999999999</c:v>
                </c:pt>
                <c:pt idx="213" formatCode="#,##0.00">
                  <c:v>28.8475</c:v>
                </c:pt>
                <c:pt idx="214" formatCode="#,##0.00">
                  <c:v>29.150000000000002</c:v>
                </c:pt>
                <c:pt idx="215" formatCode="#,##0.00">
                  <c:v>29.2425</c:v>
                </c:pt>
                <c:pt idx="216" formatCode="#,##0.00">
                  <c:v>29.074999999999999</c:v>
                </c:pt>
                <c:pt idx="217" formatCode="#,##0.00">
                  <c:v>28.952500000000001</c:v>
                </c:pt>
                <c:pt idx="218" formatCode="#,##0.00">
                  <c:v>28.662500000000001</c:v>
                </c:pt>
                <c:pt idx="219" formatCode="#,##0.00">
                  <c:v>28.524999999999999</c:v>
                </c:pt>
                <c:pt idx="220" formatCode="#,##0.00">
                  <c:v>28.542499999999997</c:v>
                </c:pt>
                <c:pt idx="221" formatCode="#,##0.00">
                  <c:v>28.779999999999998</c:v>
                </c:pt>
                <c:pt idx="222" formatCode="#,##0.00">
                  <c:v>28.835000000000001</c:v>
                </c:pt>
                <c:pt idx="223" formatCode="#,##0.00">
                  <c:v>28.922499999999999</c:v>
                </c:pt>
                <c:pt idx="224" formatCode="#,##0.00">
                  <c:v>29.2425</c:v>
                </c:pt>
                <c:pt idx="225" formatCode="#,##0.00">
                  <c:v>29.377499999999998</c:v>
                </c:pt>
                <c:pt idx="226" formatCode="#,##0.00">
                  <c:v>29.782499999999999</c:v>
                </c:pt>
                <c:pt idx="227" formatCode="#,##0.00">
                  <c:v>30.034999999999997</c:v>
                </c:pt>
                <c:pt idx="228" formatCode="#,##0.00">
                  <c:v>30.094999999999999</c:v>
                </c:pt>
                <c:pt idx="229" formatCode="#,##0.00">
                  <c:v>30.639999999999997</c:v>
                </c:pt>
                <c:pt idx="230" formatCode="#,##0.00">
                  <c:v>31.294999999999998</c:v>
                </c:pt>
                <c:pt idx="231" formatCode="#,##0.00">
                  <c:v>31.93</c:v>
                </c:pt>
                <c:pt idx="232" formatCode="#,##0.00">
                  <c:v>32.325000000000003</c:v>
                </c:pt>
                <c:pt idx="233" formatCode="#,##0.00">
                  <c:v>32.31</c:v>
                </c:pt>
                <c:pt idx="234" formatCode="#,##0.00">
                  <c:v>31.967499999999998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C-409E-927A-0ADA7CD3D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041919"/>
        <c:axId val="1660043167"/>
      </c:lineChart>
      <c:dateAx>
        <c:axId val="166004191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43167"/>
        <c:crosses val="autoZero"/>
        <c:auto val="1"/>
        <c:lblOffset val="100"/>
        <c:baseTimeUnit val="days"/>
      </c:dateAx>
      <c:valAx>
        <c:axId val="1660043167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Price (in $ terms)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4191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baseline="0">
                <a:solidFill>
                  <a:sysClr val="windowText" lastClr="000000"/>
                </a:solidFill>
                <a:effectLst/>
              </a:rPr>
              <a:t>MOEX equity index (.IMOEX) time series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GB" sz="1000" b="0" i="0" baseline="0">
                <a:solidFill>
                  <a:sysClr val="windowText" lastClr="000000"/>
                </a:solidFill>
                <a:effectLst/>
              </a:rPr>
              <a:t>Data: Refinitiv Eikon</a:t>
            </a:r>
            <a:endParaRPr lang="en-GB" sz="8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Expanded_regression!#REF!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Expanded_regression!$B$4:$B$258</c:f>
              <c:numCache>
                <c:formatCode>m/d/yy</c:formatCode>
                <c:ptCount val="235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  <c:pt idx="233">
                  <c:v>44512</c:v>
                </c:pt>
                <c:pt idx="234">
                  <c:v>44519</c:v>
                </c:pt>
              </c:numCache>
            </c:numRef>
          </c:cat>
          <c:val>
            <c:numRef>
              <c:f>Expanded_regression!$E$4:$E$258</c:f>
              <c:numCache>
                <c:formatCode>General</c:formatCode>
                <c:ptCount val="235"/>
                <c:pt idx="0">
                  <c:v>2213.9299999999998</c:v>
                </c:pt>
                <c:pt idx="1">
                  <c:v>2195.19</c:v>
                </c:pt>
                <c:pt idx="2">
                  <c:v>2159.96</c:v>
                </c:pt>
                <c:pt idx="3">
                  <c:v>2266.0500000000002</c:v>
                </c:pt>
                <c:pt idx="4">
                  <c:v>2226.61</c:v>
                </c:pt>
                <c:pt idx="5">
                  <c:v>2162.19</c:v>
                </c:pt>
                <c:pt idx="6">
                  <c:v>2128.21</c:v>
                </c:pt>
                <c:pt idx="7">
                  <c:v>2093.09</c:v>
                </c:pt>
                <c:pt idx="8">
                  <c:v>2056.89</c:v>
                </c:pt>
                <c:pt idx="9">
                  <c:v>1973.96</c:v>
                </c:pt>
                <c:pt idx="10">
                  <c:v>2036.96</c:v>
                </c:pt>
                <c:pt idx="11">
                  <c:v>2039.77</c:v>
                </c:pt>
                <c:pt idx="12">
                  <c:v>1995.9</c:v>
                </c:pt>
                <c:pt idx="13">
                  <c:v>2020.23</c:v>
                </c:pt>
                <c:pt idx="14">
                  <c:v>1944.72</c:v>
                </c:pt>
                <c:pt idx="15">
                  <c:v>2016.71</c:v>
                </c:pt>
                <c:pt idx="16">
                  <c:v>2002.41</c:v>
                </c:pt>
                <c:pt idx="17">
                  <c:v>1994.58</c:v>
                </c:pt>
                <c:pt idx="18">
                  <c:v>1962.4</c:v>
                </c:pt>
                <c:pt idx="19">
                  <c:v>1934.25</c:v>
                </c:pt>
                <c:pt idx="20">
                  <c:v>1881.87</c:v>
                </c:pt>
                <c:pt idx="21">
                  <c:v>1883.34</c:v>
                </c:pt>
                <c:pt idx="22">
                  <c:v>1822.91</c:v>
                </c:pt>
                <c:pt idx="23">
                  <c:v>1867.46</c:v>
                </c:pt>
                <c:pt idx="24">
                  <c:v>1879.5</c:v>
                </c:pt>
                <c:pt idx="25">
                  <c:v>1912.48</c:v>
                </c:pt>
                <c:pt idx="26">
                  <c:v>1960.69</c:v>
                </c:pt>
                <c:pt idx="27">
                  <c:v>1925.13</c:v>
                </c:pt>
                <c:pt idx="28">
                  <c:v>1916.75</c:v>
                </c:pt>
                <c:pt idx="29">
                  <c:v>1953.49</c:v>
                </c:pt>
                <c:pt idx="30">
                  <c:v>1944.83</c:v>
                </c:pt>
                <c:pt idx="31">
                  <c:v>1930.71</c:v>
                </c:pt>
                <c:pt idx="32">
                  <c:v>1979.14</c:v>
                </c:pt>
                <c:pt idx="33">
                  <c:v>2010.98</c:v>
                </c:pt>
                <c:pt idx="34">
                  <c:v>2032.75</c:v>
                </c:pt>
                <c:pt idx="35">
                  <c:v>2053.81</c:v>
                </c:pt>
                <c:pt idx="36">
                  <c:v>2051.63</c:v>
                </c:pt>
                <c:pt idx="37">
                  <c:v>2077.19</c:v>
                </c:pt>
                <c:pt idx="38">
                  <c:v>2093.86</c:v>
                </c:pt>
                <c:pt idx="39">
                  <c:v>2098.77</c:v>
                </c:pt>
                <c:pt idx="40">
                  <c:v>2068.7600000000002</c:v>
                </c:pt>
                <c:pt idx="41">
                  <c:v>2081.15</c:v>
                </c:pt>
                <c:pt idx="42">
                  <c:v>2169.2600000000002</c:v>
                </c:pt>
                <c:pt idx="43">
                  <c:v>2131.91</c:v>
                </c:pt>
                <c:pt idx="44">
                  <c:v>2161.17</c:v>
                </c:pt>
                <c:pt idx="45">
                  <c:v>2105.9899999999998</c:v>
                </c:pt>
                <c:pt idx="46">
                  <c:v>2104.9899999999998</c:v>
                </c:pt>
                <c:pt idx="47">
                  <c:v>2143.9899999999998</c:v>
                </c:pt>
                <c:pt idx="48">
                  <c:v>2102.94</c:v>
                </c:pt>
                <c:pt idx="49">
                  <c:v>2109.7399999999998</c:v>
                </c:pt>
                <c:pt idx="50">
                  <c:v>2207.41</c:v>
                </c:pt>
                <c:pt idx="51">
                  <c:v>2262.38</c:v>
                </c:pt>
                <c:pt idx="52">
                  <c:v>2286.33</c:v>
                </c:pt>
                <c:pt idx="53">
                  <c:v>2295.2600000000002</c:v>
                </c:pt>
                <c:pt idx="54">
                  <c:v>2281.84</c:v>
                </c:pt>
                <c:pt idx="55">
                  <c:v>2197.12</c:v>
                </c:pt>
                <c:pt idx="56">
                  <c:v>2255.27</c:v>
                </c:pt>
                <c:pt idx="57">
                  <c:v>2288.84</c:v>
                </c:pt>
                <c:pt idx="58">
                  <c:v>2311.69</c:v>
                </c:pt>
                <c:pt idx="59">
                  <c:v>2294.6</c:v>
                </c:pt>
                <c:pt idx="60">
                  <c:v>2285.5300000000002</c:v>
                </c:pt>
                <c:pt idx="61">
                  <c:v>2281.23</c:v>
                </c:pt>
                <c:pt idx="62">
                  <c:v>2175.16</c:v>
                </c:pt>
                <c:pt idx="63">
                  <c:v>2232.66</c:v>
                </c:pt>
                <c:pt idx="64">
                  <c:v>2301.4899999999998</c:v>
                </c:pt>
                <c:pt idx="65">
                  <c:v>2289.4699999999998</c:v>
                </c:pt>
                <c:pt idx="66">
                  <c:v>2345.2600000000002</c:v>
                </c:pt>
                <c:pt idx="67">
                  <c:v>2326.94</c:v>
                </c:pt>
                <c:pt idx="68">
                  <c:v>2306.5700000000002</c:v>
                </c:pt>
                <c:pt idx="69">
                  <c:v>2295.34</c:v>
                </c:pt>
                <c:pt idx="70">
                  <c:v>2267.92</c:v>
                </c:pt>
                <c:pt idx="71">
                  <c:v>2237.5300000000002</c:v>
                </c:pt>
                <c:pt idx="72">
                  <c:v>2249.6799999999998</c:v>
                </c:pt>
                <c:pt idx="73">
                  <c:v>2295.9499999999998</c:v>
                </c:pt>
                <c:pt idx="74">
                  <c:v>2345.38</c:v>
                </c:pt>
                <c:pt idx="75">
                  <c:v>2346.4299999999998</c:v>
                </c:pt>
                <c:pt idx="76">
                  <c:v>2247.8200000000002</c:v>
                </c:pt>
                <c:pt idx="77">
                  <c:v>2292.7199999999998</c:v>
                </c:pt>
                <c:pt idx="78">
                  <c:v>2275.0500000000002</c:v>
                </c:pt>
                <c:pt idx="79">
                  <c:v>2255.12</c:v>
                </c:pt>
                <c:pt idx="80">
                  <c:v>2279.7600000000002</c:v>
                </c:pt>
                <c:pt idx="81">
                  <c:v>2345.85</c:v>
                </c:pt>
                <c:pt idx="82">
                  <c:v>2321.8200000000002</c:v>
                </c:pt>
                <c:pt idx="83">
                  <c:v>2360.2600000000002</c:v>
                </c:pt>
                <c:pt idx="84">
                  <c:v>2426.8000000000002</c:v>
                </c:pt>
                <c:pt idx="85">
                  <c:v>2475.36</c:v>
                </c:pt>
                <c:pt idx="86">
                  <c:v>2450.9</c:v>
                </c:pt>
                <c:pt idx="87">
                  <c:v>2403.02</c:v>
                </c:pt>
                <c:pt idx="88">
                  <c:v>2344.79</c:v>
                </c:pt>
                <c:pt idx="89">
                  <c:v>2293.2199999999998</c:v>
                </c:pt>
                <c:pt idx="90">
                  <c:v>2403.4699999999998</c:v>
                </c:pt>
                <c:pt idx="91">
                  <c:v>2372.67</c:v>
                </c:pt>
                <c:pt idx="92">
                  <c:v>2342.9699999999998</c:v>
                </c:pt>
                <c:pt idx="93">
                  <c:v>2392.5</c:v>
                </c:pt>
                <c:pt idx="94">
                  <c:v>2431.29</c:v>
                </c:pt>
                <c:pt idx="95">
                  <c:v>2365.69</c:v>
                </c:pt>
                <c:pt idx="96">
                  <c:v>2347.17</c:v>
                </c:pt>
                <c:pt idx="97">
                  <c:v>2406.5</c:v>
                </c:pt>
                <c:pt idx="98">
                  <c:v>2444.4499999999998</c:v>
                </c:pt>
                <c:pt idx="99">
                  <c:v>2473.61</c:v>
                </c:pt>
                <c:pt idx="100">
                  <c:v>2498.23</c:v>
                </c:pt>
                <c:pt idx="101">
                  <c:v>2521.6999999999998</c:v>
                </c:pt>
                <c:pt idx="102">
                  <c:v>2502.8200000000002</c:v>
                </c:pt>
                <c:pt idx="103">
                  <c:v>2490.16</c:v>
                </c:pt>
                <c:pt idx="104">
                  <c:v>2488.63</c:v>
                </c:pt>
                <c:pt idx="105">
                  <c:v>2478.0100000000002</c:v>
                </c:pt>
                <c:pt idx="106">
                  <c:v>2476.73</c:v>
                </c:pt>
                <c:pt idx="107">
                  <c:v>2492.6999999999998</c:v>
                </c:pt>
                <c:pt idx="108">
                  <c:v>2497.1</c:v>
                </c:pt>
                <c:pt idx="109">
                  <c:v>2540.9899999999998</c:v>
                </c:pt>
                <c:pt idx="110">
                  <c:v>2559.7199999999998</c:v>
                </c:pt>
                <c:pt idx="111">
                  <c:v>2563.7199999999998</c:v>
                </c:pt>
                <c:pt idx="112">
                  <c:v>2580.9499999999998</c:v>
                </c:pt>
                <c:pt idx="113">
                  <c:v>2577.48</c:v>
                </c:pt>
                <c:pt idx="114">
                  <c:v>2665.33</c:v>
                </c:pt>
                <c:pt idx="115">
                  <c:v>2729.61</c:v>
                </c:pt>
                <c:pt idx="116">
                  <c:v>2739.28</c:v>
                </c:pt>
                <c:pt idx="117">
                  <c:v>2761.23</c:v>
                </c:pt>
                <c:pt idx="118">
                  <c:v>2765.85</c:v>
                </c:pt>
                <c:pt idx="119">
                  <c:v>2835.35</c:v>
                </c:pt>
                <c:pt idx="120">
                  <c:v>2777.58</c:v>
                </c:pt>
                <c:pt idx="121">
                  <c:v>2700.57</c:v>
                </c:pt>
                <c:pt idx="122">
                  <c:v>2715.68</c:v>
                </c:pt>
                <c:pt idx="123">
                  <c:v>2674.9</c:v>
                </c:pt>
                <c:pt idx="124">
                  <c:v>2679.71</c:v>
                </c:pt>
                <c:pt idx="125">
                  <c:v>2615.1999999999998</c:v>
                </c:pt>
                <c:pt idx="126">
                  <c:v>2660.74</c:v>
                </c:pt>
                <c:pt idx="127">
                  <c:v>2740.04</c:v>
                </c:pt>
                <c:pt idx="128">
                  <c:v>2797.55</c:v>
                </c:pt>
                <c:pt idx="129">
                  <c:v>2791.74</c:v>
                </c:pt>
                <c:pt idx="130">
                  <c:v>2796.41</c:v>
                </c:pt>
                <c:pt idx="131">
                  <c:v>2757.98</c:v>
                </c:pt>
                <c:pt idx="132">
                  <c:v>2692.55</c:v>
                </c:pt>
                <c:pt idx="133">
                  <c:v>2708.07</c:v>
                </c:pt>
                <c:pt idx="134">
                  <c:v>2752.91</c:v>
                </c:pt>
                <c:pt idx="135">
                  <c:v>2873.41</c:v>
                </c:pt>
                <c:pt idx="136">
                  <c:v>2930.4</c:v>
                </c:pt>
                <c:pt idx="137">
                  <c:v>2973.19</c:v>
                </c:pt>
                <c:pt idx="138">
                  <c:v>2934.82</c:v>
                </c:pt>
                <c:pt idx="139">
                  <c:v>2947.68</c:v>
                </c:pt>
                <c:pt idx="140">
                  <c:v>2928.76</c:v>
                </c:pt>
                <c:pt idx="141">
                  <c:v>2996.63</c:v>
                </c:pt>
                <c:pt idx="142">
                  <c:v>3015.93</c:v>
                </c:pt>
                <c:pt idx="143">
                  <c:v>3050.47</c:v>
                </c:pt>
                <c:pt idx="144">
                  <c:v>3076.37</c:v>
                </c:pt>
                <c:pt idx="145">
                  <c:v>3123.66</c:v>
                </c:pt>
                <c:pt idx="146">
                  <c:v>3196.88</c:v>
                </c:pt>
                <c:pt idx="147">
                  <c:v>3146.2</c:v>
                </c:pt>
                <c:pt idx="148">
                  <c:v>3076.65</c:v>
                </c:pt>
                <c:pt idx="149">
                  <c:v>3087.63</c:v>
                </c:pt>
                <c:pt idx="150">
                  <c:v>3096.88</c:v>
                </c:pt>
                <c:pt idx="151">
                  <c:v>3106.03</c:v>
                </c:pt>
                <c:pt idx="152">
                  <c:v>2785.08</c:v>
                </c:pt>
                <c:pt idx="153">
                  <c:v>2719.51</c:v>
                </c:pt>
                <c:pt idx="154">
                  <c:v>2316.38</c:v>
                </c:pt>
                <c:pt idx="155">
                  <c:v>2331.61</c:v>
                </c:pt>
                <c:pt idx="156">
                  <c:v>2401.11</c:v>
                </c:pt>
                <c:pt idx="157">
                  <c:v>2572.23</c:v>
                </c:pt>
                <c:pt idx="158">
                  <c:v>2534.9699999999998</c:v>
                </c:pt>
                <c:pt idx="159">
                  <c:v>2562.0300000000002</c:v>
                </c:pt>
                <c:pt idx="160">
                  <c:v>2593.91</c:v>
                </c:pt>
                <c:pt idx="161">
                  <c:v>2709.38</c:v>
                </c:pt>
                <c:pt idx="162">
                  <c:v>2734.83</c:v>
                </c:pt>
                <c:pt idx="163">
                  <c:v>2792.74</c:v>
                </c:pt>
                <c:pt idx="164">
                  <c:v>2758.67</c:v>
                </c:pt>
                <c:pt idx="165">
                  <c:v>2761.74</c:v>
                </c:pt>
                <c:pt idx="166">
                  <c:v>2800.94</c:v>
                </c:pt>
                <c:pt idx="167">
                  <c:v>2774.79</c:v>
                </c:pt>
                <c:pt idx="168">
                  <c:v>2863.12</c:v>
                </c:pt>
                <c:pt idx="169">
                  <c:v>2911.57</c:v>
                </c:pt>
                <c:pt idx="170">
                  <c:v>2972.35</c:v>
                </c:pt>
                <c:pt idx="171">
                  <c:v>3061.99</c:v>
                </c:pt>
                <c:pt idx="172">
                  <c:v>2995.61</c:v>
                </c:pt>
                <c:pt idx="173">
                  <c:v>2980.17</c:v>
                </c:pt>
                <c:pt idx="174">
                  <c:v>2921.55</c:v>
                </c:pt>
                <c:pt idx="175">
                  <c:v>2910.51</c:v>
                </c:pt>
                <c:pt idx="176">
                  <c:v>2951.79</c:v>
                </c:pt>
                <c:pt idx="177">
                  <c:v>2896.83</c:v>
                </c:pt>
                <c:pt idx="178">
                  <c:v>2852.42</c:v>
                </c:pt>
                <c:pt idx="179">
                  <c:v>2834.09</c:v>
                </c:pt>
                <c:pt idx="180">
                  <c:v>2799.54</c:v>
                </c:pt>
                <c:pt idx="181">
                  <c:v>2816.7</c:v>
                </c:pt>
                <c:pt idx="182">
                  <c:v>2690.59</c:v>
                </c:pt>
                <c:pt idx="183">
                  <c:v>2895.62</c:v>
                </c:pt>
                <c:pt idx="184">
                  <c:v>3025.22</c:v>
                </c:pt>
                <c:pt idx="185">
                  <c:v>3051.04</c:v>
                </c:pt>
                <c:pt idx="186">
                  <c:v>3142.68</c:v>
                </c:pt>
                <c:pt idx="187">
                  <c:v>3184.72</c:v>
                </c:pt>
                <c:pt idx="188">
                  <c:v>3276.58</c:v>
                </c:pt>
                <c:pt idx="189">
                  <c:v>3273.75</c:v>
                </c:pt>
                <c:pt idx="190">
                  <c:v>3454.82</c:v>
                </c:pt>
                <c:pt idx="191">
                  <c:v>3450.95</c:v>
                </c:pt>
                <c:pt idx="192">
                  <c:v>3382.92</c:v>
                </c:pt>
                <c:pt idx="193">
                  <c:v>3277.08</c:v>
                </c:pt>
                <c:pt idx="194">
                  <c:v>3392.73</c:v>
                </c:pt>
                <c:pt idx="195">
                  <c:v>3427.08</c:v>
                </c:pt>
                <c:pt idx="196">
                  <c:v>3457.68</c:v>
                </c:pt>
                <c:pt idx="197">
                  <c:v>3346.64</c:v>
                </c:pt>
                <c:pt idx="198">
                  <c:v>3414.13</c:v>
                </c:pt>
                <c:pt idx="199">
                  <c:v>3539.5</c:v>
                </c:pt>
                <c:pt idx="200">
                  <c:v>3475.26</c:v>
                </c:pt>
                <c:pt idx="201">
                  <c:v>3489.83</c:v>
                </c:pt>
                <c:pt idx="202">
                  <c:v>3486.03</c:v>
                </c:pt>
                <c:pt idx="203">
                  <c:v>3598.44</c:v>
                </c:pt>
                <c:pt idx="204">
                  <c:v>3597.17</c:v>
                </c:pt>
                <c:pt idx="205">
                  <c:v>3544</c:v>
                </c:pt>
                <c:pt idx="206">
                  <c:v>3682.69</c:v>
                </c:pt>
                <c:pt idx="207">
                  <c:v>3637.6</c:v>
                </c:pt>
                <c:pt idx="208">
                  <c:v>3660.48</c:v>
                </c:pt>
                <c:pt idx="209">
                  <c:v>3730.55</c:v>
                </c:pt>
                <c:pt idx="210">
                  <c:v>3807.43</c:v>
                </c:pt>
                <c:pt idx="211">
                  <c:v>3841.53</c:v>
                </c:pt>
                <c:pt idx="212">
                  <c:v>3802.95</c:v>
                </c:pt>
                <c:pt idx="213">
                  <c:v>3831.84</c:v>
                </c:pt>
                <c:pt idx="214">
                  <c:v>3865.42</c:v>
                </c:pt>
                <c:pt idx="215">
                  <c:v>3855.31</c:v>
                </c:pt>
                <c:pt idx="216">
                  <c:v>3770.15</c:v>
                </c:pt>
                <c:pt idx="217">
                  <c:v>3734.54</c:v>
                </c:pt>
                <c:pt idx="218">
                  <c:v>3771.58</c:v>
                </c:pt>
                <c:pt idx="219">
                  <c:v>3805.36</c:v>
                </c:pt>
                <c:pt idx="220">
                  <c:v>3873</c:v>
                </c:pt>
                <c:pt idx="221">
                  <c:v>3832.7</c:v>
                </c:pt>
                <c:pt idx="222">
                  <c:v>3887.38</c:v>
                </c:pt>
                <c:pt idx="223">
                  <c:v>4001.7</c:v>
                </c:pt>
                <c:pt idx="224">
                  <c:v>4002.66</c:v>
                </c:pt>
                <c:pt idx="225">
                  <c:v>4035.17</c:v>
                </c:pt>
                <c:pt idx="226">
                  <c:v>4038.23</c:v>
                </c:pt>
                <c:pt idx="227">
                  <c:v>4086.99</c:v>
                </c:pt>
                <c:pt idx="228">
                  <c:v>4238</c:v>
                </c:pt>
                <c:pt idx="229">
                  <c:v>4261.82</c:v>
                </c:pt>
                <c:pt idx="230">
                  <c:v>4196.96</c:v>
                </c:pt>
                <c:pt idx="231">
                  <c:v>4150</c:v>
                </c:pt>
                <c:pt idx="232">
                  <c:v>4174.76</c:v>
                </c:pt>
                <c:pt idx="233">
                  <c:v>4121.66</c:v>
                </c:pt>
                <c:pt idx="234">
                  <c:v>4016.47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E-41EE-8D04-107E12A9CEE5}"/>
            </c:ext>
          </c:extLst>
        </c:ser>
        <c:ser>
          <c:idx val="1"/>
          <c:order val="1"/>
          <c:tx>
            <c:strRef>
              <c:f>Expanded_regression!$K$3</c:f>
              <c:strCache>
                <c:ptCount val="1"/>
                <c:pt idx="0">
                  <c:v>4w MA .IMOEX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Expanded_regression!$B$4:$B$258</c:f>
              <c:numCache>
                <c:formatCode>m/d/yy</c:formatCode>
                <c:ptCount val="235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  <c:pt idx="233">
                  <c:v>44512</c:v>
                </c:pt>
                <c:pt idx="234">
                  <c:v>44519</c:v>
                </c:pt>
              </c:numCache>
            </c:numRef>
          </c:cat>
          <c:val>
            <c:numRef>
              <c:f>Expanded_regression!$K$4:$K$258</c:f>
              <c:numCache>
                <c:formatCode>#,##0</c:formatCode>
                <c:ptCount val="235"/>
                <c:pt idx="4" formatCode="#,##0.00">
                  <c:v>2208.7825000000003</c:v>
                </c:pt>
                <c:pt idx="5" formatCode="#,##0.00">
                  <c:v>2211.9524999999999</c:v>
                </c:pt>
                <c:pt idx="6" formatCode="#,##0.00">
                  <c:v>2203.7025000000003</c:v>
                </c:pt>
                <c:pt idx="7" formatCode="#,##0.00">
                  <c:v>2195.7650000000003</c:v>
                </c:pt>
                <c:pt idx="8" formatCode="#,##0.00">
                  <c:v>2152.5250000000001</c:v>
                </c:pt>
                <c:pt idx="9" formatCode="#,##0.00">
                  <c:v>2110.0949999999998</c:v>
                </c:pt>
                <c:pt idx="10" formatCode="#,##0.00">
                  <c:v>2063.0375000000004</c:v>
                </c:pt>
                <c:pt idx="11" formatCode="#,##0.00">
                  <c:v>2040.2249999999999</c:v>
                </c:pt>
                <c:pt idx="12" formatCode="#,##0.00">
                  <c:v>2026.895</c:v>
                </c:pt>
                <c:pt idx="13" formatCode="#,##0.00">
                  <c:v>2011.6475</c:v>
                </c:pt>
                <c:pt idx="14" formatCode="#,##0.00">
                  <c:v>2018.6333333333332</c:v>
                </c:pt>
                <c:pt idx="15" formatCode="#,##0.00">
                  <c:v>1986.95</c:v>
                </c:pt>
                <c:pt idx="16" formatCode="#,##0.00">
                  <c:v>1993.8866666666665</c:v>
                </c:pt>
                <c:pt idx="17" formatCode="#,##0.00">
                  <c:v>1987.9466666666667</c:v>
                </c:pt>
                <c:pt idx="18" formatCode="#,##0.00">
                  <c:v>1989.605</c:v>
                </c:pt>
                <c:pt idx="19" formatCode="#,##0.00">
                  <c:v>1994.0250000000001</c:v>
                </c:pt>
                <c:pt idx="20" formatCode="#,##0.00">
                  <c:v>1973.4099999999999</c:v>
                </c:pt>
                <c:pt idx="21" formatCode="#,##0.00">
                  <c:v>1943.2749999999999</c:v>
                </c:pt>
                <c:pt idx="22" formatCode="#,##0.00">
                  <c:v>1915.4650000000001</c:v>
                </c:pt>
                <c:pt idx="23" formatCode="#,##0.00">
                  <c:v>1880.5925</c:v>
                </c:pt>
                <c:pt idx="24" formatCode="#,##0.00">
                  <c:v>1863.895</c:v>
                </c:pt>
                <c:pt idx="25" formatCode="#,##0.00">
                  <c:v>1863.3025</c:v>
                </c:pt>
                <c:pt idx="26" formatCode="#,##0.00">
                  <c:v>1870.5875000000001</c:v>
                </c:pt>
                <c:pt idx="27" formatCode="#,##0.00">
                  <c:v>1905.0325000000003</c:v>
                </c:pt>
                <c:pt idx="28" formatCode="#,##0.00">
                  <c:v>1919.45</c:v>
                </c:pt>
                <c:pt idx="29" formatCode="#,##0.00">
                  <c:v>1928.7625</c:v>
                </c:pt>
                <c:pt idx="30" formatCode="#,##0.00">
                  <c:v>1939.0149999999999</c:v>
                </c:pt>
                <c:pt idx="31" formatCode="#,##0.00">
                  <c:v>1935.05</c:v>
                </c:pt>
                <c:pt idx="32" formatCode="#,##0.00">
                  <c:v>1936.4449999999999</c:v>
                </c:pt>
                <c:pt idx="33" formatCode="#,##0.00">
                  <c:v>1952.0425</c:v>
                </c:pt>
                <c:pt idx="34" formatCode="#,##0.00">
                  <c:v>1966.415</c:v>
                </c:pt>
                <c:pt idx="35" formatCode="#,##0.00">
                  <c:v>1988.395</c:v>
                </c:pt>
                <c:pt idx="36" formatCode="#,##0.00">
                  <c:v>2019.17</c:v>
                </c:pt>
                <c:pt idx="37" formatCode="#,##0.00">
                  <c:v>2037.2925</c:v>
                </c:pt>
                <c:pt idx="38" formatCode="#,##0.00">
                  <c:v>2053.8450000000003</c:v>
                </c:pt>
                <c:pt idx="39" formatCode="#,##0.00">
                  <c:v>2069.1225000000004</c:v>
                </c:pt>
                <c:pt idx="40" formatCode="#,##0.00">
                  <c:v>2085.4124999999999</c:v>
                </c:pt>
                <c:pt idx="41" formatCode="#,##0.00">
                  <c:v>2083.3050000000003</c:v>
                </c:pt>
                <c:pt idx="42" formatCode="#,##0.00">
                  <c:v>2080.1275000000001</c:v>
                </c:pt>
                <c:pt idx="43" formatCode="#,##0.00">
                  <c:v>2097.75</c:v>
                </c:pt>
                <c:pt idx="44" formatCode="#,##0.00">
                  <c:v>2112.77</c:v>
                </c:pt>
                <c:pt idx="45" formatCode="#,##0.00">
                  <c:v>2135.8724999999999</c:v>
                </c:pt>
                <c:pt idx="46" formatCode="#,##0.00">
                  <c:v>2142.0825</c:v>
                </c:pt>
                <c:pt idx="47" formatCode="#,##0.00">
                  <c:v>2126.0149999999999</c:v>
                </c:pt>
                <c:pt idx="48" formatCode="#,##0.00">
                  <c:v>2129.0349999999999</c:v>
                </c:pt>
                <c:pt idx="49" formatCode="#,##0.00">
                  <c:v>2114.4775</c:v>
                </c:pt>
                <c:pt idx="50" formatCode="#,##0.00">
                  <c:v>2115.415</c:v>
                </c:pt>
                <c:pt idx="51" formatCode="#,##0.00">
                  <c:v>2141.02</c:v>
                </c:pt>
                <c:pt idx="52" formatCode="#,##0.00">
                  <c:v>2170.6175000000003</c:v>
                </c:pt>
                <c:pt idx="53" formatCode="#,##0.00">
                  <c:v>2216.4650000000001</c:v>
                </c:pt>
                <c:pt idx="54" formatCode="#,##0.00">
                  <c:v>2262.8450000000003</c:v>
                </c:pt>
                <c:pt idx="55" formatCode="#,##0.00">
                  <c:v>2281.4525000000003</c:v>
                </c:pt>
                <c:pt idx="56" formatCode="#,##0.00">
                  <c:v>2265.1374999999998</c:v>
                </c:pt>
                <c:pt idx="57" formatCode="#,##0.00">
                  <c:v>2244.7433333333333</c:v>
                </c:pt>
                <c:pt idx="58" formatCode="#,##0.00">
                  <c:v>2247.0766666666664</c:v>
                </c:pt>
                <c:pt idx="59" formatCode="#,##0.00">
                  <c:v>2285.2666666666669</c:v>
                </c:pt>
                <c:pt idx="60" formatCode="#,##0.00">
                  <c:v>2298.376666666667</c:v>
                </c:pt>
                <c:pt idx="61" formatCode="#,##0.00">
                  <c:v>2297.2733333333331</c:v>
                </c:pt>
                <c:pt idx="62" formatCode="#,##0.00">
                  <c:v>2287.1200000000003</c:v>
                </c:pt>
                <c:pt idx="63" formatCode="#,##0.00">
                  <c:v>2247.3066666666668</c:v>
                </c:pt>
                <c:pt idx="64" formatCode="#,##0.00">
                  <c:v>2229.6833333333329</c:v>
                </c:pt>
                <c:pt idx="65" formatCode="#,##0.00">
                  <c:v>2247.6349999999998</c:v>
                </c:pt>
                <c:pt idx="66" formatCode="#,##0.00">
                  <c:v>2249.6949999999997</c:v>
                </c:pt>
                <c:pt idx="67" formatCode="#,##0.00">
                  <c:v>2292.2199999999998</c:v>
                </c:pt>
                <c:pt idx="68" formatCode="#,##0.00">
                  <c:v>2315.79</c:v>
                </c:pt>
                <c:pt idx="69" formatCode="#,##0.00">
                  <c:v>2317.06</c:v>
                </c:pt>
                <c:pt idx="70" formatCode="#,##0.00">
                  <c:v>2318.5275000000001</c:v>
                </c:pt>
                <c:pt idx="71" formatCode="#,##0.00">
                  <c:v>2299.1925000000001</c:v>
                </c:pt>
                <c:pt idx="72" formatCode="#,##0.00">
                  <c:v>2276.84</c:v>
                </c:pt>
                <c:pt idx="73" formatCode="#,##0.00">
                  <c:v>2262.6175000000003</c:v>
                </c:pt>
                <c:pt idx="74" formatCode="#,##0.00">
                  <c:v>2262.7700000000004</c:v>
                </c:pt>
                <c:pt idx="75" formatCode="#,##0.00">
                  <c:v>2282.1350000000002</c:v>
                </c:pt>
                <c:pt idx="76" formatCode="#,##0.00">
                  <c:v>2309.3599999999997</c:v>
                </c:pt>
                <c:pt idx="77" formatCode="#,##0.00">
                  <c:v>2308.895</c:v>
                </c:pt>
                <c:pt idx="78" formatCode="#,##0.00">
                  <c:v>2296.2399999999998</c:v>
                </c:pt>
                <c:pt idx="79" formatCode="#,##0.00">
                  <c:v>2278.395</c:v>
                </c:pt>
                <c:pt idx="80" formatCode="#,##0.00">
                  <c:v>2280.2199999999998</c:v>
                </c:pt>
                <c:pt idx="81" formatCode="#,##0.00">
                  <c:v>2276.98</c:v>
                </c:pt>
                <c:pt idx="82" formatCode="#,##0.00">
                  <c:v>2288.9450000000002</c:v>
                </c:pt>
                <c:pt idx="83" formatCode="#,##0.00">
                  <c:v>2300.6374999999998</c:v>
                </c:pt>
                <c:pt idx="84" formatCode="#,##0.00">
                  <c:v>2326.9225000000001</c:v>
                </c:pt>
                <c:pt idx="85" formatCode="#,##0.00">
                  <c:v>2363.6824999999999</c:v>
                </c:pt>
                <c:pt idx="86" formatCode="#,##0.00">
                  <c:v>2396.06</c:v>
                </c:pt>
                <c:pt idx="87" formatCode="#,##0.00">
                  <c:v>2428.33</c:v>
                </c:pt>
                <c:pt idx="88" formatCode="#,##0.00">
                  <c:v>2439.02</c:v>
                </c:pt>
                <c:pt idx="89" formatCode="#,##0.00">
                  <c:v>2418.5174999999999</c:v>
                </c:pt>
                <c:pt idx="90" formatCode="#,##0.00">
                  <c:v>2354.7449999999999</c:v>
                </c:pt>
                <c:pt idx="91" formatCode="#,##0.00">
                  <c:v>2354.8575000000001</c:v>
                </c:pt>
                <c:pt idx="92" formatCode="#,##0.00">
                  <c:v>2361.8274999999999</c:v>
                </c:pt>
                <c:pt idx="93" formatCode="#,##0.00">
                  <c:v>2374.2649999999999</c:v>
                </c:pt>
                <c:pt idx="94" formatCode="#,##0.00">
                  <c:v>2377.9024999999997</c:v>
                </c:pt>
                <c:pt idx="95" formatCode="#,##0.00">
                  <c:v>2384.8575000000001</c:v>
                </c:pt>
                <c:pt idx="96" formatCode="#,##0.00">
                  <c:v>2383.1124999999997</c:v>
                </c:pt>
                <c:pt idx="97" formatCode="#,##0.00">
                  <c:v>2375.6624999999999</c:v>
                </c:pt>
                <c:pt idx="98" formatCode="#,##0.00">
                  <c:v>2369.4650000000001</c:v>
                </c:pt>
                <c:pt idx="99" formatCode="#,##0.00">
                  <c:v>2389.1549999999997</c:v>
                </c:pt>
                <c:pt idx="100" formatCode="#,##0.00">
                  <c:v>2420.7649999999999</c:v>
                </c:pt>
                <c:pt idx="101" formatCode="#,##0.00">
                  <c:v>2455.6974999999998</c:v>
                </c:pt>
                <c:pt idx="102" formatCode="#,##0.00">
                  <c:v>2484.4974999999995</c:v>
                </c:pt>
                <c:pt idx="103" formatCode="#,##0.00">
                  <c:v>2499.09</c:v>
                </c:pt>
                <c:pt idx="104" formatCode="#,##0.00">
                  <c:v>2503.2275</c:v>
                </c:pt>
                <c:pt idx="105" formatCode="#,##0.00">
                  <c:v>2500.8275000000003</c:v>
                </c:pt>
                <c:pt idx="106" formatCode="#,##0.00">
                  <c:v>2485.6</c:v>
                </c:pt>
                <c:pt idx="107" formatCode="#,##0.00">
                  <c:v>2481.1233333333334</c:v>
                </c:pt>
                <c:pt idx="108" formatCode="#,##0.00">
                  <c:v>2482.48</c:v>
                </c:pt>
                <c:pt idx="109" formatCode="#,##0.00">
                  <c:v>2488.8433333333337</c:v>
                </c:pt>
                <c:pt idx="110" formatCode="#,##0.00">
                  <c:v>2501.88</c:v>
                </c:pt>
                <c:pt idx="111" formatCode="#,##0.00">
                  <c:v>2532.603333333333</c:v>
                </c:pt>
                <c:pt idx="112" formatCode="#,##0.00">
                  <c:v>2554.8099999999995</c:v>
                </c:pt>
                <c:pt idx="113" formatCode="#,##0.00">
                  <c:v>2553.1799999999998</c:v>
                </c:pt>
                <c:pt idx="114" formatCode="#,##0.00">
                  <c:v>2573.1349999999998</c:v>
                </c:pt>
                <c:pt idx="115" formatCode="#,##0.00">
                  <c:v>2594.23</c:v>
                </c:pt>
                <c:pt idx="116" formatCode="#,##0.00">
                  <c:v>2647.915</c:v>
                </c:pt>
                <c:pt idx="117" formatCode="#,##0.00">
                  <c:v>2688.3650000000002</c:v>
                </c:pt>
                <c:pt idx="118" formatCode="#,##0.00">
                  <c:v>2723.8625000000002</c:v>
                </c:pt>
                <c:pt idx="119" formatCode="#,##0.00">
                  <c:v>2748.9925000000003</c:v>
                </c:pt>
                <c:pt idx="120" formatCode="#,##0.00">
                  <c:v>2775.4275000000002</c:v>
                </c:pt>
                <c:pt idx="121" formatCode="#,##0.00">
                  <c:v>2785.0025000000001</c:v>
                </c:pt>
                <c:pt idx="122" formatCode="#,##0.00">
                  <c:v>2769.8374999999996</c:v>
                </c:pt>
                <c:pt idx="123" formatCode="#,##0.00">
                  <c:v>2757.2950000000001</c:v>
                </c:pt>
                <c:pt idx="124" formatCode="#,##0.00">
                  <c:v>2717.1824999999999</c:v>
                </c:pt>
                <c:pt idx="125" formatCode="#,##0.00">
                  <c:v>2692.7150000000001</c:v>
                </c:pt>
                <c:pt idx="126" formatCode="#,##0.00">
                  <c:v>2671.3724999999999</c:v>
                </c:pt>
                <c:pt idx="127" formatCode="#,##0.00">
                  <c:v>2657.6374999999998</c:v>
                </c:pt>
                <c:pt idx="128" formatCode="#,##0.00">
                  <c:v>2673.9224999999997</c:v>
                </c:pt>
                <c:pt idx="129" formatCode="#,##0.00">
                  <c:v>2703.3824999999997</c:v>
                </c:pt>
                <c:pt idx="130" formatCode="#,##0.00">
                  <c:v>2747.5174999999999</c:v>
                </c:pt>
                <c:pt idx="131" formatCode="#,##0.00">
                  <c:v>2781.4349999999999</c:v>
                </c:pt>
                <c:pt idx="132" formatCode="#,##0.00">
                  <c:v>2785.92</c:v>
                </c:pt>
                <c:pt idx="133" formatCode="#,##0.00">
                  <c:v>2759.67</c:v>
                </c:pt>
                <c:pt idx="134" formatCode="#,##0.00">
                  <c:v>2738.7524999999996</c:v>
                </c:pt>
                <c:pt idx="135" formatCode="#,##0.00">
                  <c:v>2727.8775000000001</c:v>
                </c:pt>
                <c:pt idx="136" formatCode="#,##0.00">
                  <c:v>2756.7350000000001</c:v>
                </c:pt>
                <c:pt idx="137" formatCode="#,##0.00">
                  <c:v>2816.1974999999998</c:v>
                </c:pt>
                <c:pt idx="138" formatCode="#,##0.00">
                  <c:v>2882.4775</c:v>
                </c:pt>
                <c:pt idx="139" formatCode="#,##0.00">
                  <c:v>2927.9549999999999</c:v>
                </c:pt>
                <c:pt idx="140" formatCode="#,##0.00">
                  <c:v>2951.896666666667</c:v>
                </c:pt>
                <c:pt idx="141" formatCode="#,##0.00">
                  <c:v>2937.0866666666666</c:v>
                </c:pt>
                <c:pt idx="142" formatCode="#,##0.00">
                  <c:v>2957.69</c:v>
                </c:pt>
                <c:pt idx="143" formatCode="#,##0.00">
                  <c:v>2980.44</c:v>
                </c:pt>
                <c:pt idx="144" formatCode="#,##0.00">
                  <c:v>2997.9474999999998</c:v>
                </c:pt>
                <c:pt idx="145" formatCode="#,##0.00">
                  <c:v>3034.8499999999995</c:v>
                </c:pt>
                <c:pt idx="146" formatCode="#,##0.00">
                  <c:v>3066.6075000000001</c:v>
                </c:pt>
                <c:pt idx="147" formatCode="#,##0.00">
                  <c:v>3111.8450000000003</c:v>
                </c:pt>
                <c:pt idx="148" formatCode="#,##0.00">
                  <c:v>3135.7775000000001</c:v>
                </c:pt>
                <c:pt idx="149" formatCode="#,##0.00">
                  <c:v>3135.8474999999999</c:v>
                </c:pt>
                <c:pt idx="150" formatCode="#,##0.00">
                  <c:v>3126.84</c:v>
                </c:pt>
                <c:pt idx="151" formatCode="#,##0.00">
                  <c:v>3101.84</c:v>
                </c:pt>
                <c:pt idx="152" formatCode="#,##0.00">
                  <c:v>3091.7975000000001</c:v>
                </c:pt>
                <c:pt idx="153" formatCode="#,##0.00">
                  <c:v>3018.9050000000002</c:v>
                </c:pt>
                <c:pt idx="154" formatCode="#,##0.00">
                  <c:v>2926.875</c:v>
                </c:pt>
                <c:pt idx="155" formatCode="#,##0.00">
                  <c:v>2731.75</c:v>
                </c:pt>
                <c:pt idx="156" formatCode="#,##0.00">
                  <c:v>2538.145</c:v>
                </c:pt>
                <c:pt idx="157" formatCode="#,##0.00">
                  <c:v>2442.1525000000001</c:v>
                </c:pt>
                <c:pt idx="158" formatCode="#,##0.00">
                  <c:v>2434.9833333333336</c:v>
                </c:pt>
                <c:pt idx="159" formatCode="#,##0.00">
                  <c:v>2502.77</c:v>
                </c:pt>
                <c:pt idx="160" formatCode="#,##0.00">
                  <c:v>2579.5166666666669</c:v>
                </c:pt>
                <c:pt idx="161" formatCode="#,##0.00">
                  <c:v>2599.1633333333334</c:v>
                </c:pt>
                <c:pt idx="162" formatCode="#,##0.00">
                  <c:v>2648.28</c:v>
                </c:pt>
                <c:pt idx="163" formatCode="#,##0.00">
                  <c:v>2669.9175</c:v>
                </c:pt>
                <c:pt idx="164" formatCode="#,##0.00">
                  <c:v>2745.65</c:v>
                </c:pt>
                <c:pt idx="165" formatCode="#,##0.00">
                  <c:v>2762.08</c:v>
                </c:pt>
                <c:pt idx="166" formatCode="#,##0.00">
                  <c:v>2774.0233333333331</c:v>
                </c:pt>
                <c:pt idx="167" formatCode="#,##0.00">
                  <c:v>2780.7525000000001</c:v>
                </c:pt>
                <c:pt idx="168" formatCode="#,##0.00">
                  <c:v>2784.7825000000003</c:v>
                </c:pt>
                <c:pt idx="169" formatCode="#,##0.00">
                  <c:v>2810.1274999999996</c:v>
                </c:pt>
                <c:pt idx="170" formatCode="#,##0.00">
                  <c:v>2837.6049999999996</c:v>
                </c:pt>
                <c:pt idx="171" formatCode="#,##0.00">
                  <c:v>2880.4575</c:v>
                </c:pt>
                <c:pt idx="172" formatCode="#,##0.00">
                  <c:v>2952.2575000000002</c:v>
                </c:pt>
                <c:pt idx="173" formatCode="#,##0.00">
                  <c:v>2985.38</c:v>
                </c:pt>
                <c:pt idx="174" formatCode="#,##0.00">
                  <c:v>3002.53</c:v>
                </c:pt>
                <c:pt idx="175" formatCode="#,##0.00">
                  <c:v>2989.83</c:v>
                </c:pt>
                <c:pt idx="176" formatCode="#,##0.00">
                  <c:v>2951.9600000000005</c:v>
                </c:pt>
                <c:pt idx="177" formatCode="#,##0.00">
                  <c:v>2941.0050000000001</c:v>
                </c:pt>
                <c:pt idx="178" formatCode="#,##0.00">
                  <c:v>2920.17</c:v>
                </c:pt>
                <c:pt idx="179" formatCode="#,##0.00">
                  <c:v>2902.8875000000003</c:v>
                </c:pt>
                <c:pt idx="180" formatCode="#,##0.00">
                  <c:v>2883.7825000000003</c:v>
                </c:pt>
                <c:pt idx="181" formatCode="#,##0.00">
                  <c:v>2845.7200000000003</c:v>
                </c:pt>
                <c:pt idx="182" formatCode="#,##0.00">
                  <c:v>2825.6875</c:v>
                </c:pt>
                <c:pt idx="183" formatCode="#,##0.00">
                  <c:v>2785.23</c:v>
                </c:pt>
                <c:pt idx="184" formatCode="#,##0.00">
                  <c:v>2800.6125000000002</c:v>
                </c:pt>
                <c:pt idx="185" formatCode="#,##0.00">
                  <c:v>2857.0324999999998</c:v>
                </c:pt>
                <c:pt idx="186" formatCode="#,##0.00">
                  <c:v>2915.6175000000003</c:v>
                </c:pt>
                <c:pt idx="187" formatCode="#,##0.00">
                  <c:v>3028.6400000000003</c:v>
                </c:pt>
                <c:pt idx="188" formatCode="#,##0.00">
                  <c:v>3100.915</c:v>
                </c:pt>
                <c:pt idx="189" formatCode="#,##0.00">
                  <c:v>3163.7549999999997</c:v>
                </c:pt>
                <c:pt idx="190" formatCode="#,##0.00">
                  <c:v>3275.165</c:v>
                </c:pt>
                <c:pt idx="191" formatCode="#,##0.00">
                  <c:v>3364.2849999999999</c:v>
                </c:pt>
                <c:pt idx="192" formatCode="#,##0.00">
                  <c:v>3452.8850000000002</c:v>
                </c:pt>
                <c:pt idx="193" formatCode="#,##0.00">
                  <c:v>3429.5633333333335</c:v>
                </c:pt>
                <c:pt idx="194" formatCode="#,##0.00">
                  <c:v>3391.4425000000001</c:v>
                </c:pt>
                <c:pt idx="195" formatCode="#,##0.00">
                  <c:v>3375.92</c:v>
                </c:pt>
                <c:pt idx="196" formatCode="#,##0.00">
                  <c:v>3369.9524999999999</c:v>
                </c:pt>
                <c:pt idx="197" formatCode="#,##0.00">
                  <c:v>3388.6424999999999</c:v>
                </c:pt>
                <c:pt idx="198" formatCode="#,##0.00">
                  <c:v>3406.0324999999998</c:v>
                </c:pt>
                <c:pt idx="199" formatCode="#,##0.00">
                  <c:v>3411.3824999999997</c:v>
                </c:pt>
                <c:pt idx="200" formatCode="#,##0.00">
                  <c:v>3439.4875000000002</c:v>
                </c:pt>
                <c:pt idx="201" formatCode="#,##0.00">
                  <c:v>3443.8825000000002</c:v>
                </c:pt>
                <c:pt idx="202" formatCode="#,##0.00">
                  <c:v>3501.53</c:v>
                </c:pt>
                <c:pt idx="203" formatCode="#,##0.00">
                  <c:v>3483.7066666666669</c:v>
                </c:pt>
                <c:pt idx="204" formatCode="#,##0.00">
                  <c:v>3524.7666666666669</c:v>
                </c:pt>
                <c:pt idx="205" formatCode="#,##0.00">
                  <c:v>3560.5466666666666</c:v>
                </c:pt>
                <c:pt idx="206" formatCode="#,##0.00">
                  <c:v>3556.41</c:v>
                </c:pt>
                <c:pt idx="207" formatCode="#,##0.00">
                  <c:v>3605.5750000000003</c:v>
                </c:pt>
                <c:pt idx="208" formatCode="#,##0.00">
                  <c:v>3615.3650000000002</c:v>
                </c:pt>
                <c:pt idx="209" formatCode="#,##0.00">
                  <c:v>3631.1925000000001</c:v>
                </c:pt>
                <c:pt idx="210" formatCode="#,##0.00">
                  <c:v>3677.83</c:v>
                </c:pt>
                <c:pt idx="211" formatCode="#,##0.00">
                  <c:v>3709.0150000000003</c:v>
                </c:pt>
                <c:pt idx="212" formatCode="#,##0.00">
                  <c:v>3759.9975000000004</c:v>
                </c:pt>
                <c:pt idx="213" formatCode="#,##0.00">
                  <c:v>3795.6149999999998</c:v>
                </c:pt>
                <c:pt idx="214" formatCode="#,##0.00">
                  <c:v>3820.9375</c:v>
                </c:pt>
                <c:pt idx="215" formatCode="#,##0.00">
                  <c:v>3835.4349999999999</c:v>
                </c:pt>
                <c:pt idx="216" formatCode="#,##0.00">
                  <c:v>3838.8799999999997</c:v>
                </c:pt>
                <c:pt idx="217" formatCode="#,##0.00">
                  <c:v>3830.68</c:v>
                </c:pt>
                <c:pt idx="218" formatCode="#,##0.00">
                  <c:v>3806.3549999999996</c:v>
                </c:pt>
                <c:pt idx="219" formatCode="#,##0.00">
                  <c:v>3782.895</c:v>
                </c:pt>
                <c:pt idx="220" formatCode="#,##0.00">
                  <c:v>3770.4075000000003</c:v>
                </c:pt>
                <c:pt idx="221" formatCode="#,##0.00">
                  <c:v>3796.12</c:v>
                </c:pt>
                <c:pt idx="222" formatCode="#,##0.00">
                  <c:v>3820.66</c:v>
                </c:pt>
                <c:pt idx="223" formatCode="#,##0.00">
                  <c:v>3849.6100000000006</c:v>
                </c:pt>
                <c:pt idx="224" formatCode="#,##0.00">
                  <c:v>3898.6949999999997</c:v>
                </c:pt>
                <c:pt idx="225" formatCode="#,##0.00">
                  <c:v>3931.1099999999997</c:v>
                </c:pt>
                <c:pt idx="226" formatCode="#,##0.00">
                  <c:v>3981.7275</c:v>
                </c:pt>
                <c:pt idx="227" formatCode="#,##0.00">
                  <c:v>4019.4399999999996</c:v>
                </c:pt>
                <c:pt idx="228" formatCode="#,##0.00">
                  <c:v>4040.7624999999998</c:v>
                </c:pt>
                <c:pt idx="229" formatCode="#,##0.00">
                  <c:v>4099.5974999999999</c:v>
                </c:pt>
                <c:pt idx="230" formatCode="#,##0.00">
                  <c:v>4156.26</c:v>
                </c:pt>
                <c:pt idx="231" formatCode="#,##0.00">
                  <c:v>4195.9425000000001</c:v>
                </c:pt>
                <c:pt idx="232" formatCode="#,##0.00">
                  <c:v>4211.6949999999997</c:v>
                </c:pt>
                <c:pt idx="233" formatCode="#,##0.00">
                  <c:v>4195.8850000000002</c:v>
                </c:pt>
                <c:pt idx="234" formatCode="#,##0.00">
                  <c:v>4160.8449999999993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E-41EE-8D04-107E12A9C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242223"/>
        <c:axId val="988242639"/>
      </c:lineChart>
      <c:dateAx>
        <c:axId val="98824222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42639"/>
        <c:crosses val="autoZero"/>
        <c:auto val="1"/>
        <c:lblOffset val="100"/>
        <c:baseTimeUnit val="days"/>
      </c:dateAx>
      <c:valAx>
        <c:axId val="988242639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Index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422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Brent-Urals differential (BFO-URL-NWE) time series</a:t>
            </a:r>
          </a:p>
          <a:p>
            <a:pPr>
              <a:defRPr/>
            </a:pPr>
            <a:r>
              <a:rPr lang="en-GB" sz="1000">
                <a:solidFill>
                  <a:sysClr val="windowText" lastClr="000000"/>
                </a:solidFill>
              </a:rPr>
              <a:t>Data: Refinitiv</a:t>
            </a:r>
            <a:r>
              <a:rPr lang="en-GB" sz="1000" baseline="0">
                <a:solidFill>
                  <a:sysClr val="windowText" lastClr="000000"/>
                </a:solidFill>
              </a:rPr>
              <a:t> Eikon</a:t>
            </a:r>
            <a:endParaRPr lang="en-GB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Expanded_regression!#REF!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Expanded_regression!$B$4:$B$258</c:f>
              <c:numCache>
                <c:formatCode>m/d/yy</c:formatCode>
                <c:ptCount val="235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  <c:pt idx="233">
                  <c:v>44512</c:v>
                </c:pt>
                <c:pt idx="234">
                  <c:v>44519</c:v>
                </c:pt>
              </c:numCache>
            </c:numRef>
          </c:cat>
          <c:val>
            <c:numRef>
              <c:f>Expanded_regression!$G$4:$G$258</c:f>
              <c:numCache>
                <c:formatCode>General</c:formatCode>
                <c:ptCount val="235"/>
                <c:pt idx="0">
                  <c:v>-2.5</c:v>
                </c:pt>
                <c:pt idx="1">
                  <c:v>-2.0499999999999998</c:v>
                </c:pt>
                <c:pt idx="2">
                  <c:v>-1.5</c:v>
                </c:pt>
                <c:pt idx="3">
                  <c:v>-1.6</c:v>
                </c:pt>
                <c:pt idx="4">
                  <c:v>-1.75</c:v>
                </c:pt>
                <c:pt idx="5">
                  <c:v>-2.2000000000000002</c:v>
                </c:pt>
                <c:pt idx="6">
                  <c:v>-1.9</c:v>
                </c:pt>
                <c:pt idx="7">
                  <c:v>-2.5</c:v>
                </c:pt>
                <c:pt idx="8">
                  <c:v>-2</c:v>
                </c:pt>
                <c:pt idx="9">
                  <c:v>-2.0499999999999998</c:v>
                </c:pt>
                <c:pt idx="10">
                  <c:v>-2.25</c:v>
                </c:pt>
                <c:pt idx="11">
                  <c:v>-2.8</c:v>
                </c:pt>
                <c:pt idx="12">
                  <c:v>-2.7</c:v>
                </c:pt>
                <c:pt idx="13">
                  <c:v>-2.13</c:v>
                </c:pt>
                <c:pt idx="14">
                  <c:v>-1.9</c:v>
                </c:pt>
                <c:pt idx="15">
                  <c:v>-1.65</c:v>
                </c:pt>
                <c:pt idx="16">
                  <c:v>-1.45</c:v>
                </c:pt>
                <c:pt idx="17">
                  <c:v>-1.35</c:v>
                </c:pt>
                <c:pt idx="18">
                  <c:v>-1.5</c:v>
                </c:pt>
                <c:pt idx="19">
                  <c:v>-1.35</c:v>
                </c:pt>
                <c:pt idx="20">
                  <c:v>-1.35</c:v>
                </c:pt>
                <c:pt idx="21">
                  <c:v>-1.3</c:v>
                </c:pt>
                <c:pt idx="22">
                  <c:v>-1.1499999999999999</c:v>
                </c:pt>
                <c:pt idx="23">
                  <c:v>-0.9</c:v>
                </c:pt>
                <c:pt idx="24">
                  <c:v>-0.95</c:v>
                </c:pt>
                <c:pt idx="25">
                  <c:v>-0.7</c:v>
                </c:pt>
                <c:pt idx="26">
                  <c:v>-0.85</c:v>
                </c:pt>
                <c:pt idx="27">
                  <c:v>-0.65</c:v>
                </c:pt>
                <c:pt idx="28">
                  <c:v>-0.55000000000000004</c:v>
                </c:pt>
                <c:pt idx="29">
                  <c:v>-0.3</c:v>
                </c:pt>
                <c:pt idx="30">
                  <c:v>-0.3</c:v>
                </c:pt>
                <c:pt idx="31">
                  <c:v>-0.6</c:v>
                </c:pt>
                <c:pt idx="32">
                  <c:v>-1.25</c:v>
                </c:pt>
                <c:pt idx="33">
                  <c:v>-1.3</c:v>
                </c:pt>
                <c:pt idx="34">
                  <c:v>-1.45</c:v>
                </c:pt>
                <c:pt idx="35">
                  <c:v>-2.15</c:v>
                </c:pt>
                <c:pt idx="36">
                  <c:v>-2.0499999999999998</c:v>
                </c:pt>
                <c:pt idx="37">
                  <c:v>-2.0499999999999998</c:v>
                </c:pt>
                <c:pt idx="38">
                  <c:v>-1</c:v>
                </c:pt>
                <c:pt idx="39">
                  <c:v>-1.55</c:v>
                </c:pt>
                <c:pt idx="40">
                  <c:v>-0.95</c:v>
                </c:pt>
                <c:pt idx="41">
                  <c:v>-1.1000000000000001</c:v>
                </c:pt>
                <c:pt idx="42">
                  <c:v>-1.1000000000000001</c:v>
                </c:pt>
                <c:pt idx="43">
                  <c:v>-0.7</c:v>
                </c:pt>
                <c:pt idx="44">
                  <c:v>-0.85</c:v>
                </c:pt>
                <c:pt idx="45">
                  <c:v>-0.75</c:v>
                </c:pt>
                <c:pt idx="46">
                  <c:v>-0.45</c:v>
                </c:pt>
                <c:pt idx="47">
                  <c:v>-0.05</c:v>
                </c:pt>
                <c:pt idx="48">
                  <c:v>-0.25</c:v>
                </c:pt>
                <c:pt idx="49">
                  <c:v>-0.5</c:v>
                </c:pt>
                <c:pt idx="50">
                  <c:v>-0.65</c:v>
                </c:pt>
                <c:pt idx="51">
                  <c:v>-0.6</c:v>
                </c:pt>
                <c:pt idx="52">
                  <c:v>-0.75</c:v>
                </c:pt>
                <c:pt idx="53">
                  <c:v>-0.6</c:v>
                </c:pt>
                <c:pt idx="54">
                  <c:v>-1.1000000000000001</c:v>
                </c:pt>
                <c:pt idx="55">
                  <c:v>-1.6</c:v>
                </c:pt>
                <c:pt idx="56">
                  <c:v>-2.1</c:v>
                </c:pt>
                <c:pt idx="57">
                  <c:v>-2.25</c:v>
                </c:pt>
                <c:pt idx="58">
                  <c:v>-2.95</c:v>
                </c:pt>
                <c:pt idx="59">
                  <c:v>-2.1</c:v>
                </c:pt>
                <c:pt idx="60">
                  <c:v>-2</c:v>
                </c:pt>
                <c:pt idx="61">
                  <c:v>-2.25</c:v>
                </c:pt>
                <c:pt idx="62">
                  <c:v>-3.2</c:v>
                </c:pt>
                <c:pt idx="63">
                  <c:v>-3.4</c:v>
                </c:pt>
                <c:pt idx="64">
                  <c:v>-3.25</c:v>
                </c:pt>
                <c:pt idx="65">
                  <c:v>-3.05</c:v>
                </c:pt>
                <c:pt idx="66">
                  <c:v>-2.5</c:v>
                </c:pt>
                <c:pt idx="67">
                  <c:v>-1.55</c:v>
                </c:pt>
                <c:pt idx="68">
                  <c:v>-1.2</c:v>
                </c:pt>
                <c:pt idx="69">
                  <c:v>-1.35</c:v>
                </c:pt>
                <c:pt idx="70">
                  <c:v>-1.35</c:v>
                </c:pt>
                <c:pt idx="71">
                  <c:v>-1.8</c:v>
                </c:pt>
                <c:pt idx="72">
                  <c:v>-1.95</c:v>
                </c:pt>
                <c:pt idx="73">
                  <c:v>-1.45</c:v>
                </c:pt>
                <c:pt idx="74">
                  <c:v>-1.95</c:v>
                </c:pt>
                <c:pt idx="75">
                  <c:v>-2.25</c:v>
                </c:pt>
                <c:pt idx="76">
                  <c:v>-2.2000000000000002</c:v>
                </c:pt>
                <c:pt idx="77">
                  <c:v>-1.35</c:v>
                </c:pt>
                <c:pt idx="78">
                  <c:v>-1.1000000000000001</c:v>
                </c:pt>
                <c:pt idx="79">
                  <c:v>-1</c:v>
                </c:pt>
                <c:pt idx="80">
                  <c:v>-0.75</c:v>
                </c:pt>
                <c:pt idx="81">
                  <c:v>-0.3</c:v>
                </c:pt>
                <c:pt idx="82">
                  <c:v>-0.25</c:v>
                </c:pt>
                <c:pt idx="83">
                  <c:v>-0.65</c:v>
                </c:pt>
                <c:pt idx="84">
                  <c:v>-1.8</c:v>
                </c:pt>
                <c:pt idx="85">
                  <c:v>-1.5</c:v>
                </c:pt>
                <c:pt idx="86">
                  <c:v>-1.8</c:v>
                </c:pt>
                <c:pt idx="87">
                  <c:v>-2.15</c:v>
                </c:pt>
                <c:pt idx="88">
                  <c:v>-2.5</c:v>
                </c:pt>
                <c:pt idx="89">
                  <c:v>-1.55</c:v>
                </c:pt>
                <c:pt idx="90">
                  <c:v>-0.3</c:v>
                </c:pt>
                <c:pt idx="91">
                  <c:v>-0.25</c:v>
                </c:pt>
                <c:pt idx="92">
                  <c:v>0.4</c:v>
                </c:pt>
                <c:pt idx="93">
                  <c:v>-0.2</c:v>
                </c:pt>
                <c:pt idx="94">
                  <c:v>-0.35</c:v>
                </c:pt>
                <c:pt idx="95">
                  <c:v>0.13</c:v>
                </c:pt>
                <c:pt idx="96">
                  <c:v>0.45</c:v>
                </c:pt>
                <c:pt idx="97">
                  <c:v>0</c:v>
                </c:pt>
                <c:pt idx="98">
                  <c:v>-0.25</c:v>
                </c:pt>
                <c:pt idx="99">
                  <c:v>0.5</c:v>
                </c:pt>
                <c:pt idx="100">
                  <c:v>-0.1</c:v>
                </c:pt>
                <c:pt idx="101">
                  <c:v>-0.1</c:v>
                </c:pt>
                <c:pt idx="102">
                  <c:v>-0.45</c:v>
                </c:pt>
                <c:pt idx="103">
                  <c:v>-0.05</c:v>
                </c:pt>
                <c:pt idx="104">
                  <c:v>-0.3</c:v>
                </c:pt>
                <c:pt idx="105">
                  <c:v>-0.75</c:v>
                </c:pt>
                <c:pt idx="106">
                  <c:v>0</c:v>
                </c:pt>
                <c:pt idx="107">
                  <c:v>-0.65</c:v>
                </c:pt>
                <c:pt idx="108">
                  <c:v>-0.2</c:v>
                </c:pt>
                <c:pt idx="109">
                  <c:v>0.5</c:v>
                </c:pt>
                <c:pt idx="110">
                  <c:v>0.05</c:v>
                </c:pt>
                <c:pt idx="111">
                  <c:v>0.2</c:v>
                </c:pt>
                <c:pt idx="112">
                  <c:v>0.9</c:v>
                </c:pt>
                <c:pt idx="113">
                  <c:v>-0.05</c:v>
                </c:pt>
                <c:pt idx="114">
                  <c:v>-1</c:v>
                </c:pt>
                <c:pt idx="115">
                  <c:v>-2</c:v>
                </c:pt>
                <c:pt idx="116">
                  <c:v>-1.95</c:v>
                </c:pt>
                <c:pt idx="117">
                  <c:v>-2.35</c:v>
                </c:pt>
                <c:pt idx="118">
                  <c:v>-1.8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0.2</c:v>
                </c:pt>
                <c:pt idx="123">
                  <c:v>0.8</c:v>
                </c:pt>
                <c:pt idx="124">
                  <c:v>-0.25</c:v>
                </c:pt>
                <c:pt idx="125">
                  <c:v>-0.75</c:v>
                </c:pt>
                <c:pt idx="126">
                  <c:v>-0.75</c:v>
                </c:pt>
                <c:pt idx="127">
                  <c:v>-1</c:v>
                </c:pt>
                <c:pt idx="128">
                  <c:v>-2.2000000000000002</c:v>
                </c:pt>
                <c:pt idx="129">
                  <c:v>-1.65</c:v>
                </c:pt>
                <c:pt idx="130">
                  <c:v>-0.9</c:v>
                </c:pt>
                <c:pt idx="131">
                  <c:v>-2.85</c:v>
                </c:pt>
                <c:pt idx="132">
                  <c:v>-2.1</c:v>
                </c:pt>
                <c:pt idx="133">
                  <c:v>-1.6</c:v>
                </c:pt>
                <c:pt idx="134">
                  <c:v>-2.1</c:v>
                </c:pt>
                <c:pt idx="135">
                  <c:v>-0.65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-0.95</c:v>
                </c:pt>
                <c:pt idx="140">
                  <c:v>-2</c:v>
                </c:pt>
                <c:pt idx="141">
                  <c:v>-2.5</c:v>
                </c:pt>
                <c:pt idx="142">
                  <c:v>-3.1</c:v>
                </c:pt>
                <c:pt idx="143">
                  <c:v>-4.55</c:v>
                </c:pt>
                <c:pt idx="144">
                  <c:v>-3.5</c:v>
                </c:pt>
                <c:pt idx="145">
                  <c:v>-2.4500000000000002</c:v>
                </c:pt>
                <c:pt idx="146">
                  <c:v>-1.75</c:v>
                </c:pt>
                <c:pt idx="147">
                  <c:v>-1.7</c:v>
                </c:pt>
                <c:pt idx="148">
                  <c:v>-1</c:v>
                </c:pt>
                <c:pt idx="149">
                  <c:v>-1.5</c:v>
                </c:pt>
                <c:pt idx="150">
                  <c:v>-0.9</c:v>
                </c:pt>
                <c:pt idx="151">
                  <c:v>-1.95</c:v>
                </c:pt>
                <c:pt idx="152">
                  <c:v>-2.2000000000000002</c:v>
                </c:pt>
                <c:pt idx="153">
                  <c:v>-1.65</c:v>
                </c:pt>
                <c:pt idx="154">
                  <c:v>-3.15</c:v>
                </c:pt>
                <c:pt idx="155">
                  <c:v>-4.2</c:v>
                </c:pt>
                <c:pt idx="156">
                  <c:v>-4.3499999999999996</c:v>
                </c:pt>
                <c:pt idx="157">
                  <c:v>-4.3499999999999996</c:v>
                </c:pt>
                <c:pt idx="158">
                  <c:v>-4.3</c:v>
                </c:pt>
                <c:pt idx="159">
                  <c:v>0.35</c:v>
                </c:pt>
                <c:pt idx="160">
                  <c:v>0.4</c:v>
                </c:pt>
                <c:pt idx="161">
                  <c:v>0.75</c:v>
                </c:pt>
                <c:pt idx="162">
                  <c:v>1.7</c:v>
                </c:pt>
                <c:pt idx="163">
                  <c:v>1.4</c:v>
                </c:pt>
                <c:pt idx="164">
                  <c:v>1.55</c:v>
                </c:pt>
                <c:pt idx="165">
                  <c:v>1.95</c:v>
                </c:pt>
                <c:pt idx="166">
                  <c:v>1.05</c:v>
                </c:pt>
                <c:pt idx="167">
                  <c:v>1.05</c:v>
                </c:pt>
                <c:pt idx="168">
                  <c:v>0.25</c:v>
                </c:pt>
                <c:pt idx="169">
                  <c:v>-0.05</c:v>
                </c:pt>
                <c:pt idx="170">
                  <c:v>-0.5</c:v>
                </c:pt>
                <c:pt idx="171">
                  <c:v>-1.05</c:v>
                </c:pt>
                <c:pt idx="172">
                  <c:v>-0.35</c:v>
                </c:pt>
                <c:pt idx="173">
                  <c:v>0.75</c:v>
                </c:pt>
                <c:pt idx="174">
                  <c:v>0.75</c:v>
                </c:pt>
                <c:pt idx="175">
                  <c:v>-0.35</c:v>
                </c:pt>
                <c:pt idx="176">
                  <c:v>-0.35</c:v>
                </c:pt>
                <c:pt idx="177">
                  <c:v>0.1</c:v>
                </c:pt>
                <c:pt idx="178">
                  <c:v>-0.1</c:v>
                </c:pt>
                <c:pt idx="179">
                  <c:v>-0.35</c:v>
                </c:pt>
                <c:pt idx="180">
                  <c:v>0.5</c:v>
                </c:pt>
                <c:pt idx="181">
                  <c:v>0.35</c:v>
                </c:pt>
                <c:pt idx="182">
                  <c:v>0.7</c:v>
                </c:pt>
                <c:pt idx="183">
                  <c:v>0.25</c:v>
                </c:pt>
                <c:pt idx="184">
                  <c:v>0.25</c:v>
                </c:pt>
                <c:pt idx="185">
                  <c:v>0.35</c:v>
                </c:pt>
                <c:pt idx="186">
                  <c:v>-0.05</c:v>
                </c:pt>
                <c:pt idx="187">
                  <c:v>-0.65</c:v>
                </c:pt>
                <c:pt idx="188">
                  <c:v>-0.65</c:v>
                </c:pt>
                <c:pt idx="189">
                  <c:v>-1.3</c:v>
                </c:pt>
                <c:pt idx="190">
                  <c:v>-1.4</c:v>
                </c:pt>
                <c:pt idx="191">
                  <c:v>-0.6</c:v>
                </c:pt>
                <c:pt idx="192">
                  <c:v>0</c:v>
                </c:pt>
                <c:pt idx="193">
                  <c:v>-0.6</c:v>
                </c:pt>
                <c:pt idx="194">
                  <c:v>-0.75</c:v>
                </c:pt>
                <c:pt idx="195">
                  <c:v>-1.8</c:v>
                </c:pt>
                <c:pt idx="196">
                  <c:v>-1.8</c:v>
                </c:pt>
                <c:pt idx="197">
                  <c:v>-1.8</c:v>
                </c:pt>
                <c:pt idx="198">
                  <c:v>-2.2999999999999998</c:v>
                </c:pt>
                <c:pt idx="199">
                  <c:v>-2.4500000000000002</c:v>
                </c:pt>
                <c:pt idx="200">
                  <c:v>-1.8</c:v>
                </c:pt>
                <c:pt idx="201">
                  <c:v>-2.1</c:v>
                </c:pt>
                <c:pt idx="202">
                  <c:v>-2.6</c:v>
                </c:pt>
                <c:pt idx="203">
                  <c:v>-2.5499999999999998</c:v>
                </c:pt>
                <c:pt idx="204">
                  <c:v>-2.5</c:v>
                </c:pt>
                <c:pt idx="205">
                  <c:v>-2.7</c:v>
                </c:pt>
                <c:pt idx="206">
                  <c:v>-1.8</c:v>
                </c:pt>
                <c:pt idx="207">
                  <c:v>-1.75</c:v>
                </c:pt>
                <c:pt idx="208">
                  <c:v>-2.0499999999999998</c:v>
                </c:pt>
                <c:pt idx="209">
                  <c:v>-1.6</c:v>
                </c:pt>
                <c:pt idx="210">
                  <c:v>-1.3</c:v>
                </c:pt>
                <c:pt idx="211">
                  <c:v>-1.65</c:v>
                </c:pt>
                <c:pt idx="212">
                  <c:v>-1.65</c:v>
                </c:pt>
                <c:pt idx="213">
                  <c:v>-1.75</c:v>
                </c:pt>
                <c:pt idx="214">
                  <c:v>-2.15</c:v>
                </c:pt>
                <c:pt idx="215">
                  <c:v>-2.65</c:v>
                </c:pt>
                <c:pt idx="216">
                  <c:v>-2.9</c:v>
                </c:pt>
                <c:pt idx="217">
                  <c:v>-2.5</c:v>
                </c:pt>
                <c:pt idx="218">
                  <c:v>-2.4</c:v>
                </c:pt>
                <c:pt idx="219">
                  <c:v>-1.95</c:v>
                </c:pt>
                <c:pt idx="220">
                  <c:v>-2.25</c:v>
                </c:pt>
                <c:pt idx="221">
                  <c:v>-2.4500000000000002</c:v>
                </c:pt>
                <c:pt idx="222">
                  <c:v>-1.9</c:v>
                </c:pt>
                <c:pt idx="223">
                  <c:v>-1.55</c:v>
                </c:pt>
                <c:pt idx="224">
                  <c:v>-1</c:v>
                </c:pt>
                <c:pt idx="225">
                  <c:v>-2.5</c:v>
                </c:pt>
                <c:pt idx="226">
                  <c:v>-2.4500000000000002</c:v>
                </c:pt>
                <c:pt idx="227">
                  <c:v>-2.0499999999999998</c:v>
                </c:pt>
                <c:pt idx="228">
                  <c:v>-2.15</c:v>
                </c:pt>
                <c:pt idx="229">
                  <c:v>-2.15</c:v>
                </c:pt>
                <c:pt idx="230">
                  <c:v>-1.8</c:v>
                </c:pt>
                <c:pt idx="231">
                  <c:v>-1.4</c:v>
                </c:pt>
                <c:pt idx="232">
                  <c:v>-1.6</c:v>
                </c:pt>
                <c:pt idx="233">
                  <c:v>-1.45</c:v>
                </c:pt>
                <c:pt idx="234">
                  <c:v>-1.65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C-4F11-AC2C-F6AB955B7982}"/>
            </c:ext>
          </c:extLst>
        </c:ser>
        <c:ser>
          <c:idx val="1"/>
          <c:order val="1"/>
          <c:tx>
            <c:strRef>
              <c:f>Expanded_regression!$M$3</c:f>
              <c:strCache>
                <c:ptCount val="1"/>
                <c:pt idx="0">
                  <c:v>4w MA BFO-URL-NWE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Expanded_regression!$B$4:$B$258</c:f>
              <c:numCache>
                <c:formatCode>m/d/yy</c:formatCode>
                <c:ptCount val="235"/>
                <c:pt idx="0">
                  <c:v>42741</c:v>
                </c:pt>
                <c:pt idx="1">
                  <c:v>42748</c:v>
                </c:pt>
                <c:pt idx="2">
                  <c:v>42755</c:v>
                </c:pt>
                <c:pt idx="3">
                  <c:v>42762</c:v>
                </c:pt>
                <c:pt idx="4">
                  <c:v>42769</c:v>
                </c:pt>
                <c:pt idx="5">
                  <c:v>42776</c:v>
                </c:pt>
                <c:pt idx="6">
                  <c:v>42783</c:v>
                </c:pt>
                <c:pt idx="7">
                  <c:v>42790</c:v>
                </c:pt>
                <c:pt idx="8">
                  <c:v>42797</c:v>
                </c:pt>
                <c:pt idx="9">
                  <c:v>42804</c:v>
                </c:pt>
                <c:pt idx="10">
                  <c:v>42811</c:v>
                </c:pt>
                <c:pt idx="11">
                  <c:v>42818</c:v>
                </c:pt>
                <c:pt idx="12">
                  <c:v>42825</c:v>
                </c:pt>
                <c:pt idx="13">
                  <c:v>42832</c:v>
                </c:pt>
                <c:pt idx="14">
                  <c:v>42846</c:v>
                </c:pt>
                <c:pt idx="15">
                  <c:v>42853</c:v>
                </c:pt>
                <c:pt idx="16">
                  <c:v>42860</c:v>
                </c:pt>
                <c:pt idx="17">
                  <c:v>42867</c:v>
                </c:pt>
                <c:pt idx="18">
                  <c:v>42874</c:v>
                </c:pt>
                <c:pt idx="19">
                  <c:v>42881</c:v>
                </c:pt>
                <c:pt idx="20">
                  <c:v>42888</c:v>
                </c:pt>
                <c:pt idx="21">
                  <c:v>42895</c:v>
                </c:pt>
                <c:pt idx="22">
                  <c:v>42902</c:v>
                </c:pt>
                <c:pt idx="23">
                  <c:v>42909</c:v>
                </c:pt>
                <c:pt idx="24">
                  <c:v>42916</c:v>
                </c:pt>
                <c:pt idx="25">
                  <c:v>42923</c:v>
                </c:pt>
                <c:pt idx="26">
                  <c:v>42930</c:v>
                </c:pt>
                <c:pt idx="27">
                  <c:v>42937</c:v>
                </c:pt>
                <c:pt idx="28">
                  <c:v>42944</c:v>
                </c:pt>
                <c:pt idx="29">
                  <c:v>42951</c:v>
                </c:pt>
                <c:pt idx="30">
                  <c:v>42958</c:v>
                </c:pt>
                <c:pt idx="31">
                  <c:v>42965</c:v>
                </c:pt>
                <c:pt idx="32">
                  <c:v>42972</c:v>
                </c:pt>
                <c:pt idx="33">
                  <c:v>42979</c:v>
                </c:pt>
                <c:pt idx="34">
                  <c:v>42986</c:v>
                </c:pt>
                <c:pt idx="35">
                  <c:v>42993</c:v>
                </c:pt>
                <c:pt idx="36">
                  <c:v>43000</c:v>
                </c:pt>
                <c:pt idx="37">
                  <c:v>43007</c:v>
                </c:pt>
                <c:pt idx="38">
                  <c:v>43014</c:v>
                </c:pt>
                <c:pt idx="39">
                  <c:v>43021</c:v>
                </c:pt>
                <c:pt idx="40">
                  <c:v>43035</c:v>
                </c:pt>
                <c:pt idx="41">
                  <c:v>43042</c:v>
                </c:pt>
                <c:pt idx="42">
                  <c:v>43049</c:v>
                </c:pt>
                <c:pt idx="43">
                  <c:v>43056</c:v>
                </c:pt>
                <c:pt idx="44">
                  <c:v>43063</c:v>
                </c:pt>
                <c:pt idx="45">
                  <c:v>43070</c:v>
                </c:pt>
                <c:pt idx="46">
                  <c:v>43077</c:v>
                </c:pt>
                <c:pt idx="47">
                  <c:v>43084</c:v>
                </c:pt>
                <c:pt idx="48">
                  <c:v>43091</c:v>
                </c:pt>
                <c:pt idx="49">
                  <c:v>43098</c:v>
                </c:pt>
                <c:pt idx="50">
                  <c:v>43105</c:v>
                </c:pt>
                <c:pt idx="51">
                  <c:v>43112</c:v>
                </c:pt>
                <c:pt idx="52">
                  <c:v>43119</c:v>
                </c:pt>
                <c:pt idx="53">
                  <c:v>43126</c:v>
                </c:pt>
                <c:pt idx="54">
                  <c:v>43133</c:v>
                </c:pt>
                <c:pt idx="55">
                  <c:v>43140</c:v>
                </c:pt>
                <c:pt idx="56">
                  <c:v>43147</c:v>
                </c:pt>
                <c:pt idx="57">
                  <c:v>43161</c:v>
                </c:pt>
                <c:pt idx="58">
                  <c:v>43168</c:v>
                </c:pt>
                <c:pt idx="59">
                  <c:v>43175</c:v>
                </c:pt>
                <c:pt idx="60">
                  <c:v>43182</c:v>
                </c:pt>
                <c:pt idx="61">
                  <c:v>43196</c:v>
                </c:pt>
                <c:pt idx="62">
                  <c:v>43203</c:v>
                </c:pt>
                <c:pt idx="63">
                  <c:v>43210</c:v>
                </c:pt>
                <c:pt idx="64">
                  <c:v>43217</c:v>
                </c:pt>
                <c:pt idx="65">
                  <c:v>43224</c:v>
                </c:pt>
                <c:pt idx="66">
                  <c:v>43231</c:v>
                </c:pt>
                <c:pt idx="67">
                  <c:v>43238</c:v>
                </c:pt>
                <c:pt idx="68">
                  <c:v>43245</c:v>
                </c:pt>
                <c:pt idx="69">
                  <c:v>43252</c:v>
                </c:pt>
                <c:pt idx="70">
                  <c:v>43259</c:v>
                </c:pt>
                <c:pt idx="71">
                  <c:v>43266</c:v>
                </c:pt>
                <c:pt idx="72">
                  <c:v>43273</c:v>
                </c:pt>
                <c:pt idx="73">
                  <c:v>43280</c:v>
                </c:pt>
                <c:pt idx="74">
                  <c:v>43287</c:v>
                </c:pt>
                <c:pt idx="75">
                  <c:v>43294</c:v>
                </c:pt>
                <c:pt idx="76">
                  <c:v>43301</c:v>
                </c:pt>
                <c:pt idx="77">
                  <c:v>43308</c:v>
                </c:pt>
                <c:pt idx="78">
                  <c:v>43322</c:v>
                </c:pt>
                <c:pt idx="79">
                  <c:v>43329</c:v>
                </c:pt>
                <c:pt idx="80">
                  <c:v>43336</c:v>
                </c:pt>
                <c:pt idx="81">
                  <c:v>43343</c:v>
                </c:pt>
                <c:pt idx="82">
                  <c:v>43350</c:v>
                </c:pt>
                <c:pt idx="83">
                  <c:v>43357</c:v>
                </c:pt>
                <c:pt idx="84">
                  <c:v>43364</c:v>
                </c:pt>
                <c:pt idx="85">
                  <c:v>43371</c:v>
                </c:pt>
                <c:pt idx="86">
                  <c:v>43378</c:v>
                </c:pt>
                <c:pt idx="87">
                  <c:v>43385</c:v>
                </c:pt>
                <c:pt idx="88">
                  <c:v>43392</c:v>
                </c:pt>
                <c:pt idx="89">
                  <c:v>43399</c:v>
                </c:pt>
                <c:pt idx="90">
                  <c:v>43413</c:v>
                </c:pt>
                <c:pt idx="91">
                  <c:v>43420</c:v>
                </c:pt>
                <c:pt idx="92">
                  <c:v>43427</c:v>
                </c:pt>
                <c:pt idx="93">
                  <c:v>43434</c:v>
                </c:pt>
                <c:pt idx="94">
                  <c:v>43441</c:v>
                </c:pt>
                <c:pt idx="95">
                  <c:v>43448</c:v>
                </c:pt>
                <c:pt idx="96">
                  <c:v>43455</c:v>
                </c:pt>
                <c:pt idx="97">
                  <c:v>43469</c:v>
                </c:pt>
                <c:pt idx="98">
                  <c:v>43476</c:v>
                </c:pt>
                <c:pt idx="99">
                  <c:v>43483</c:v>
                </c:pt>
                <c:pt idx="100">
                  <c:v>43490</c:v>
                </c:pt>
                <c:pt idx="101">
                  <c:v>43497</c:v>
                </c:pt>
                <c:pt idx="102">
                  <c:v>43504</c:v>
                </c:pt>
                <c:pt idx="103">
                  <c:v>43511</c:v>
                </c:pt>
                <c:pt idx="104">
                  <c:v>43518</c:v>
                </c:pt>
                <c:pt idx="105">
                  <c:v>43525</c:v>
                </c:pt>
                <c:pt idx="106">
                  <c:v>43539</c:v>
                </c:pt>
                <c:pt idx="107">
                  <c:v>43546</c:v>
                </c:pt>
                <c:pt idx="108">
                  <c:v>43553</c:v>
                </c:pt>
                <c:pt idx="109">
                  <c:v>43560</c:v>
                </c:pt>
                <c:pt idx="110">
                  <c:v>43567</c:v>
                </c:pt>
                <c:pt idx="111">
                  <c:v>43581</c:v>
                </c:pt>
                <c:pt idx="112">
                  <c:v>43588</c:v>
                </c:pt>
                <c:pt idx="113">
                  <c:v>43602</c:v>
                </c:pt>
                <c:pt idx="114">
                  <c:v>43616</c:v>
                </c:pt>
                <c:pt idx="115">
                  <c:v>43623</c:v>
                </c:pt>
                <c:pt idx="116">
                  <c:v>43630</c:v>
                </c:pt>
                <c:pt idx="117">
                  <c:v>43637</c:v>
                </c:pt>
                <c:pt idx="118">
                  <c:v>43644</c:v>
                </c:pt>
                <c:pt idx="119">
                  <c:v>43651</c:v>
                </c:pt>
                <c:pt idx="120">
                  <c:v>43658</c:v>
                </c:pt>
                <c:pt idx="121">
                  <c:v>43665</c:v>
                </c:pt>
                <c:pt idx="122">
                  <c:v>43672</c:v>
                </c:pt>
                <c:pt idx="123">
                  <c:v>43679</c:v>
                </c:pt>
                <c:pt idx="124">
                  <c:v>43686</c:v>
                </c:pt>
                <c:pt idx="125">
                  <c:v>43693</c:v>
                </c:pt>
                <c:pt idx="126">
                  <c:v>43700</c:v>
                </c:pt>
                <c:pt idx="127">
                  <c:v>43707</c:v>
                </c:pt>
                <c:pt idx="128">
                  <c:v>43714</c:v>
                </c:pt>
                <c:pt idx="129">
                  <c:v>43721</c:v>
                </c:pt>
                <c:pt idx="130">
                  <c:v>43728</c:v>
                </c:pt>
                <c:pt idx="131">
                  <c:v>43735</c:v>
                </c:pt>
                <c:pt idx="132">
                  <c:v>43742</c:v>
                </c:pt>
                <c:pt idx="133">
                  <c:v>43749</c:v>
                </c:pt>
                <c:pt idx="134">
                  <c:v>43756</c:v>
                </c:pt>
                <c:pt idx="135">
                  <c:v>43763</c:v>
                </c:pt>
                <c:pt idx="136">
                  <c:v>43770</c:v>
                </c:pt>
                <c:pt idx="137">
                  <c:v>43777</c:v>
                </c:pt>
                <c:pt idx="138">
                  <c:v>43784</c:v>
                </c:pt>
                <c:pt idx="139">
                  <c:v>43791</c:v>
                </c:pt>
                <c:pt idx="140">
                  <c:v>43805</c:v>
                </c:pt>
                <c:pt idx="141">
                  <c:v>43812</c:v>
                </c:pt>
                <c:pt idx="142">
                  <c:v>43819</c:v>
                </c:pt>
                <c:pt idx="143">
                  <c:v>43826</c:v>
                </c:pt>
                <c:pt idx="144">
                  <c:v>43833</c:v>
                </c:pt>
                <c:pt idx="145">
                  <c:v>43840</c:v>
                </c:pt>
                <c:pt idx="146">
                  <c:v>43847</c:v>
                </c:pt>
                <c:pt idx="147">
                  <c:v>43854</c:v>
                </c:pt>
                <c:pt idx="148">
                  <c:v>43861</c:v>
                </c:pt>
                <c:pt idx="149">
                  <c:v>43868</c:v>
                </c:pt>
                <c:pt idx="150">
                  <c:v>43875</c:v>
                </c:pt>
                <c:pt idx="151">
                  <c:v>43882</c:v>
                </c:pt>
                <c:pt idx="152">
                  <c:v>43889</c:v>
                </c:pt>
                <c:pt idx="153">
                  <c:v>43896</c:v>
                </c:pt>
                <c:pt idx="154">
                  <c:v>43903</c:v>
                </c:pt>
                <c:pt idx="155">
                  <c:v>43910</c:v>
                </c:pt>
                <c:pt idx="156">
                  <c:v>43917</c:v>
                </c:pt>
                <c:pt idx="157">
                  <c:v>43924</c:v>
                </c:pt>
                <c:pt idx="158">
                  <c:v>43938</c:v>
                </c:pt>
                <c:pt idx="159">
                  <c:v>43945</c:v>
                </c:pt>
                <c:pt idx="160">
                  <c:v>43966</c:v>
                </c:pt>
                <c:pt idx="161">
                  <c:v>43973</c:v>
                </c:pt>
                <c:pt idx="162">
                  <c:v>43980</c:v>
                </c:pt>
                <c:pt idx="163">
                  <c:v>43987</c:v>
                </c:pt>
                <c:pt idx="164">
                  <c:v>44001</c:v>
                </c:pt>
                <c:pt idx="165">
                  <c:v>44008</c:v>
                </c:pt>
                <c:pt idx="166">
                  <c:v>44022</c:v>
                </c:pt>
                <c:pt idx="167">
                  <c:v>44029</c:v>
                </c:pt>
                <c:pt idx="168">
                  <c:v>44036</c:v>
                </c:pt>
                <c:pt idx="169">
                  <c:v>44043</c:v>
                </c:pt>
                <c:pt idx="170">
                  <c:v>44050</c:v>
                </c:pt>
                <c:pt idx="171">
                  <c:v>44057</c:v>
                </c:pt>
                <c:pt idx="172">
                  <c:v>44064</c:v>
                </c:pt>
                <c:pt idx="173">
                  <c:v>44071</c:v>
                </c:pt>
                <c:pt idx="174">
                  <c:v>44078</c:v>
                </c:pt>
                <c:pt idx="175">
                  <c:v>44085</c:v>
                </c:pt>
                <c:pt idx="176">
                  <c:v>44092</c:v>
                </c:pt>
                <c:pt idx="177">
                  <c:v>44099</c:v>
                </c:pt>
                <c:pt idx="178">
                  <c:v>44106</c:v>
                </c:pt>
                <c:pt idx="179">
                  <c:v>44113</c:v>
                </c:pt>
                <c:pt idx="180">
                  <c:v>44120</c:v>
                </c:pt>
                <c:pt idx="181">
                  <c:v>44127</c:v>
                </c:pt>
                <c:pt idx="182">
                  <c:v>44134</c:v>
                </c:pt>
                <c:pt idx="183">
                  <c:v>44141</c:v>
                </c:pt>
                <c:pt idx="184">
                  <c:v>44148</c:v>
                </c:pt>
                <c:pt idx="185">
                  <c:v>44155</c:v>
                </c:pt>
                <c:pt idx="186">
                  <c:v>44162</c:v>
                </c:pt>
                <c:pt idx="187">
                  <c:v>44169</c:v>
                </c:pt>
                <c:pt idx="188">
                  <c:v>44176</c:v>
                </c:pt>
                <c:pt idx="189">
                  <c:v>44183</c:v>
                </c:pt>
                <c:pt idx="190">
                  <c:v>44204</c:v>
                </c:pt>
                <c:pt idx="191">
                  <c:v>44211</c:v>
                </c:pt>
                <c:pt idx="192">
                  <c:v>44218</c:v>
                </c:pt>
                <c:pt idx="193">
                  <c:v>44225</c:v>
                </c:pt>
                <c:pt idx="194">
                  <c:v>44232</c:v>
                </c:pt>
                <c:pt idx="195">
                  <c:v>44239</c:v>
                </c:pt>
                <c:pt idx="196">
                  <c:v>44246</c:v>
                </c:pt>
                <c:pt idx="197">
                  <c:v>44253</c:v>
                </c:pt>
                <c:pt idx="198">
                  <c:v>44260</c:v>
                </c:pt>
                <c:pt idx="199">
                  <c:v>44267</c:v>
                </c:pt>
                <c:pt idx="200">
                  <c:v>44274</c:v>
                </c:pt>
                <c:pt idx="201">
                  <c:v>44281</c:v>
                </c:pt>
                <c:pt idx="202">
                  <c:v>44295</c:v>
                </c:pt>
                <c:pt idx="203">
                  <c:v>44302</c:v>
                </c:pt>
                <c:pt idx="204">
                  <c:v>44309</c:v>
                </c:pt>
                <c:pt idx="205">
                  <c:v>44316</c:v>
                </c:pt>
                <c:pt idx="206">
                  <c:v>44323</c:v>
                </c:pt>
                <c:pt idx="207">
                  <c:v>44330</c:v>
                </c:pt>
                <c:pt idx="208">
                  <c:v>44337</c:v>
                </c:pt>
                <c:pt idx="209">
                  <c:v>44344</c:v>
                </c:pt>
                <c:pt idx="210">
                  <c:v>44351</c:v>
                </c:pt>
                <c:pt idx="211">
                  <c:v>44358</c:v>
                </c:pt>
                <c:pt idx="212">
                  <c:v>44365</c:v>
                </c:pt>
                <c:pt idx="213">
                  <c:v>44372</c:v>
                </c:pt>
                <c:pt idx="214">
                  <c:v>44379</c:v>
                </c:pt>
                <c:pt idx="215">
                  <c:v>44386</c:v>
                </c:pt>
                <c:pt idx="216">
                  <c:v>44393</c:v>
                </c:pt>
                <c:pt idx="217">
                  <c:v>44400</c:v>
                </c:pt>
                <c:pt idx="218">
                  <c:v>44407</c:v>
                </c:pt>
                <c:pt idx="219">
                  <c:v>44414</c:v>
                </c:pt>
                <c:pt idx="220">
                  <c:v>44421</c:v>
                </c:pt>
                <c:pt idx="221">
                  <c:v>44428</c:v>
                </c:pt>
                <c:pt idx="222">
                  <c:v>44435</c:v>
                </c:pt>
                <c:pt idx="223">
                  <c:v>44442</c:v>
                </c:pt>
                <c:pt idx="224">
                  <c:v>44449</c:v>
                </c:pt>
                <c:pt idx="225">
                  <c:v>44456</c:v>
                </c:pt>
                <c:pt idx="226">
                  <c:v>44463</c:v>
                </c:pt>
                <c:pt idx="227">
                  <c:v>44470</c:v>
                </c:pt>
                <c:pt idx="228">
                  <c:v>44477</c:v>
                </c:pt>
                <c:pt idx="229">
                  <c:v>44484</c:v>
                </c:pt>
                <c:pt idx="230">
                  <c:v>44491</c:v>
                </c:pt>
                <c:pt idx="231">
                  <c:v>44498</c:v>
                </c:pt>
                <c:pt idx="232">
                  <c:v>44505</c:v>
                </c:pt>
                <c:pt idx="233">
                  <c:v>44512</c:v>
                </c:pt>
                <c:pt idx="234">
                  <c:v>44519</c:v>
                </c:pt>
              </c:numCache>
            </c:numRef>
          </c:cat>
          <c:val>
            <c:numRef>
              <c:f>Expanded_regression!$M$4:$M$258</c:f>
              <c:numCache>
                <c:formatCode>#,##0</c:formatCode>
                <c:ptCount val="235"/>
                <c:pt idx="4" formatCode="#,##0.00">
                  <c:v>-1.9125000000000001</c:v>
                </c:pt>
                <c:pt idx="5" formatCode="#,##0.00">
                  <c:v>-1.7250000000000001</c:v>
                </c:pt>
                <c:pt idx="6" formatCode="#,##0.00">
                  <c:v>-1.7625</c:v>
                </c:pt>
                <c:pt idx="7" formatCode="#,##0.00">
                  <c:v>-1.8625000000000003</c:v>
                </c:pt>
                <c:pt idx="8" formatCode="#,##0.00">
                  <c:v>-2.0874999999999999</c:v>
                </c:pt>
                <c:pt idx="9" formatCode="#,##0.00">
                  <c:v>-2.15</c:v>
                </c:pt>
                <c:pt idx="10" formatCode="#,##0.00">
                  <c:v>-2.1124999999999998</c:v>
                </c:pt>
                <c:pt idx="11" formatCode="#,##0.00">
                  <c:v>-2.2000000000000002</c:v>
                </c:pt>
                <c:pt idx="12" formatCode="#,##0.00">
                  <c:v>-2.2749999999999999</c:v>
                </c:pt>
                <c:pt idx="13" formatCode="#,##0.00">
                  <c:v>-2.4500000000000002</c:v>
                </c:pt>
                <c:pt idx="14" formatCode="#,##0.00">
                  <c:v>-2.5074999999999998</c:v>
                </c:pt>
                <c:pt idx="15" formatCode="#,##0.00">
                  <c:v>-2.2825000000000002</c:v>
                </c:pt>
                <c:pt idx="16" formatCode="#,##0.00">
                  <c:v>-2.02</c:v>
                </c:pt>
                <c:pt idx="17" formatCode="#,##0.00">
                  <c:v>-1.8499999999999999</c:v>
                </c:pt>
                <c:pt idx="18" formatCode="#,##0.00">
                  <c:v>-1.5874999999999999</c:v>
                </c:pt>
                <c:pt idx="19" formatCode="#,##0.00">
                  <c:v>-1.4874999999999998</c:v>
                </c:pt>
                <c:pt idx="20" formatCode="#,##0.00">
                  <c:v>-1.4125000000000001</c:v>
                </c:pt>
                <c:pt idx="21" formatCode="#,##0.00">
                  <c:v>-1.3875000000000002</c:v>
                </c:pt>
                <c:pt idx="22" formatCode="#,##0.00">
                  <c:v>-1.375</c:v>
                </c:pt>
                <c:pt idx="23" formatCode="#,##0.00">
                  <c:v>-1.2875000000000001</c:v>
                </c:pt>
                <c:pt idx="24" formatCode="#,##0.00">
                  <c:v>-1.175</c:v>
                </c:pt>
                <c:pt idx="25" formatCode="#,##0.00">
                  <c:v>-1.075</c:v>
                </c:pt>
                <c:pt idx="26" formatCode="#,##0.00">
                  <c:v>-0.92500000000000004</c:v>
                </c:pt>
                <c:pt idx="27" formatCode="#,##0.00">
                  <c:v>-0.85</c:v>
                </c:pt>
                <c:pt idx="28" formatCode="#,##0.00">
                  <c:v>-0.78749999999999998</c:v>
                </c:pt>
                <c:pt idx="29" formatCode="#,##0.00">
                  <c:v>-0.6875</c:v>
                </c:pt>
                <c:pt idx="30" formatCode="#,##0.00">
                  <c:v>-0.58749999999999991</c:v>
                </c:pt>
                <c:pt idx="31" formatCode="#,##0.00">
                  <c:v>-0.45000000000000007</c:v>
                </c:pt>
                <c:pt idx="32" formatCode="#,##0.00">
                  <c:v>-0.4375</c:v>
                </c:pt>
                <c:pt idx="33" formatCode="#,##0.00">
                  <c:v>-0.61250000000000004</c:v>
                </c:pt>
                <c:pt idx="34" formatCode="#,##0.00">
                  <c:v>-0.86250000000000004</c:v>
                </c:pt>
                <c:pt idx="35" formatCode="#,##0.00">
                  <c:v>-1.1500000000000001</c:v>
                </c:pt>
                <c:pt idx="36" formatCode="#,##0.00">
                  <c:v>-1.5375000000000001</c:v>
                </c:pt>
                <c:pt idx="37" formatCode="#,##0.00">
                  <c:v>-1.7375</c:v>
                </c:pt>
                <c:pt idx="38" formatCode="#,##0.00">
                  <c:v>-1.9249999999999998</c:v>
                </c:pt>
                <c:pt idx="39" formatCode="#,##0.00">
                  <c:v>-1.8124999999999998</c:v>
                </c:pt>
                <c:pt idx="40" formatCode="#,##0.00">
                  <c:v>-1.6624999999999999</c:v>
                </c:pt>
                <c:pt idx="41" formatCode="#,##0.00">
                  <c:v>-1.3875</c:v>
                </c:pt>
                <c:pt idx="42" formatCode="#,##0.00">
                  <c:v>-1.4125000000000001</c:v>
                </c:pt>
                <c:pt idx="43" formatCode="#,##0.00">
                  <c:v>-1.2999999999999998</c:v>
                </c:pt>
                <c:pt idx="44" formatCode="#,##0.00">
                  <c:v>-0.96249999999999991</c:v>
                </c:pt>
                <c:pt idx="45" formatCode="#,##0.00">
                  <c:v>-0.93750000000000011</c:v>
                </c:pt>
                <c:pt idx="46" formatCode="#,##0.00">
                  <c:v>-0.85</c:v>
                </c:pt>
                <c:pt idx="47" formatCode="#,##0.00">
                  <c:v>-0.6875</c:v>
                </c:pt>
                <c:pt idx="48" formatCode="#,##0.00">
                  <c:v>-0.52500000000000002</c:v>
                </c:pt>
                <c:pt idx="49" formatCode="#,##0.00">
                  <c:v>-0.375</c:v>
                </c:pt>
                <c:pt idx="50" formatCode="#,##0.00">
                  <c:v>-0.3125</c:v>
                </c:pt>
                <c:pt idx="51" formatCode="#,##0.00">
                  <c:v>-0.36250000000000004</c:v>
                </c:pt>
                <c:pt idx="52" formatCode="#,##0.00">
                  <c:v>-0.5</c:v>
                </c:pt>
                <c:pt idx="53" formatCode="#,##0.00">
                  <c:v>-0.625</c:v>
                </c:pt>
                <c:pt idx="54" formatCode="#,##0.00">
                  <c:v>-0.65</c:v>
                </c:pt>
                <c:pt idx="55" formatCode="#,##0.00">
                  <c:v>-0.76250000000000007</c:v>
                </c:pt>
                <c:pt idx="56" formatCode="#,##0.00">
                  <c:v>-1.0125000000000002</c:v>
                </c:pt>
                <c:pt idx="57" formatCode="#,##0.00">
                  <c:v>-1.8000000000000003</c:v>
                </c:pt>
                <c:pt idx="58" formatCode="#,##0.00">
                  <c:v>-2.0874999999999999</c:v>
                </c:pt>
                <c:pt idx="59" formatCode="#,##0.00">
                  <c:v>-2.4249999999999998</c:v>
                </c:pt>
                <c:pt idx="60" formatCode="#,##0.00">
                  <c:v>-2.4250000000000003</c:v>
                </c:pt>
                <c:pt idx="61" formatCode="#,##0.00">
                  <c:v>-2.2875000000000001</c:v>
                </c:pt>
                <c:pt idx="62" formatCode="#,##0.00">
                  <c:v>-2.1124999999999998</c:v>
                </c:pt>
                <c:pt idx="63" formatCode="#,##0.00">
                  <c:v>-2.3875000000000002</c:v>
                </c:pt>
                <c:pt idx="64" formatCode="#,##0.00">
                  <c:v>-2.7374999999999998</c:v>
                </c:pt>
                <c:pt idx="65" formatCode="#,##0.00">
                  <c:v>-3.0249999999999999</c:v>
                </c:pt>
                <c:pt idx="66" formatCode="#,##0.00">
                  <c:v>-3.2249999999999996</c:v>
                </c:pt>
                <c:pt idx="67" formatCode="#,##0.00">
                  <c:v>-3.05</c:v>
                </c:pt>
                <c:pt idx="68" formatCode="#,##0.00">
                  <c:v>-2.5875000000000004</c:v>
                </c:pt>
                <c:pt idx="69" formatCode="#,##0.00">
                  <c:v>-2.0749999999999997</c:v>
                </c:pt>
                <c:pt idx="70" formatCode="#,##0.00">
                  <c:v>-1.65</c:v>
                </c:pt>
                <c:pt idx="71" formatCode="#,##0.00">
                  <c:v>-1.3624999999999998</c:v>
                </c:pt>
                <c:pt idx="72" formatCode="#,##0.00">
                  <c:v>-1.425</c:v>
                </c:pt>
                <c:pt idx="73" formatCode="#,##0.00">
                  <c:v>-1.6125</c:v>
                </c:pt>
                <c:pt idx="74" formatCode="#,##0.00">
                  <c:v>-1.6375000000000002</c:v>
                </c:pt>
                <c:pt idx="75" formatCode="#,##0.00">
                  <c:v>-1.7875000000000001</c:v>
                </c:pt>
                <c:pt idx="76" formatCode="#,##0.00">
                  <c:v>-1.9</c:v>
                </c:pt>
                <c:pt idx="77" formatCode="#,##0.00">
                  <c:v>-1.9625000000000001</c:v>
                </c:pt>
                <c:pt idx="78" formatCode="#,##0.00">
                  <c:v>-1.85</c:v>
                </c:pt>
                <c:pt idx="79" formatCode="#,##0.00">
                  <c:v>-1.5625</c:v>
                </c:pt>
                <c:pt idx="80" formatCode="#,##0.00">
                  <c:v>-1.2625000000000002</c:v>
                </c:pt>
                <c:pt idx="81" formatCode="#,##0.00">
                  <c:v>-1.1125</c:v>
                </c:pt>
                <c:pt idx="82" formatCode="#,##0.00">
                  <c:v>-0.78749999999999998</c:v>
                </c:pt>
                <c:pt idx="83" formatCode="#,##0.00">
                  <c:v>-0.57499999999999996</c:v>
                </c:pt>
                <c:pt idx="84" formatCode="#,##0.00">
                  <c:v>-0.48750000000000004</c:v>
                </c:pt>
                <c:pt idx="85" formatCode="#,##0.00">
                  <c:v>-0.75</c:v>
                </c:pt>
                <c:pt idx="86" formatCode="#,##0.00">
                  <c:v>-1.05</c:v>
                </c:pt>
                <c:pt idx="87" formatCode="#,##0.00">
                  <c:v>-1.4375</c:v>
                </c:pt>
                <c:pt idx="88" formatCode="#,##0.00">
                  <c:v>-1.8125</c:v>
                </c:pt>
                <c:pt idx="89" formatCode="#,##0.00">
                  <c:v>-1.9874999999999998</c:v>
                </c:pt>
                <c:pt idx="90" formatCode="#,##0.00">
                  <c:v>-1.675</c:v>
                </c:pt>
                <c:pt idx="91" formatCode="#,##0.00">
                  <c:v>-1.2124999999999999</c:v>
                </c:pt>
                <c:pt idx="92" formatCode="#,##0.00">
                  <c:v>-0.64999999999999991</c:v>
                </c:pt>
                <c:pt idx="93" formatCode="#,##0.00">
                  <c:v>-0.16250000000000001</c:v>
                </c:pt>
                <c:pt idx="94" formatCode="#,##0.00">
                  <c:v>-8.7500000000000008E-2</c:v>
                </c:pt>
                <c:pt idx="95" formatCode="#,##0.00">
                  <c:v>-9.9999999999999992E-2</c:v>
                </c:pt>
                <c:pt idx="96" formatCode="#,##0.00">
                  <c:v>-4.9999999999999906E-3</c:v>
                </c:pt>
                <c:pt idx="97" formatCode="#,##0.00">
                  <c:v>5.7500000000000009E-2</c:v>
                </c:pt>
                <c:pt idx="98" formatCode="#,##0.00">
                  <c:v>0.14500000000000002</c:v>
                </c:pt>
                <c:pt idx="99" formatCode="#,##0.00">
                  <c:v>0.05</c:v>
                </c:pt>
                <c:pt idx="100" formatCode="#,##0.00">
                  <c:v>6.25E-2</c:v>
                </c:pt>
                <c:pt idx="101" formatCode="#,##0.00">
                  <c:v>3.7499999999999999E-2</c:v>
                </c:pt>
                <c:pt idx="102" formatCode="#,##0.00">
                  <c:v>1.2499999999999997E-2</c:v>
                </c:pt>
                <c:pt idx="103" formatCode="#,##0.00">
                  <c:v>-3.7499999999999992E-2</c:v>
                </c:pt>
                <c:pt idx="104" formatCode="#,##0.00">
                  <c:v>-0.17500000000000002</c:v>
                </c:pt>
                <c:pt idx="105" formatCode="#,##0.00">
                  <c:v>-0.22500000000000003</c:v>
                </c:pt>
                <c:pt idx="106" formatCode="#,##0.00">
                  <c:v>-0.46250000000000002</c:v>
                </c:pt>
                <c:pt idx="107" formatCode="#,##0.00">
                  <c:v>-0.45</c:v>
                </c:pt>
                <c:pt idx="108" formatCode="#,##0.00">
                  <c:v>-0.53749999999999998</c:v>
                </c:pt>
                <c:pt idx="109" formatCode="#,##0.00">
                  <c:v>-0.39999999999999997</c:v>
                </c:pt>
                <c:pt idx="110" formatCode="#,##0.00">
                  <c:v>-8.7500000000000022E-2</c:v>
                </c:pt>
                <c:pt idx="111" formatCode="#,##0.00">
                  <c:v>1.2499999999999997E-2</c:v>
                </c:pt>
                <c:pt idx="112" formatCode="#,##0.00">
                  <c:v>0.11250000000000002</c:v>
                </c:pt>
                <c:pt idx="113" formatCode="#,##0.00">
                  <c:v>0.26250000000000001</c:v>
                </c:pt>
                <c:pt idx="114" formatCode="#,##0.00">
                  <c:v>4.9999999999999961E-2</c:v>
                </c:pt>
                <c:pt idx="115" formatCode="#,##0.00">
                  <c:v>-0.42499999999999999</c:v>
                </c:pt>
                <c:pt idx="116" formatCode="#,##0.00">
                  <c:v>-0.98750000000000004</c:v>
                </c:pt>
                <c:pt idx="117" formatCode="#,##0.00">
                  <c:v>-1.4624999999999999</c:v>
                </c:pt>
                <c:pt idx="118" formatCode="#,##0.00">
                  <c:v>-1.8250000000000002</c:v>
                </c:pt>
                <c:pt idx="119" formatCode="#,##0.00">
                  <c:v>-2.0250000000000004</c:v>
                </c:pt>
                <c:pt idx="120" formatCode="#,##0.00">
                  <c:v>-2.0249999999999999</c:v>
                </c:pt>
                <c:pt idx="121" formatCode="#,##0.00">
                  <c:v>-2.0375000000000001</c:v>
                </c:pt>
                <c:pt idx="122" formatCode="#,##0.00">
                  <c:v>-1.95</c:v>
                </c:pt>
                <c:pt idx="123" formatCode="#,##0.00">
                  <c:v>-1.45</c:v>
                </c:pt>
                <c:pt idx="124" formatCode="#,##0.00">
                  <c:v>-0.75</c:v>
                </c:pt>
                <c:pt idx="125" formatCode="#,##0.00">
                  <c:v>-0.3125</c:v>
                </c:pt>
                <c:pt idx="126" formatCode="#,##0.00">
                  <c:v>0</c:v>
                </c:pt>
                <c:pt idx="127" formatCode="#,##0.00">
                  <c:v>-0.23749999999999999</c:v>
                </c:pt>
                <c:pt idx="128" formatCode="#,##0.00">
                  <c:v>-0.6875</c:v>
                </c:pt>
                <c:pt idx="129" formatCode="#,##0.00">
                  <c:v>-1.175</c:v>
                </c:pt>
                <c:pt idx="130" formatCode="#,##0.00">
                  <c:v>-1.4</c:v>
                </c:pt>
                <c:pt idx="131" formatCode="#,##0.00">
                  <c:v>-1.4375</c:v>
                </c:pt>
                <c:pt idx="132" formatCode="#,##0.00">
                  <c:v>-1.9</c:v>
                </c:pt>
                <c:pt idx="133" formatCode="#,##0.00">
                  <c:v>-1.875</c:v>
                </c:pt>
                <c:pt idx="134" formatCode="#,##0.00">
                  <c:v>-1.8624999999999998</c:v>
                </c:pt>
                <c:pt idx="135" formatCode="#,##0.00">
                  <c:v>-2.1625000000000001</c:v>
                </c:pt>
                <c:pt idx="136" formatCode="#,##0.00">
                  <c:v>-1.6125000000000003</c:v>
                </c:pt>
                <c:pt idx="137" formatCode="#,##0.00">
                  <c:v>-0.98750000000000016</c:v>
                </c:pt>
                <c:pt idx="138" formatCode="#,##0.00">
                  <c:v>-0.48750000000000004</c:v>
                </c:pt>
                <c:pt idx="139" formatCode="#,##0.00">
                  <c:v>0.13750000000000001</c:v>
                </c:pt>
                <c:pt idx="140" formatCode="#,##0.00">
                  <c:v>-4.9999999999999968E-2</c:v>
                </c:pt>
                <c:pt idx="141" formatCode="#,##0.00">
                  <c:v>-0.85</c:v>
                </c:pt>
                <c:pt idx="142" formatCode="#,##0.00">
                  <c:v>-1.8166666666666667</c:v>
                </c:pt>
                <c:pt idx="143" formatCode="#,##0.00">
                  <c:v>-2.5333333333333332</c:v>
                </c:pt>
                <c:pt idx="144" formatCode="#,##0.00">
                  <c:v>-3.0374999999999996</c:v>
                </c:pt>
                <c:pt idx="145" formatCode="#,##0.00">
                  <c:v>-3.4124999999999996</c:v>
                </c:pt>
                <c:pt idx="146" formatCode="#,##0.00">
                  <c:v>-3.4000000000000004</c:v>
                </c:pt>
                <c:pt idx="147" formatCode="#,##0.00">
                  <c:v>-3.0625</c:v>
                </c:pt>
                <c:pt idx="148" formatCode="#,##0.00">
                  <c:v>-2.35</c:v>
                </c:pt>
                <c:pt idx="149" formatCode="#,##0.00">
                  <c:v>-1.7250000000000001</c:v>
                </c:pt>
                <c:pt idx="150" formatCode="#,##0.00">
                  <c:v>-1.4875</c:v>
                </c:pt>
                <c:pt idx="151" formatCode="#,##0.00">
                  <c:v>-1.2750000000000001</c:v>
                </c:pt>
                <c:pt idx="152" formatCode="#,##0.00">
                  <c:v>-1.3374999999999999</c:v>
                </c:pt>
                <c:pt idx="153" formatCode="#,##0.00">
                  <c:v>-1.6375</c:v>
                </c:pt>
                <c:pt idx="154" formatCode="#,##0.00">
                  <c:v>-1.6750000000000003</c:v>
                </c:pt>
                <c:pt idx="155" formatCode="#,##0.00">
                  <c:v>-2.2375000000000003</c:v>
                </c:pt>
                <c:pt idx="156" formatCode="#,##0.00">
                  <c:v>-2.8</c:v>
                </c:pt>
                <c:pt idx="157" formatCode="#,##0.00">
                  <c:v>-3.3374999999999999</c:v>
                </c:pt>
                <c:pt idx="158" formatCode="#,##0.00">
                  <c:v>-4.1500000000000004</c:v>
                </c:pt>
                <c:pt idx="159" formatCode="#,##0.00">
                  <c:v>-4.1749999999999998</c:v>
                </c:pt>
                <c:pt idx="160" formatCode="#,##0.00">
                  <c:v>-1.1499999999999999</c:v>
                </c:pt>
                <c:pt idx="161" formatCode="#,##0.00">
                  <c:v>0.41666666666666669</c:v>
                </c:pt>
                <c:pt idx="162" formatCode="#,##0.00">
                  <c:v>0.54999999999999993</c:v>
                </c:pt>
                <c:pt idx="163" formatCode="#,##0.00">
                  <c:v>0.94999999999999984</c:v>
                </c:pt>
                <c:pt idx="164" formatCode="#,##0.00">
                  <c:v>1.3125</c:v>
                </c:pt>
                <c:pt idx="165" formatCode="#,##0.00">
                  <c:v>1.5125</c:v>
                </c:pt>
                <c:pt idx="166" formatCode="#,##0.00">
                  <c:v>1.5375000000000001</c:v>
                </c:pt>
                <c:pt idx="167" formatCode="#,##0.00">
                  <c:v>1.45</c:v>
                </c:pt>
                <c:pt idx="168" formatCode="#,##0.00">
                  <c:v>1.325</c:v>
                </c:pt>
                <c:pt idx="169" formatCode="#,##0.00">
                  <c:v>0.89999999999999991</c:v>
                </c:pt>
                <c:pt idx="170" formatCode="#,##0.00">
                  <c:v>0.57500000000000007</c:v>
                </c:pt>
                <c:pt idx="171" formatCode="#,##0.00">
                  <c:v>0.1875</c:v>
                </c:pt>
                <c:pt idx="172" formatCode="#,##0.00">
                  <c:v>-0.33750000000000002</c:v>
                </c:pt>
                <c:pt idx="173" formatCode="#,##0.00">
                  <c:v>-0.48750000000000004</c:v>
                </c:pt>
                <c:pt idx="174" formatCode="#,##0.00">
                  <c:v>-0.28749999999999998</c:v>
                </c:pt>
                <c:pt idx="175" formatCode="#,##0.00">
                  <c:v>2.5000000000000022E-2</c:v>
                </c:pt>
                <c:pt idx="176" formatCode="#,##0.00">
                  <c:v>0.19999999999999998</c:v>
                </c:pt>
                <c:pt idx="177" formatCode="#,##0.00">
                  <c:v>0.19999999999999998</c:v>
                </c:pt>
                <c:pt idx="178" formatCode="#,##0.00">
                  <c:v>3.7500000000000012E-2</c:v>
                </c:pt>
                <c:pt idx="179" formatCode="#,##0.00">
                  <c:v>-0.17499999999999999</c:v>
                </c:pt>
                <c:pt idx="180" formatCode="#,##0.00">
                  <c:v>-0.17499999999999999</c:v>
                </c:pt>
                <c:pt idx="181" formatCode="#,##0.00">
                  <c:v>3.7500000000000006E-2</c:v>
                </c:pt>
                <c:pt idx="182" formatCode="#,##0.00">
                  <c:v>0.1</c:v>
                </c:pt>
                <c:pt idx="183" formatCode="#,##0.00">
                  <c:v>0.3</c:v>
                </c:pt>
                <c:pt idx="184" formatCode="#,##0.00">
                  <c:v>0.44999999999999996</c:v>
                </c:pt>
                <c:pt idx="185" formatCode="#,##0.00">
                  <c:v>0.38749999999999996</c:v>
                </c:pt>
                <c:pt idx="186" formatCode="#,##0.00">
                  <c:v>0.38749999999999996</c:v>
                </c:pt>
                <c:pt idx="187" formatCode="#,##0.00">
                  <c:v>0.19999999999999998</c:v>
                </c:pt>
                <c:pt idx="188" formatCode="#,##0.00">
                  <c:v>-2.5000000000000022E-2</c:v>
                </c:pt>
                <c:pt idx="189" formatCode="#,##0.00">
                  <c:v>-0.25</c:v>
                </c:pt>
                <c:pt idx="190" formatCode="#,##0.00">
                  <c:v>-1.1500000000000001</c:v>
                </c:pt>
                <c:pt idx="191" formatCode="#,##0.00">
                  <c:v>-1.3999999999999997</c:v>
                </c:pt>
                <c:pt idx="192" formatCode="#,##0.00">
                  <c:v>-1.1666666666666667</c:v>
                </c:pt>
                <c:pt idx="193" formatCode="#,##0.00">
                  <c:v>-0.66666666666666663</c:v>
                </c:pt>
                <c:pt idx="194" formatCode="#,##0.00">
                  <c:v>-0.65</c:v>
                </c:pt>
                <c:pt idx="195" formatCode="#,##0.00">
                  <c:v>-0.48749999999999999</c:v>
                </c:pt>
                <c:pt idx="196" formatCode="#,##0.00">
                  <c:v>-0.78750000000000009</c:v>
                </c:pt>
                <c:pt idx="197" formatCode="#,##0.00">
                  <c:v>-1.2375</c:v>
                </c:pt>
                <c:pt idx="198" formatCode="#,##0.00">
                  <c:v>-1.5374999999999999</c:v>
                </c:pt>
                <c:pt idx="199" formatCode="#,##0.00">
                  <c:v>-1.925</c:v>
                </c:pt>
                <c:pt idx="200" formatCode="#,##0.00">
                  <c:v>-2.0875000000000004</c:v>
                </c:pt>
                <c:pt idx="201" formatCode="#,##0.00">
                  <c:v>-2.0874999999999999</c:v>
                </c:pt>
                <c:pt idx="202" formatCode="#,##0.00">
                  <c:v>-2.1124999999999998</c:v>
                </c:pt>
                <c:pt idx="203" formatCode="#,##0.00">
                  <c:v>-2.15</c:v>
                </c:pt>
                <c:pt idx="204" formatCode="#,##0.00">
                  <c:v>-2.3375000000000004</c:v>
                </c:pt>
                <c:pt idx="205" formatCode="#,##0.00">
                  <c:v>-2.4375</c:v>
                </c:pt>
                <c:pt idx="206" formatCode="#,##0.00">
                  <c:v>-2.5875000000000004</c:v>
                </c:pt>
                <c:pt idx="207" formatCode="#,##0.00">
                  <c:v>-2.3875000000000002</c:v>
                </c:pt>
                <c:pt idx="208" formatCode="#,##0.00">
                  <c:v>-2.1875</c:v>
                </c:pt>
                <c:pt idx="209" formatCode="#,##0.00">
                  <c:v>-2.0750000000000002</c:v>
                </c:pt>
                <c:pt idx="210" formatCode="#,##0.00">
                  <c:v>-1.7999999999999998</c:v>
                </c:pt>
                <c:pt idx="211" formatCode="#,##0.00">
                  <c:v>-1.675</c:v>
                </c:pt>
                <c:pt idx="212" formatCode="#,##0.00">
                  <c:v>-1.65</c:v>
                </c:pt>
                <c:pt idx="213" formatCode="#,##0.00">
                  <c:v>-1.5500000000000003</c:v>
                </c:pt>
                <c:pt idx="214" formatCode="#,##0.00">
                  <c:v>-1.5874999999999999</c:v>
                </c:pt>
                <c:pt idx="215" formatCode="#,##0.00">
                  <c:v>-1.7999999999999998</c:v>
                </c:pt>
                <c:pt idx="216" formatCode="#,##0.00">
                  <c:v>-2.0499999999999998</c:v>
                </c:pt>
                <c:pt idx="217" formatCode="#,##0.00">
                  <c:v>-2.3624999999999998</c:v>
                </c:pt>
                <c:pt idx="218" formatCode="#,##0.00">
                  <c:v>-2.5499999999999998</c:v>
                </c:pt>
                <c:pt idx="219" formatCode="#,##0.00">
                  <c:v>-2.6125000000000003</c:v>
                </c:pt>
                <c:pt idx="220" formatCode="#,##0.00">
                  <c:v>-2.4375</c:v>
                </c:pt>
                <c:pt idx="221" formatCode="#,##0.00">
                  <c:v>-2.2750000000000004</c:v>
                </c:pt>
                <c:pt idx="222" formatCode="#,##0.00">
                  <c:v>-2.2625000000000002</c:v>
                </c:pt>
                <c:pt idx="223" formatCode="#,##0.00">
                  <c:v>-2.1375000000000002</c:v>
                </c:pt>
                <c:pt idx="224" formatCode="#,##0.00">
                  <c:v>-2.0375000000000001</c:v>
                </c:pt>
                <c:pt idx="225" formatCode="#,##0.00">
                  <c:v>-1.7249999999999999</c:v>
                </c:pt>
                <c:pt idx="226" formatCode="#,##0.00">
                  <c:v>-1.7375</c:v>
                </c:pt>
                <c:pt idx="227" formatCode="#,##0.00">
                  <c:v>-1.875</c:v>
                </c:pt>
                <c:pt idx="228" formatCode="#,##0.00">
                  <c:v>-2</c:v>
                </c:pt>
                <c:pt idx="229" formatCode="#,##0.00">
                  <c:v>-2.2875000000000001</c:v>
                </c:pt>
                <c:pt idx="230" formatCode="#,##0.00">
                  <c:v>-2.2000000000000002</c:v>
                </c:pt>
                <c:pt idx="231" formatCode="#,##0.00">
                  <c:v>-2.0375000000000001</c:v>
                </c:pt>
                <c:pt idx="232" formatCode="#,##0.00">
                  <c:v>-1.875</c:v>
                </c:pt>
                <c:pt idx="233" formatCode="#,##0.00">
                  <c:v>-1.7374999999999998</c:v>
                </c:pt>
                <c:pt idx="234" formatCode="#,##0.00">
                  <c:v>-1.5625000000000002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C-4F11-AC2C-F6AB955B7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935423"/>
        <c:axId val="1991952479"/>
      </c:lineChart>
      <c:dateAx>
        <c:axId val="199193542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952479"/>
        <c:crosses val="autoZero"/>
        <c:auto val="1"/>
        <c:lblOffset val="100"/>
        <c:baseTimeUnit val="days"/>
      </c:dateAx>
      <c:valAx>
        <c:axId val="199195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Price ($/bbl)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9354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89645</xdr:colOff>
      <xdr:row>0</xdr:row>
      <xdr:rowOff>22412</xdr:rowOff>
    </xdr:from>
    <xdr:to>
      <xdr:col>7</xdr:col>
      <xdr:colOff>613833</xdr:colOff>
      <xdr:row>19</xdr:row>
      <xdr:rowOff>97554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86AD3-88BC-44F0-AFFE-1A8E54315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328084</xdr:colOff>
      <xdr:row>0</xdr:row>
      <xdr:rowOff>82553</xdr:rowOff>
    </xdr:from>
    <xdr:to>
      <xdr:col>16</xdr:col>
      <xdr:colOff>603250</xdr:colOff>
      <xdr:row>20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0E4CC-8EC2-4402-8B44-3F2B4D730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43392</xdr:rowOff>
    </xdr:from>
    <xdr:to>
      <xdr:col>7</xdr:col>
      <xdr:colOff>529166</xdr:colOff>
      <xdr:row>40</xdr:row>
      <xdr:rowOff>136963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C29D33-1D31-4436-9AA4-A7F1C20E2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137585</xdr:colOff>
      <xdr:row>20</xdr:row>
      <xdr:rowOff>62941</xdr:rowOff>
    </xdr:from>
    <xdr:to>
      <xdr:col>16</xdr:col>
      <xdr:colOff>666751</xdr:colOff>
      <xdr:row>41</xdr:row>
      <xdr:rowOff>52297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ABB56B-E6DC-42CA-B554-68F13F079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44822</xdr:colOff>
      <xdr:row>41</xdr:row>
      <xdr:rowOff>99237</xdr:rowOff>
    </xdr:from>
    <xdr:to>
      <xdr:col>7</xdr:col>
      <xdr:colOff>571500</xdr:colOff>
      <xdr:row>62</xdr:row>
      <xdr:rowOff>63502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9A2F2A-BD9C-484A-8151-107C1ED02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211667</xdr:colOff>
      <xdr:row>41</xdr:row>
      <xdr:rowOff>171514</xdr:rowOff>
    </xdr:from>
    <xdr:to>
      <xdr:col>16</xdr:col>
      <xdr:colOff>613833</xdr:colOff>
      <xdr:row>63</xdr:row>
      <xdr:rowOff>28016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3FDAA4-0F81-4F00-ADD7-9AF22963F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34635</xdr:colOff>
      <xdr:row>63</xdr:row>
      <xdr:rowOff>1</xdr:rowOff>
    </xdr:from>
    <xdr:to>
      <xdr:col>7</xdr:col>
      <xdr:colOff>571500</xdr:colOff>
      <xdr:row>84</xdr:row>
      <xdr:rowOff>136623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B464CD-F762-4617-920E-4CC3A490C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95250</xdr:colOff>
      <xdr:row>62</xdr:row>
      <xdr:rowOff>127002</xdr:rowOff>
    </xdr:from>
    <xdr:to>
      <xdr:col>16</xdr:col>
      <xdr:colOff>635001</xdr:colOff>
      <xdr:row>84</xdr:row>
      <xdr:rowOff>79066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D4A210-2933-4145-BFFE-FE52457AF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47625</xdr:rowOff>
    </xdr:from>
    <xdr:to>
      <xdr:col>7</xdr:col>
      <xdr:colOff>666750</xdr:colOff>
      <xdr:row>19</xdr:row>
      <xdr:rowOff>84669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FC089-B81F-4AE0-8D71-603CE93EB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42333</xdr:colOff>
      <xdr:row>0</xdr:row>
      <xdr:rowOff>89960</xdr:rowOff>
    </xdr:from>
    <xdr:to>
      <xdr:col>15</xdr:col>
      <xdr:colOff>634999</xdr:colOff>
      <xdr:row>19</xdr:row>
      <xdr:rowOff>10582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7C028-612F-4DFE-B76B-CB1311AA4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84667</xdr:colOff>
      <xdr:row>19</xdr:row>
      <xdr:rowOff>0</xdr:rowOff>
    </xdr:from>
    <xdr:to>
      <xdr:col>7</xdr:col>
      <xdr:colOff>666750</xdr:colOff>
      <xdr:row>35</xdr:row>
      <xdr:rowOff>55035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6B0013-7BD7-49B8-82D8-6F97F27D4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95250</xdr:colOff>
      <xdr:row>18</xdr:row>
      <xdr:rowOff>137583</xdr:rowOff>
    </xdr:from>
    <xdr:to>
      <xdr:col>15</xdr:col>
      <xdr:colOff>635000</xdr:colOff>
      <xdr:row>35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604E9E-A59D-4C14-9574-849B7B778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63499</xdr:colOff>
      <xdr:row>35</xdr:row>
      <xdr:rowOff>10584</xdr:rowOff>
    </xdr:from>
    <xdr:to>
      <xdr:col>7</xdr:col>
      <xdr:colOff>592665</xdr:colOff>
      <xdr:row>51</xdr:row>
      <xdr:rowOff>116417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DF5A9E-B78E-40D6-BC64-186DD092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63501</xdr:colOff>
      <xdr:row>34</xdr:row>
      <xdr:rowOff>158749</xdr:rowOff>
    </xdr:from>
    <xdr:to>
      <xdr:col>15</xdr:col>
      <xdr:colOff>603250</xdr:colOff>
      <xdr:row>51</xdr:row>
      <xdr:rowOff>126999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6F670D-CB18-4FB7-AD1C-A360E53FE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eve-my.sharepoint.com/A1CAF74E/Urals%20weekly%20loadings%20vessel%20status%20weekly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ls weekly loadings 2017"/>
      <sheetName val="Urals weekly loadings 2018"/>
      <sheetName val="Urals weekly loadings 2019"/>
      <sheetName val="Urals weekly loadings 2020"/>
      <sheetName val="Urals weekly loadings 2021"/>
      <sheetName val="Urals Monthly loadings 2022 ADJ"/>
      <sheetName val="Urals weekly loadings 2022"/>
      <sheetName val="Urals_weekly_range"/>
    </sheetNames>
    <sheetDataSet>
      <sheetData sheetId="0">
        <row r="4">
          <cell r="F4">
            <v>15769001</v>
          </cell>
        </row>
        <row r="5">
          <cell r="F5">
            <v>13918639</v>
          </cell>
        </row>
        <row r="6">
          <cell r="F6">
            <v>14805846</v>
          </cell>
        </row>
        <row r="7">
          <cell r="F7">
            <v>13775694</v>
          </cell>
        </row>
        <row r="8">
          <cell r="F8">
            <v>13326052</v>
          </cell>
        </row>
        <row r="9">
          <cell r="F9">
            <v>15387914</v>
          </cell>
        </row>
        <row r="10">
          <cell r="F10">
            <v>14753986</v>
          </cell>
        </row>
        <row r="11">
          <cell r="F11">
            <v>17321594</v>
          </cell>
        </row>
        <row r="12">
          <cell r="F12">
            <v>19164475</v>
          </cell>
        </row>
        <row r="13">
          <cell r="F13">
            <v>14544394</v>
          </cell>
        </row>
        <row r="14">
          <cell r="F14">
            <v>13618943</v>
          </cell>
        </row>
        <row r="15">
          <cell r="F15">
            <v>17771786</v>
          </cell>
        </row>
        <row r="16">
          <cell r="F16">
            <v>16000044</v>
          </cell>
        </row>
        <row r="17">
          <cell r="F17">
            <v>16787282</v>
          </cell>
        </row>
        <row r="18">
          <cell r="F18">
            <v>15824721</v>
          </cell>
        </row>
        <row r="19">
          <cell r="F19">
            <v>19364895</v>
          </cell>
        </row>
        <row r="20">
          <cell r="F20">
            <v>15026917</v>
          </cell>
        </row>
        <row r="21">
          <cell r="F21">
            <v>16171206</v>
          </cell>
        </row>
        <row r="22">
          <cell r="F22">
            <v>12292495</v>
          </cell>
        </row>
        <row r="23">
          <cell r="F23">
            <v>15716132</v>
          </cell>
        </row>
        <row r="24">
          <cell r="F24">
            <v>17181025</v>
          </cell>
        </row>
        <row r="25">
          <cell r="F25">
            <v>14797229</v>
          </cell>
        </row>
        <row r="26">
          <cell r="F26">
            <v>11127747</v>
          </cell>
        </row>
        <row r="27">
          <cell r="F27">
            <v>11772141</v>
          </cell>
        </row>
        <row r="28">
          <cell r="F28">
            <v>17090410</v>
          </cell>
        </row>
        <row r="29">
          <cell r="F29">
            <v>13176643</v>
          </cell>
        </row>
        <row r="30">
          <cell r="F30">
            <v>11891712</v>
          </cell>
        </row>
        <row r="31">
          <cell r="F31">
            <v>11141171</v>
          </cell>
        </row>
        <row r="32">
          <cell r="F32">
            <v>12773066</v>
          </cell>
        </row>
        <row r="33">
          <cell r="F33">
            <v>16733085</v>
          </cell>
        </row>
        <row r="34">
          <cell r="F34">
            <v>13382407</v>
          </cell>
        </row>
        <row r="35">
          <cell r="F35">
            <v>10139359</v>
          </cell>
        </row>
        <row r="36">
          <cell r="F36">
            <v>15254483</v>
          </cell>
        </row>
        <row r="37">
          <cell r="F37">
            <v>15313857</v>
          </cell>
        </row>
        <row r="38">
          <cell r="F38">
            <v>13031411</v>
          </cell>
        </row>
        <row r="39">
          <cell r="F39">
            <v>16454237</v>
          </cell>
        </row>
        <row r="40">
          <cell r="F40">
            <v>14075355</v>
          </cell>
        </row>
        <row r="41">
          <cell r="F41">
            <v>13132104</v>
          </cell>
        </row>
        <row r="42">
          <cell r="F42">
            <v>15375432</v>
          </cell>
        </row>
        <row r="43">
          <cell r="F43">
            <v>14956929</v>
          </cell>
        </row>
        <row r="44">
          <cell r="F44">
            <v>16931079</v>
          </cell>
        </row>
        <row r="45">
          <cell r="F45">
            <v>14802135</v>
          </cell>
        </row>
        <row r="46">
          <cell r="F46">
            <v>13529937</v>
          </cell>
        </row>
        <row r="47">
          <cell r="F47">
            <v>15532368</v>
          </cell>
        </row>
        <row r="48">
          <cell r="F48">
            <v>13050065</v>
          </cell>
        </row>
        <row r="49">
          <cell r="F49">
            <v>12317332</v>
          </cell>
        </row>
        <row r="50">
          <cell r="F50">
            <v>14674661</v>
          </cell>
        </row>
        <row r="51">
          <cell r="F51">
            <v>11131437</v>
          </cell>
        </row>
        <row r="52">
          <cell r="F52">
            <v>12499903</v>
          </cell>
        </row>
        <row r="53">
          <cell r="F53">
            <v>9237218</v>
          </cell>
        </row>
        <row r="54">
          <cell r="F54">
            <v>18291858</v>
          </cell>
        </row>
        <row r="55">
          <cell r="F55">
            <v>14537122.076923076</v>
          </cell>
        </row>
      </sheetData>
      <sheetData sheetId="1">
        <row r="4">
          <cell r="F4">
            <v>11719757</v>
          </cell>
        </row>
        <row r="5">
          <cell r="F5">
            <v>8962554</v>
          </cell>
        </row>
        <row r="6">
          <cell r="F6">
            <v>14081845</v>
          </cell>
        </row>
        <row r="7">
          <cell r="F7">
            <v>13774279</v>
          </cell>
        </row>
        <row r="8">
          <cell r="F8">
            <v>13335076</v>
          </cell>
        </row>
        <row r="9">
          <cell r="F9">
            <v>9087010</v>
          </cell>
        </row>
        <row r="10">
          <cell r="F10">
            <v>16106975</v>
          </cell>
        </row>
        <row r="11">
          <cell r="F11">
            <v>11278141</v>
          </cell>
        </row>
        <row r="12">
          <cell r="F12">
            <v>12592434</v>
          </cell>
        </row>
        <row r="13">
          <cell r="F13">
            <v>13182709</v>
          </cell>
        </row>
        <row r="14">
          <cell r="F14">
            <v>12167924</v>
          </cell>
        </row>
        <row r="15">
          <cell r="F15">
            <v>13440643</v>
          </cell>
        </row>
        <row r="16">
          <cell r="F16">
            <v>11263647</v>
          </cell>
        </row>
        <row r="17">
          <cell r="F17">
            <v>11993206</v>
          </cell>
        </row>
        <row r="18">
          <cell r="F18">
            <v>14103084</v>
          </cell>
        </row>
        <row r="19">
          <cell r="F19">
            <v>14144989</v>
          </cell>
        </row>
        <row r="20">
          <cell r="F20">
            <v>12723430</v>
          </cell>
        </row>
        <row r="21">
          <cell r="F21">
            <v>12269347</v>
          </cell>
        </row>
        <row r="22">
          <cell r="F22">
            <v>12173889</v>
          </cell>
        </row>
        <row r="23">
          <cell r="F23">
            <v>14133569</v>
          </cell>
        </row>
        <row r="24">
          <cell r="F24">
            <v>11336916</v>
          </cell>
        </row>
        <row r="25">
          <cell r="F25">
            <v>11556346</v>
          </cell>
        </row>
        <row r="26">
          <cell r="F26">
            <v>10262924</v>
          </cell>
        </row>
        <row r="27">
          <cell r="F27">
            <v>11823928</v>
          </cell>
        </row>
        <row r="28">
          <cell r="F28">
            <v>12705100</v>
          </cell>
        </row>
        <row r="29">
          <cell r="F29">
            <v>12154550</v>
          </cell>
        </row>
        <row r="30">
          <cell r="F30">
            <v>11872963</v>
          </cell>
        </row>
        <row r="31">
          <cell r="F31">
            <v>8501131</v>
          </cell>
        </row>
        <row r="32">
          <cell r="F32">
            <v>12932098</v>
          </cell>
        </row>
        <row r="33">
          <cell r="F33">
            <v>14682023</v>
          </cell>
        </row>
        <row r="34">
          <cell r="F34">
            <v>10249712</v>
          </cell>
        </row>
        <row r="35">
          <cell r="F35">
            <v>13625865</v>
          </cell>
        </row>
        <row r="36">
          <cell r="F36">
            <v>12178792</v>
          </cell>
        </row>
        <row r="37">
          <cell r="F37">
            <v>14978577</v>
          </cell>
        </row>
        <row r="38">
          <cell r="F38">
            <v>10403537</v>
          </cell>
        </row>
        <row r="39">
          <cell r="F39">
            <v>12594950</v>
          </cell>
        </row>
        <row r="40">
          <cell r="F40">
            <v>10299989</v>
          </cell>
        </row>
        <row r="41">
          <cell r="F41">
            <v>14163373</v>
          </cell>
        </row>
        <row r="42">
          <cell r="F42">
            <v>11867818</v>
          </cell>
        </row>
        <row r="43">
          <cell r="F43">
            <v>11431820</v>
          </cell>
        </row>
        <row r="44">
          <cell r="F44">
            <v>15115835</v>
          </cell>
        </row>
        <row r="45">
          <cell r="F45">
            <v>17228527</v>
          </cell>
        </row>
        <row r="46">
          <cell r="F46">
            <v>13278771</v>
          </cell>
        </row>
        <row r="47">
          <cell r="F47">
            <v>13535904</v>
          </cell>
        </row>
        <row r="48">
          <cell r="F48">
            <v>14945416</v>
          </cell>
        </row>
        <row r="49">
          <cell r="F49">
            <v>11587197</v>
          </cell>
        </row>
        <row r="50">
          <cell r="F50">
            <v>13159674</v>
          </cell>
        </row>
        <row r="51">
          <cell r="F51">
            <v>12162211</v>
          </cell>
        </row>
        <row r="52">
          <cell r="F52">
            <v>12786168</v>
          </cell>
        </row>
        <row r="53">
          <cell r="F53">
            <v>13047650</v>
          </cell>
        </row>
        <row r="54">
          <cell r="F54">
            <v>14660001</v>
          </cell>
        </row>
        <row r="55">
          <cell r="F55">
            <v>12628603.403846154</v>
          </cell>
        </row>
      </sheetData>
      <sheetData sheetId="2">
        <row r="4">
          <cell r="F4">
            <v>10899529</v>
          </cell>
        </row>
        <row r="5">
          <cell r="F5">
            <v>11348034</v>
          </cell>
        </row>
        <row r="6">
          <cell r="F6">
            <v>12483391</v>
          </cell>
        </row>
        <row r="7">
          <cell r="F7">
            <v>13469005</v>
          </cell>
        </row>
        <row r="8">
          <cell r="F8">
            <v>12893212</v>
          </cell>
        </row>
        <row r="9">
          <cell r="F9">
            <v>11871381</v>
          </cell>
        </row>
        <row r="10">
          <cell r="F10">
            <v>14983893</v>
          </cell>
        </row>
        <row r="11">
          <cell r="F11">
            <v>13782133</v>
          </cell>
        </row>
        <row r="12">
          <cell r="F12">
            <v>12886930</v>
          </cell>
        </row>
        <row r="13">
          <cell r="F13">
            <v>12451617</v>
          </cell>
        </row>
        <row r="14">
          <cell r="F14">
            <v>15217567</v>
          </cell>
        </row>
        <row r="15">
          <cell r="F15">
            <v>13954501</v>
          </cell>
        </row>
        <row r="16">
          <cell r="F16">
            <v>14945215</v>
          </cell>
        </row>
        <row r="17">
          <cell r="F17">
            <v>14671770</v>
          </cell>
        </row>
        <row r="18">
          <cell r="F18">
            <v>13335884</v>
          </cell>
        </row>
        <row r="19">
          <cell r="F19">
            <v>16389007</v>
          </cell>
        </row>
        <row r="20">
          <cell r="F20">
            <v>14971592</v>
          </cell>
        </row>
        <row r="21">
          <cell r="F21">
            <v>16994558</v>
          </cell>
        </row>
        <row r="22">
          <cell r="F22">
            <v>16997541</v>
          </cell>
        </row>
        <row r="23">
          <cell r="F23">
            <v>16849869</v>
          </cell>
        </row>
        <row r="24">
          <cell r="F24">
            <v>16856560</v>
          </cell>
        </row>
        <row r="25">
          <cell r="F25">
            <v>15680388</v>
          </cell>
        </row>
        <row r="26">
          <cell r="F26">
            <v>15390143</v>
          </cell>
        </row>
        <row r="27">
          <cell r="F27">
            <v>17729510</v>
          </cell>
        </row>
        <row r="28">
          <cell r="F28">
            <v>16126575</v>
          </cell>
        </row>
        <row r="29">
          <cell r="F29">
            <v>14647157</v>
          </cell>
        </row>
        <row r="30">
          <cell r="F30">
            <v>14802804</v>
          </cell>
        </row>
        <row r="31">
          <cell r="F31">
            <v>12898243</v>
          </cell>
        </row>
        <row r="32">
          <cell r="F32">
            <v>15112504</v>
          </cell>
        </row>
        <row r="33">
          <cell r="F33">
            <v>12014945</v>
          </cell>
        </row>
        <row r="34">
          <cell r="F34">
            <v>13182809</v>
          </cell>
        </row>
        <row r="35">
          <cell r="F35">
            <v>11866617</v>
          </cell>
        </row>
        <row r="36">
          <cell r="F36">
            <v>13980131</v>
          </cell>
        </row>
        <row r="37">
          <cell r="F37">
            <v>13765048</v>
          </cell>
        </row>
        <row r="38">
          <cell r="F38">
            <v>14058458</v>
          </cell>
        </row>
        <row r="39">
          <cell r="F39">
            <v>12305294</v>
          </cell>
        </row>
        <row r="40">
          <cell r="F40">
            <v>16413849</v>
          </cell>
        </row>
        <row r="41">
          <cell r="F41">
            <v>15368207</v>
          </cell>
        </row>
        <row r="42">
          <cell r="F42">
            <v>14949161</v>
          </cell>
        </row>
        <row r="43">
          <cell r="F43">
            <v>13163153</v>
          </cell>
        </row>
        <row r="44">
          <cell r="F44">
            <v>18023241</v>
          </cell>
        </row>
        <row r="45">
          <cell r="F45">
            <v>15123148</v>
          </cell>
        </row>
        <row r="46">
          <cell r="F46">
            <v>14196672</v>
          </cell>
        </row>
        <row r="47">
          <cell r="F47">
            <v>13023830</v>
          </cell>
        </row>
        <row r="48">
          <cell r="F48">
            <v>10243935</v>
          </cell>
        </row>
        <row r="49">
          <cell r="F49">
            <v>8236559</v>
          </cell>
        </row>
        <row r="50">
          <cell r="F50">
            <v>11728656</v>
          </cell>
        </row>
        <row r="51">
          <cell r="F51">
            <v>11860171</v>
          </cell>
        </row>
        <row r="52">
          <cell r="F52">
            <v>11664488</v>
          </cell>
        </row>
        <row r="53">
          <cell r="F53">
            <v>8073516</v>
          </cell>
        </row>
        <row r="54">
          <cell r="F54">
            <v>14527054</v>
          </cell>
        </row>
        <row r="55">
          <cell r="F55">
            <v>13941599.903846154</v>
          </cell>
        </row>
      </sheetData>
      <sheetData sheetId="3">
        <row r="4">
          <cell r="F4">
            <v>12737889</v>
          </cell>
        </row>
        <row r="5">
          <cell r="F5">
            <v>13488404</v>
          </cell>
        </row>
        <row r="6">
          <cell r="F6">
            <v>13337613</v>
          </cell>
        </row>
        <row r="7">
          <cell r="F7">
            <v>14365312</v>
          </cell>
        </row>
        <row r="8">
          <cell r="F8">
            <v>12606085</v>
          </cell>
        </row>
        <row r="9">
          <cell r="F9">
            <v>15536455</v>
          </cell>
        </row>
        <row r="10">
          <cell r="F10">
            <v>13043148</v>
          </cell>
        </row>
        <row r="11">
          <cell r="F11">
            <v>13577420</v>
          </cell>
        </row>
        <row r="12">
          <cell r="F12">
            <v>15439292</v>
          </cell>
        </row>
        <row r="13">
          <cell r="F13">
            <v>14063671</v>
          </cell>
        </row>
        <row r="14">
          <cell r="F14">
            <v>9377612</v>
          </cell>
        </row>
        <row r="15">
          <cell r="F15">
            <v>11726893</v>
          </cell>
        </row>
        <row r="16">
          <cell r="F16">
            <v>16403442</v>
          </cell>
        </row>
        <row r="17">
          <cell r="F17">
            <v>14940721</v>
          </cell>
        </row>
        <row r="18">
          <cell r="F18">
            <v>14500632</v>
          </cell>
        </row>
        <row r="19">
          <cell r="F19">
            <v>14197637</v>
          </cell>
        </row>
        <row r="20">
          <cell r="F20">
            <v>15461780</v>
          </cell>
        </row>
        <row r="21">
          <cell r="F21">
            <v>7917559</v>
          </cell>
        </row>
        <row r="22">
          <cell r="F22">
            <v>8199491</v>
          </cell>
        </row>
        <row r="23">
          <cell r="F23">
            <v>10697260</v>
          </cell>
        </row>
        <row r="24">
          <cell r="F24">
            <v>11448124</v>
          </cell>
        </row>
        <row r="25">
          <cell r="F25">
            <v>8943021</v>
          </cell>
        </row>
        <row r="26">
          <cell r="F26">
            <v>7034657</v>
          </cell>
        </row>
        <row r="27">
          <cell r="F27">
            <v>7764517</v>
          </cell>
        </row>
        <row r="28">
          <cell r="F28">
            <v>10565229</v>
          </cell>
        </row>
        <row r="29">
          <cell r="F29">
            <v>10259376</v>
          </cell>
        </row>
        <row r="30">
          <cell r="F30">
            <v>5126581</v>
          </cell>
        </row>
        <row r="31">
          <cell r="F31">
            <v>3518702</v>
          </cell>
        </row>
        <row r="32">
          <cell r="F32">
            <v>6015094</v>
          </cell>
        </row>
        <row r="33">
          <cell r="F33">
            <v>6823030</v>
          </cell>
        </row>
        <row r="34">
          <cell r="F34">
            <v>5421290</v>
          </cell>
        </row>
        <row r="35">
          <cell r="F35">
            <v>8094331</v>
          </cell>
        </row>
        <row r="36">
          <cell r="F36">
            <v>7471269</v>
          </cell>
        </row>
        <row r="37">
          <cell r="F37">
            <v>10106319</v>
          </cell>
        </row>
        <row r="38">
          <cell r="F38">
            <v>8785475</v>
          </cell>
        </row>
        <row r="39">
          <cell r="F39">
            <v>5125048</v>
          </cell>
        </row>
        <row r="40">
          <cell r="F40">
            <v>7475875</v>
          </cell>
        </row>
        <row r="41">
          <cell r="F41">
            <v>9242883</v>
          </cell>
        </row>
        <row r="42">
          <cell r="F42">
            <v>9239971</v>
          </cell>
        </row>
        <row r="43">
          <cell r="F43">
            <v>8054896</v>
          </cell>
        </row>
        <row r="44">
          <cell r="F44">
            <v>6738608</v>
          </cell>
        </row>
        <row r="45">
          <cell r="F45">
            <v>9377813</v>
          </cell>
        </row>
        <row r="46">
          <cell r="F46">
            <v>9982943</v>
          </cell>
        </row>
        <row r="47">
          <cell r="F47">
            <v>7474777</v>
          </cell>
        </row>
        <row r="48">
          <cell r="F48">
            <v>5418536</v>
          </cell>
        </row>
        <row r="49">
          <cell r="F49">
            <v>8051938</v>
          </cell>
        </row>
        <row r="50">
          <cell r="F50">
            <v>9501568</v>
          </cell>
        </row>
        <row r="51">
          <cell r="F51">
            <v>7760162</v>
          </cell>
        </row>
        <row r="52">
          <cell r="F52">
            <v>3667003</v>
          </cell>
        </row>
        <row r="53">
          <cell r="F53">
            <v>7947940</v>
          </cell>
        </row>
        <row r="54">
          <cell r="F54">
            <v>8507027</v>
          </cell>
        </row>
        <row r="55">
          <cell r="F55">
            <v>9929663</v>
          </cell>
        </row>
        <row r="56">
          <cell r="F56">
            <v>9821605.0377358496</v>
          </cell>
        </row>
      </sheetData>
      <sheetData sheetId="4"/>
      <sheetData sheetId="5"/>
      <sheetData sheetId="6"/>
      <sheetData sheetId="7">
        <row r="2">
          <cell r="G2">
            <v>11276639</v>
          </cell>
        </row>
        <row r="3">
          <cell r="G3">
            <v>12448625</v>
          </cell>
        </row>
        <row r="4">
          <cell r="G4">
            <v>11714690</v>
          </cell>
        </row>
        <row r="5">
          <cell r="G5">
            <v>11633576</v>
          </cell>
        </row>
        <row r="6">
          <cell r="G6">
            <v>11136761</v>
          </cell>
        </row>
        <row r="7">
          <cell r="G7">
            <v>8348452</v>
          </cell>
        </row>
        <row r="8">
          <cell r="G8">
            <v>13885461</v>
          </cell>
        </row>
        <row r="9">
          <cell r="G9">
            <v>12269524</v>
          </cell>
        </row>
        <row r="10">
          <cell r="G10">
            <v>12889479</v>
          </cell>
        </row>
        <row r="11">
          <cell r="G11">
            <v>12617548</v>
          </cell>
        </row>
        <row r="12">
          <cell r="G12">
            <v>9368614</v>
          </cell>
        </row>
        <row r="13">
          <cell r="G13">
            <v>10111447</v>
          </cell>
        </row>
        <row r="14">
          <cell r="G14">
            <v>13475102</v>
          </cell>
        </row>
        <row r="15">
          <cell r="G15">
            <v>13869672</v>
          </cell>
        </row>
        <row r="16">
          <cell r="G16">
            <v>11381923</v>
          </cell>
        </row>
        <row r="17">
          <cell r="G17">
            <v>18029690</v>
          </cell>
        </row>
        <row r="18">
          <cell r="G18">
            <v>14753646</v>
          </cell>
        </row>
        <row r="19">
          <cell r="G19">
            <v>13608902</v>
          </cell>
        </row>
        <row r="20">
          <cell r="G20">
            <v>14800953</v>
          </cell>
        </row>
        <row r="21">
          <cell r="G21">
            <v>15116294</v>
          </cell>
        </row>
        <row r="22">
          <cell r="G22">
            <v>14962291</v>
          </cell>
        </row>
        <row r="23">
          <cell r="G23">
            <v>15679692</v>
          </cell>
        </row>
        <row r="24">
          <cell r="G24">
            <v>13757549</v>
          </cell>
        </row>
        <row r="25">
          <cell r="G25">
            <v>13754387</v>
          </cell>
        </row>
        <row r="26">
          <cell r="G26">
            <v>10501721</v>
          </cell>
        </row>
        <row r="27">
          <cell r="G27">
            <v>11964931</v>
          </cell>
        </row>
        <row r="28">
          <cell r="G28">
            <v>14193425</v>
          </cell>
        </row>
        <row r="29">
          <cell r="G29">
            <v>10502149</v>
          </cell>
        </row>
        <row r="30">
          <cell r="G30">
            <v>10685282</v>
          </cell>
        </row>
        <row r="31">
          <cell r="G31">
            <v>13640297</v>
          </cell>
        </row>
        <row r="32">
          <cell r="G32">
            <v>12574621</v>
          </cell>
        </row>
        <row r="33">
          <cell r="G33">
            <v>12732493</v>
          </cell>
        </row>
        <row r="34">
          <cell r="G34">
            <v>11714650</v>
          </cell>
        </row>
        <row r="35">
          <cell r="G35">
            <v>13761849</v>
          </cell>
        </row>
        <row r="36">
          <cell r="G36">
            <v>13615591</v>
          </cell>
        </row>
        <row r="37">
          <cell r="G37">
            <v>14051578</v>
          </cell>
        </row>
        <row r="38">
          <cell r="G38">
            <v>8642378</v>
          </cell>
        </row>
        <row r="39">
          <cell r="G39">
            <v>11863126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oussef Louraoui" id="{4FB860AB-4C98-4B0A-B7CA-B11D81704D9D}" userId="S::yousseflouraoui@petroineos.co.uk::13b884a9-31fb-46ac-b249-8d3c72187e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0" dT="2022-10-10T14:34:47.47" personId="{4FB860AB-4C98-4B0A-B7CA-B11D81704D9D}" id="{04E13BF0-8FE7-42E4-8E13-92331693B3D2}">
    <text>LCOc1  ICE Europe Brent Crude Electronic Energy Future</text>
  </threadedComment>
  <threadedComment ref="I21" dT="2022-10-10T14:32:42.31" personId="{4FB860AB-4C98-4B0A-B7CA-B11D81704D9D}" id="{B301151B-41DB-469E-B1AC-1327C119DC6C}">
    <text>NWE Urals-Refinery Margin Cracking</text>
  </threadedComment>
  <threadedComment ref="I22" dT="2022-10-10T14:33:09.31" personId="{4FB860AB-4C98-4B0A-B7CA-B11D81704D9D}" id="{A148481B-37E4-48D8-B963-E88BB758D7AA}">
    <text>MOEX Russia Index</text>
  </threadedComment>
  <threadedComment ref="I23" dT="2022-10-10T14:33:46.23" personId="{4FB860AB-4C98-4B0A-B7CA-B11D81704D9D}" id="{8A9AD78C-CEDF-463D-802E-3B6D0D8C3202}">
    <text>VanEck Russia ETF</text>
  </threadedComment>
  <threadedComment ref="I24" dT="2022-10-10T14:34:14.54" personId="{4FB860AB-4C98-4B0A-B7CA-B11D81704D9D}" id="{45654512-6EB5-47F2-AE28-A69D6094DE68}">
    <text>URALS CRUDE VS DATED BRENT DIFFERENTIAL FOB NORTH WEST EUROPE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4C79-77C5-BB4B-948B-1E38EBC2E05D}">
  <dimension ref="A1:G236"/>
  <sheetViews>
    <sheetView showGridLines="0" tabSelected="1" topLeftCell="A196" zoomScaleNormal="100" workbookViewId="0">
      <selection activeCell="I33" sqref="I33"/>
    </sheetView>
  </sheetViews>
  <sheetFormatPr baseColWidth="10" defaultRowHeight="14" x14ac:dyDescent="0.15"/>
  <sheetData>
    <row r="1" spans="1:7" x14ac:dyDescent="0.15">
      <c r="A1" s="3" t="s">
        <v>65</v>
      </c>
      <c r="B1" s="3" t="s">
        <v>3</v>
      </c>
      <c r="C1" s="3" t="s">
        <v>36</v>
      </c>
      <c r="D1" s="3" t="s">
        <v>37</v>
      </c>
      <c r="E1" s="3" t="s">
        <v>38</v>
      </c>
      <c r="F1" s="3" t="s">
        <v>39</v>
      </c>
      <c r="G1" s="1" t="s">
        <v>40</v>
      </c>
    </row>
    <row r="2" spans="1:7" x14ac:dyDescent="0.15">
      <c r="A2" s="17">
        <v>42741</v>
      </c>
      <c r="B2" s="1">
        <v>56.75</v>
      </c>
      <c r="C2" s="5">
        <v>-0.54527568000000004</v>
      </c>
      <c r="D2" s="1">
        <v>2213.9299999999998</v>
      </c>
      <c r="E2" s="1">
        <v>21.52</v>
      </c>
      <c r="F2" s="1">
        <v>-2.5</v>
      </c>
      <c r="G2" s="4">
        <v>13918639</v>
      </c>
    </row>
    <row r="3" spans="1:7" x14ac:dyDescent="0.15">
      <c r="A3" s="17">
        <v>42748</v>
      </c>
      <c r="B3" s="1">
        <v>55.59</v>
      </c>
      <c r="C3" s="5">
        <v>1.238237963</v>
      </c>
      <c r="D3" s="1">
        <v>2195.19</v>
      </c>
      <c r="E3" s="1">
        <v>21.45</v>
      </c>
      <c r="F3" s="1">
        <v>-2.0499999999999998</v>
      </c>
      <c r="G3" s="4">
        <v>14805846</v>
      </c>
    </row>
    <row r="4" spans="1:7" x14ac:dyDescent="0.15">
      <c r="A4" s="17">
        <v>42755</v>
      </c>
      <c r="B4" s="1">
        <v>55.49</v>
      </c>
      <c r="C4" s="5">
        <v>0.38649809299999999</v>
      </c>
      <c r="D4" s="1">
        <v>2159.96</v>
      </c>
      <c r="E4" s="1">
        <v>21.08</v>
      </c>
      <c r="F4" s="1">
        <v>-1.5</v>
      </c>
      <c r="G4" s="4">
        <v>13775694</v>
      </c>
    </row>
    <row r="5" spans="1:7" x14ac:dyDescent="0.15">
      <c r="A5" s="17">
        <v>42762</v>
      </c>
      <c r="B5" s="1">
        <v>55.46</v>
      </c>
      <c r="C5" s="5">
        <v>0.34859342100000001</v>
      </c>
      <c r="D5" s="1">
        <v>2266.0500000000002</v>
      </c>
      <c r="E5" s="1">
        <v>22.08</v>
      </c>
      <c r="F5" s="1">
        <v>-1.6</v>
      </c>
      <c r="G5" s="4">
        <v>13326052</v>
      </c>
    </row>
    <row r="6" spans="1:7" x14ac:dyDescent="0.15">
      <c r="A6" s="17">
        <v>42769</v>
      </c>
      <c r="B6" s="1">
        <v>56.72</v>
      </c>
      <c r="C6" s="5">
        <v>0.21963830500000001</v>
      </c>
      <c r="D6" s="1">
        <v>2226.61</v>
      </c>
      <c r="E6" s="1">
        <v>21.8</v>
      </c>
      <c r="F6" s="1">
        <v>-1.75</v>
      </c>
      <c r="G6" s="4">
        <v>15387914</v>
      </c>
    </row>
    <row r="7" spans="1:7" x14ac:dyDescent="0.15">
      <c r="A7" s="17">
        <v>42776</v>
      </c>
      <c r="B7" s="1">
        <v>56.61</v>
      </c>
      <c r="C7" s="5">
        <v>0.97590199099999997</v>
      </c>
      <c r="D7" s="1">
        <v>2162.19</v>
      </c>
      <c r="E7" s="1">
        <v>21.73</v>
      </c>
      <c r="F7" s="1">
        <v>-2.2000000000000002</v>
      </c>
      <c r="G7" s="4">
        <v>14753986</v>
      </c>
    </row>
    <row r="8" spans="1:7" x14ac:dyDescent="0.15">
      <c r="A8" s="17">
        <v>42783</v>
      </c>
      <c r="B8" s="1">
        <v>55.72</v>
      </c>
      <c r="C8" s="5">
        <v>0.38973630399999998</v>
      </c>
      <c r="D8" s="1">
        <v>2128.21</v>
      </c>
      <c r="E8" s="1">
        <v>21.22</v>
      </c>
      <c r="F8" s="1">
        <v>-1.9</v>
      </c>
      <c r="G8" s="4">
        <v>17321594</v>
      </c>
    </row>
    <row r="9" spans="1:7" x14ac:dyDescent="0.15">
      <c r="A9" s="17">
        <v>42790</v>
      </c>
      <c r="B9" s="1">
        <v>56.04</v>
      </c>
      <c r="C9" s="5">
        <v>0.54025441900000004</v>
      </c>
      <c r="D9" s="1">
        <v>2093.09</v>
      </c>
      <c r="E9" s="1">
        <v>20.73</v>
      </c>
      <c r="F9" s="1">
        <v>-2.5</v>
      </c>
      <c r="G9" s="4">
        <v>19164475</v>
      </c>
    </row>
    <row r="10" spans="1:7" x14ac:dyDescent="0.15">
      <c r="A10" s="17">
        <v>42797</v>
      </c>
      <c r="B10" s="1">
        <v>55.71</v>
      </c>
      <c r="C10" s="5">
        <v>-4.8587384999999997E-2</v>
      </c>
      <c r="D10" s="1">
        <v>2056.89</v>
      </c>
      <c r="E10" s="1">
        <v>20.56</v>
      </c>
      <c r="F10" s="1">
        <v>-2</v>
      </c>
      <c r="G10" s="4">
        <v>14544394</v>
      </c>
    </row>
    <row r="11" spans="1:7" x14ac:dyDescent="0.15">
      <c r="A11" s="17">
        <v>42804</v>
      </c>
      <c r="B11" s="1">
        <v>51.27</v>
      </c>
      <c r="C11" s="5">
        <v>0.27804193599999999</v>
      </c>
      <c r="D11" s="1">
        <v>1973.96</v>
      </c>
      <c r="E11" s="1">
        <v>19.5</v>
      </c>
      <c r="F11" s="1">
        <v>-2.0499999999999998</v>
      </c>
      <c r="G11" s="4">
        <v>13618943</v>
      </c>
    </row>
    <row r="12" spans="1:7" x14ac:dyDescent="0.15">
      <c r="A12" s="17">
        <v>42811</v>
      </c>
      <c r="B12" s="1">
        <v>51.67</v>
      </c>
      <c r="C12" s="5">
        <v>0.86281831899999994</v>
      </c>
      <c r="D12" s="1">
        <v>2036.96</v>
      </c>
      <c r="E12" s="1">
        <v>20.89</v>
      </c>
      <c r="F12" s="1">
        <v>-2.25</v>
      </c>
      <c r="G12" s="4">
        <v>17771786</v>
      </c>
    </row>
    <row r="13" spans="1:7" x14ac:dyDescent="0.15">
      <c r="A13" s="17">
        <v>42818</v>
      </c>
      <c r="B13" s="1">
        <v>50.97</v>
      </c>
      <c r="C13" s="5">
        <v>0.75419658899999997</v>
      </c>
      <c r="D13" s="1">
        <v>2039.77</v>
      </c>
      <c r="E13" s="1">
        <v>20.95</v>
      </c>
      <c r="F13" s="1">
        <v>-2.8</v>
      </c>
      <c r="G13" s="4">
        <v>16000044</v>
      </c>
    </row>
    <row r="14" spans="1:7" x14ac:dyDescent="0.15">
      <c r="A14" s="17">
        <v>42825</v>
      </c>
      <c r="B14" s="1">
        <v>52.74</v>
      </c>
      <c r="C14" s="5">
        <v>0.48698550499999999</v>
      </c>
      <c r="D14" s="1">
        <v>1995.9</v>
      </c>
      <c r="E14" s="1">
        <v>20.67</v>
      </c>
      <c r="F14" s="1">
        <v>-2.7</v>
      </c>
      <c r="G14" s="4">
        <v>16787282</v>
      </c>
    </row>
    <row r="15" spans="1:7" x14ac:dyDescent="0.15">
      <c r="A15" s="17">
        <v>42832</v>
      </c>
      <c r="B15" s="1">
        <v>55.26</v>
      </c>
      <c r="C15" s="5">
        <v>1.2623428370000001</v>
      </c>
      <c r="D15" s="1">
        <v>2020.23</v>
      </c>
      <c r="E15" s="1">
        <v>20.6</v>
      </c>
      <c r="F15" s="1">
        <v>-2.13</v>
      </c>
      <c r="G15" s="4">
        <v>15824721</v>
      </c>
    </row>
    <row r="16" spans="1:7" x14ac:dyDescent="0.15">
      <c r="A16" s="17">
        <v>42846</v>
      </c>
      <c r="B16" s="1">
        <v>52.05</v>
      </c>
      <c r="C16" s="5">
        <v>1.734635691</v>
      </c>
      <c r="D16" s="1">
        <v>1944.72</v>
      </c>
      <c r="E16" s="1">
        <v>20.14</v>
      </c>
      <c r="F16" s="1">
        <v>-1.9</v>
      </c>
      <c r="G16" s="4">
        <v>15026917</v>
      </c>
    </row>
    <row r="17" spans="1:7" x14ac:dyDescent="0.15">
      <c r="A17" s="17">
        <v>42853</v>
      </c>
      <c r="B17" s="1">
        <v>51.71</v>
      </c>
      <c r="C17" s="5">
        <v>-0.161768775</v>
      </c>
      <c r="D17" s="1">
        <v>2016.71</v>
      </c>
      <c r="E17" s="1">
        <v>20.88</v>
      </c>
      <c r="F17" s="1">
        <v>-1.65</v>
      </c>
      <c r="G17" s="4">
        <v>16171206</v>
      </c>
    </row>
    <row r="18" spans="1:7" x14ac:dyDescent="0.15">
      <c r="A18" s="17">
        <v>42860</v>
      </c>
      <c r="B18" s="1">
        <v>49.47</v>
      </c>
      <c r="C18" s="5">
        <v>1.515722521</v>
      </c>
      <c r="D18" s="1">
        <v>2002.41</v>
      </c>
      <c r="E18" s="1">
        <v>20.32</v>
      </c>
      <c r="F18" s="1">
        <v>-1.45</v>
      </c>
      <c r="G18" s="4">
        <v>12292495</v>
      </c>
    </row>
    <row r="19" spans="1:7" x14ac:dyDescent="0.15">
      <c r="A19" s="17">
        <v>42867</v>
      </c>
      <c r="B19" s="1">
        <v>50.91</v>
      </c>
      <c r="C19" s="5">
        <v>1.586672694</v>
      </c>
      <c r="D19" s="1">
        <v>1994.58</v>
      </c>
      <c r="E19" s="1">
        <v>20.46</v>
      </c>
      <c r="F19" s="1">
        <v>-1.35</v>
      </c>
      <c r="G19" s="4">
        <v>15716132</v>
      </c>
    </row>
    <row r="20" spans="1:7" x14ac:dyDescent="0.15">
      <c r="A20" s="17">
        <v>42874</v>
      </c>
      <c r="B20" s="1">
        <v>53.8</v>
      </c>
      <c r="C20" s="5">
        <v>1.233227721</v>
      </c>
      <c r="D20" s="1">
        <v>1962.4</v>
      </c>
      <c r="E20" s="1">
        <v>20.260000000000002</v>
      </c>
      <c r="F20" s="1">
        <v>-1.5</v>
      </c>
      <c r="G20" s="4">
        <v>17181025</v>
      </c>
    </row>
    <row r="21" spans="1:7" x14ac:dyDescent="0.15">
      <c r="A21" s="17">
        <v>42881</v>
      </c>
      <c r="B21" s="1">
        <v>52.23</v>
      </c>
      <c r="C21" s="5">
        <v>1.7037482690000001</v>
      </c>
      <c r="D21" s="1">
        <v>1934.25</v>
      </c>
      <c r="E21" s="1">
        <v>20.309999999999999</v>
      </c>
      <c r="F21" s="1">
        <v>-1.35</v>
      </c>
      <c r="G21" s="4">
        <v>14797229</v>
      </c>
    </row>
    <row r="22" spans="1:7" x14ac:dyDescent="0.15">
      <c r="A22" s="17">
        <v>42888</v>
      </c>
      <c r="B22" s="1">
        <v>49.95</v>
      </c>
      <c r="C22" s="5">
        <v>1.946998335</v>
      </c>
      <c r="D22" s="1">
        <v>1881.87</v>
      </c>
      <c r="E22" s="1">
        <v>19.690000000000001</v>
      </c>
      <c r="F22" s="1">
        <v>-1.35</v>
      </c>
      <c r="G22" s="4">
        <v>11127747</v>
      </c>
    </row>
    <row r="23" spans="1:7" x14ac:dyDescent="0.15">
      <c r="A23" s="17">
        <v>42895</v>
      </c>
      <c r="B23" s="1">
        <v>48.3</v>
      </c>
      <c r="C23" s="5">
        <v>2.1794009910000001</v>
      </c>
      <c r="D23" s="1">
        <v>1883.34</v>
      </c>
      <c r="E23" s="1">
        <v>19.39</v>
      </c>
      <c r="F23" s="1">
        <v>-1.3</v>
      </c>
      <c r="G23" s="4">
        <v>11772141</v>
      </c>
    </row>
    <row r="24" spans="1:7" x14ac:dyDescent="0.15">
      <c r="A24" s="17">
        <v>42902</v>
      </c>
      <c r="B24" s="1">
        <v>47.29</v>
      </c>
      <c r="C24" s="5">
        <v>2.2776121909999998</v>
      </c>
      <c r="D24" s="1">
        <v>1822.91</v>
      </c>
      <c r="E24" s="1">
        <v>18.75</v>
      </c>
      <c r="F24" s="1">
        <v>-1.1499999999999999</v>
      </c>
      <c r="G24" s="4">
        <v>17090410</v>
      </c>
    </row>
    <row r="25" spans="1:7" x14ac:dyDescent="0.15">
      <c r="A25" s="17">
        <v>42909</v>
      </c>
      <c r="B25" s="1">
        <v>45.61</v>
      </c>
      <c r="C25" s="5">
        <v>2.930156931</v>
      </c>
      <c r="D25" s="1">
        <v>1867.46</v>
      </c>
      <c r="E25" s="1">
        <v>18.850000000000001</v>
      </c>
      <c r="F25" s="1">
        <v>-0.9</v>
      </c>
      <c r="G25" s="4">
        <v>13176643</v>
      </c>
    </row>
    <row r="26" spans="1:7" x14ac:dyDescent="0.15">
      <c r="A26" s="17">
        <v>42916</v>
      </c>
      <c r="B26" s="1">
        <v>47.9</v>
      </c>
      <c r="C26" s="5">
        <v>2.5198099360000001</v>
      </c>
      <c r="D26" s="1">
        <v>1879.5</v>
      </c>
      <c r="E26" s="1">
        <v>19.170000000000002</v>
      </c>
      <c r="F26" s="1">
        <v>-0.95</v>
      </c>
      <c r="G26" s="4">
        <v>11891712</v>
      </c>
    </row>
    <row r="27" spans="1:7" x14ac:dyDescent="0.15">
      <c r="A27" s="17">
        <v>42923</v>
      </c>
      <c r="B27" s="1">
        <v>46.88</v>
      </c>
      <c r="C27" s="5">
        <v>2.368059127</v>
      </c>
      <c r="D27" s="1">
        <v>1912.48</v>
      </c>
      <c r="E27" s="1">
        <v>19.079999999999998</v>
      </c>
      <c r="F27" s="1">
        <v>-0.7</v>
      </c>
      <c r="G27" s="4">
        <v>11141171</v>
      </c>
    </row>
    <row r="28" spans="1:7" x14ac:dyDescent="0.15">
      <c r="A28" s="17">
        <v>42930</v>
      </c>
      <c r="B28" s="1">
        <v>49.09</v>
      </c>
      <c r="C28" s="5">
        <v>3.010124131</v>
      </c>
      <c r="D28" s="1">
        <v>1960.69</v>
      </c>
      <c r="E28" s="1">
        <v>20.21</v>
      </c>
      <c r="F28" s="1">
        <v>-0.85</v>
      </c>
      <c r="G28" s="4">
        <v>12773066</v>
      </c>
    </row>
    <row r="29" spans="1:7" x14ac:dyDescent="0.15">
      <c r="A29" s="17">
        <v>42937</v>
      </c>
      <c r="B29" s="1">
        <v>47.93</v>
      </c>
      <c r="C29" s="5">
        <v>3.352449853</v>
      </c>
      <c r="D29" s="1">
        <v>1925.13</v>
      </c>
      <c r="E29" s="1">
        <v>20</v>
      </c>
      <c r="F29" s="1">
        <v>-0.65</v>
      </c>
      <c r="G29" s="4">
        <v>16733085</v>
      </c>
    </row>
    <row r="30" spans="1:7" x14ac:dyDescent="0.15">
      <c r="A30" s="17">
        <v>42944</v>
      </c>
      <c r="B30" s="1">
        <v>52.63</v>
      </c>
      <c r="C30" s="5">
        <v>2.0118133729999998</v>
      </c>
      <c r="D30" s="1">
        <v>1916.75</v>
      </c>
      <c r="E30" s="1">
        <v>19.98</v>
      </c>
      <c r="F30" s="1">
        <v>-0.55000000000000004</v>
      </c>
      <c r="G30" s="4">
        <v>13382407</v>
      </c>
    </row>
    <row r="31" spans="1:7" x14ac:dyDescent="0.15">
      <c r="A31" s="17">
        <v>42951</v>
      </c>
      <c r="B31" s="1">
        <v>52.46</v>
      </c>
      <c r="C31" s="5">
        <v>1.6805799589999999</v>
      </c>
      <c r="D31" s="1">
        <v>1953.49</v>
      </c>
      <c r="E31" s="1">
        <v>20.12</v>
      </c>
      <c r="F31" s="1">
        <v>-0.3</v>
      </c>
      <c r="G31" s="4">
        <v>10139359</v>
      </c>
    </row>
    <row r="32" spans="1:7" x14ac:dyDescent="0.15">
      <c r="A32" s="17">
        <v>42958</v>
      </c>
      <c r="B32" s="1">
        <v>52.05</v>
      </c>
      <c r="C32" s="5">
        <v>2.8852017079999999</v>
      </c>
      <c r="D32" s="1">
        <v>1944.83</v>
      </c>
      <c r="E32" s="1">
        <v>19.96</v>
      </c>
      <c r="F32" s="1">
        <v>-0.3</v>
      </c>
      <c r="G32" s="4">
        <v>15254483</v>
      </c>
    </row>
    <row r="33" spans="1:7" x14ac:dyDescent="0.15">
      <c r="A33" s="17">
        <v>42965</v>
      </c>
      <c r="B33" s="1">
        <v>52.86</v>
      </c>
      <c r="C33" s="5">
        <v>3.1039032660000001</v>
      </c>
      <c r="D33" s="1">
        <v>1930.71</v>
      </c>
      <c r="E33" s="1">
        <v>20.260000000000002</v>
      </c>
      <c r="F33" s="1">
        <v>-0.6</v>
      </c>
      <c r="G33" s="4">
        <v>15313857</v>
      </c>
    </row>
    <row r="34" spans="1:7" x14ac:dyDescent="0.15">
      <c r="A34" s="17">
        <v>42972</v>
      </c>
      <c r="B34" s="1">
        <v>52.35</v>
      </c>
      <c r="C34" s="5">
        <v>2.2553008590000001</v>
      </c>
      <c r="D34" s="1">
        <v>1979.14</v>
      </c>
      <c r="E34" s="1">
        <v>20.74</v>
      </c>
      <c r="F34" s="1">
        <v>-1.25</v>
      </c>
      <c r="G34" s="4">
        <v>13031411</v>
      </c>
    </row>
    <row r="35" spans="1:7" x14ac:dyDescent="0.15">
      <c r="A35" s="17">
        <v>42979</v>
      </c>
      <c r="B35" s="1">
        <v>52.69</v>
      </c>
      <c r="C35" s="5">
        <v>2.9095993500000001</v>
      </c>
      <c r="D35" s="1">
        <v>2010.98</v>
      </c>
      <c r="E35" s="1">
        <v>21.59</v>
      </c>
      <c r="F35" s="1">
        <v>-1.3</v>
      </c>
      <c r="G35" s="4">
        <v>16454237</v>
      </c>
    </row>
    <row r="36" spans="1:7" x14ac:dyDescent="0.15">
      <c r="A36" s="17">
        <v>42986</v>
      </c>
      <c r="B36" s="1">
        <v>53.75</v>
      </c>
      <c r="C36" s="5">
        <v>1.9488985000000001</v>
      </c>
      <c r="D36" s="1">
        <v>2032.75</v>
      </c>
      <c r="E36" s="1">
        <v>21.63</v>
      </c>
      <c r="F36" s="1">
        <v>-1.45</v>
      </c>
      <c r="G36" s="4">
        <v>14075355</v>
      </c>
    </row>
    <row r="37" spans="1:7" x14ac:dyDescent="0.15">
      <c r="A37" s="17">
        <v>42993</v>
      </c>
      <c r="B37" s="1">
        <v>55.48</v>
      </c>
      <c r="C37" s="5">
        <v>0.78006629699999996</v>
      </c>
      <c r="D37" s="1">
        <v>2053.81</v>
      </c>
      <c r="E37" s="1">
        <v>21.95</v>
      </c>
      <c r="F37" s="1">
        <v>-2.15</v>
      </c>
      <c r="G37" s="4">
        <v>13132104</v>
      </c>
    </row>
    <row r="38" spans="1:7" x14ac:dyDescent="0.15">
      <c r="A38" s="17">
        <v>43000</v>
      </c>
      <c r="B38" s="1">
        <v>56.9</v>
      </c>
      <c r="C38" s="5">
        <v>-0.34264435100000001</v>
      </c>
      <c r="D38" s="1">
        <v>2051.63</v>
      </c>
      <c r="E38" s="1">
        <v>21.83</v>
      </c>
      <c r="F38" s="1">
        <v>-2.0499999999999998</v>
      </c>
      <c r="G38" s="4">
        <v>15375432</v>
      </c>
    </row>
    <row r="39" spans="1:7" x14ac:dyDescent="0.15">
      <c r="A39" s="17">
        <v>43007</v>
      </c>
      <c r="B39" s="1">
        <v>57.51</v>
      </c>
      <c r="C39" s="5">
        <v>1.048073161</v>
      </c>
      <c r="D39" s="1">
        <v>2077.19</v>
      </c>
      <c r="E39" s="1">
        <v>22.29</v>
      </c>
      <c r="F39" s="1">
        <v>-2.0499999999999998</v>
      </c>
      <c r="G39" s="4">
        <v>14956929</v>
      </c>
    </row>
    <row r="40" spans="1:7" x14ac:dyDescent="0.15">
      <c r="A40" s="17">
        <v>43014</v>
      </c>
      <c r="B40" s="1">
        <v>55.68</v>
      </c>
      <c r="C40" s="5">
        <v>3.25</v>
      </c>
      <c r="D40" s="1">
        <v>2093.86</v>
      </c>
      <c r="E40" s="1">
        <v>22.13</v>
      </c>
      <c r="F40" s="1">
        <v>-1</v>
      </c>
      <c r="G40" s="4">
        <v>16931079</v>
      </c>
    </row>
    <row r="41" spans="1:7" x14ac:dyDescent="0.15">
      <c r="A41" s="17">
        <v>43021</v>
      </c>
      <c r="B41" s="1">
        <v>57.2</v>
      </c>
      <c r="C41" s="5">
        <v>3.73</v>
      </c>
      <c r="D41" s="1">
        <v>2098.77</v>
      </c>
      <c r="E41" s="1">
        <v>22.56</v>
      </c>
      <c r="F41" s="1">
        <v>-1.55</v>
      </c>
      <c r="G41" s="4">
        <v>14802135</v>
      </c>
    </row>
    <row r="42" spans="1:7" x14ac:dyDescent="0.15">
      <c r="A42" s="17">
        <v>43035</v>
      </c>
      <c r="B42" s="1">
        <v>60.5</v>
      </c>
      <c r="C42" s="5">
        <v>2.46</v>
      </c>
      <c r="D42" s="1">
        <v>2068.7600000000002</v>
      </c>
      <c r="E42" s="1">
        <v>21.99</v>
      </c>
      <c r="F42" s="1">
        <v>-0.95</v>
      </c>
      <c r="G42" s="4">
        <v>13050065</v>
      </c>
    </row>
    <row r="43" spans="1:7" x14ac:dyDescent="0.15">
      <c r="A43" s="17">
        <v>43042</v>
      </c>
      <c r="B43" s="1">
        <v>62.09</v>
      </c>
      <c r="C43" s="5">
        <v>3.51</v>
      </c>
      <c r="D43" s="1">
        <v>2081.15</v>
      </c>
      <c r="E43" s="1">
        <v>21.78</v>
      </c>
      <c r="F43" s="1">
        <v>-1.1000000000000001</v>
      </c>
      <c r="G43" s="4">
        <v>12317332</v>
      </c>
    </row>
    <row r="44" spans="1:7" x14ac:dyDescent="0.15">
      <c r="A44" s="17">
        <v>43049</v>
      </c>
      <c r="B44" s="1">
        <v>63.6</v>
      </c>
      <c r="C44" s="5">
        <v>3.6</v>
      </c>
      <c r="D44" s="1">
        <v>2169.2600000000002</v>
      </c>
      <c r="E44" s="1">
        <v>22.28</v>
      </c>
      <c r="F44" s="1">
        <v>-1.1000000000000001</v>
      </c>
      <c r="G44" s="4">
        <v>14674661</v>
      </c>
    </row>
    <row r="45" spans="1:7" x14ac:dyDescent="0.15">
      <c r="A45" s="17">
        <v>43056</v>
      </c>
      <c r="B45" s="1">
        <v>62.72</v>
      </c>
      <c r="C45" s="5">
        <v>0.22</v>
      </c>
      <c r="D45" s="1">
        <v>2131.91</v>
      </c>
      <c r="E45" s="1">
        <v>21.93</v>
      </c>
      <c r="F45" s="1">
        <v>-0.7</v>
      </c>
      <c r="G45" s="4">
        <v>11131437</v>
      </c>
    </row>
    <row r="46" spans="1:7" x14ac:dyDescent="0.15">
      <c r="A46" s="17">
        <v>43063</v>
      </c>
      <c r="B46" s="1">
        <v>63.73</v>
      </c>
      <c r="C46" s="5">
        <v>2.7</v>
      </c>
      <c r="D46" s="1">
        <v>2161.17</v>
      </c>
      <c r="E46" s="1">
        <v>22.48</v>
      </c>
      <c r="F46" s="1">
        <v>-0.85</v>
      </c>
      <c r="G46" s="4">
        <v>12499903</v>
      </c>
    </row>
    <row r="47" spans="1:7" x14ac:dyDescent="0.15">
      <c r="A47" s="17">
        <v>43070</v>
      </c>
      <c r="B47" s="1">
        <v>63.7</v>
      </c>
      <c r="C47" s="5">
        <v>2.0499999999999998</v>
      </c>
      <c r="D47" s="1">
        <v>2105.9899999999998</v>
      </c>
      <c r="E47" s="1">
        <v>21.46</v>
      </c>
      <c r="F47" s="1">
        <v>-0.75</v>
      </c>
      <c r="G47" s="4">
        <v>9237218</v>
      </c>
    </row>
    <row r="48" spans="1:7" x14ac:dyDescent="0.15">
      <c r="A48" s="17">
        <v>43077</v>
      </c>
      <c r="B48" s="1">
        <v>63.39</v>
      </c>
      <c r="C48" s="5">
        <v>0.85</v>
      </c>
      <c r="D48" s="1">
        <v>2104.9899999999998</v>
      </c>
      <c r="E48" s="1">
        <v>21.57</v>
      </c>
      <c r="F48" s="1">
        <v>-0.45</v>
      </c>
      <c r="G48" s="4">
        <v>18291858</v>
      </c>
    </row>
    <row r="49" spans="1:7" x14ac:dyDescent="0.15">
      <c r="A49" s="17">
        <v>43084</v>
      </c>
      <c r="B49" s="1">
        <v>63.25</v>
      </c>
      <c r="C49" s="5">
        <v>1.38</v>
      </c>
      <c r="D49" s="1">
        <v>2143.9899999999998</v>
      </c>
      <c r="E49" s="1">
        <v>21.93</v>
      </c>
      <c r="F49" s="1">
        <v>-0.05</v>
      </c>
      <c r="G49" s="4">
        <v>14537122.076923076</v>
      </c>
    </row>
    <row r="50" spans="1:7" x14ac:dyDescent="0.15">
      <c r="A50" s="17">
        <v>43091</v>
      </c>
      <c r="B50" s="1">
        <v>65.040000000000006</v>
      </c>
      <c r="C50" s="5">
        <v>3.28</v>
      </c>
      <c r="D50" s="1">
        <v>2102.94</v>
      </c>
      <c r="E50" s="1">
        <v>21.11</v>
      </c>
      <c r="F50" s="1">
        <v>-0.25</v>
      </c>
      <c r="G50" s="4">
        <v>11719757</v>
      </c>
    </row>
    <row r="51" spans="1:7" x14ac:dyDescent="0.15">
      <c r="A51" s="17">
        <v>43098</v>
      </c>
      <c r="B51" s="1">
        <v>66.62</v>
      </c>
      <c r="C51" s="5">
        <v>3.78</v>
      </c>
      <c r="D51" s="1">
        <v>2109.7399999999998</v>
      </c>
      <c r="E51" s="1">
        <v>21.21</v>
      </c>
      <c r="F51" s="1">
        <v>-0.5</v>
      </c>
      <c r="G51" s="4">
        <v>8962554</v>
      </c>
    </row>
    <row r="52" spans="1:7" x14ac:dyDescent="0.15">
      <c r="A52" s="17">
        <v>43105</v>
      </c>
      <c r="B52" s="1">
        <v>67.790000000000006</v>
      </c>
      <c r="C52" s="5">
        <v>3.22</v>
      </c>
      <c r="D52" s="1">
        <v>2207.41</v>
      </c>
      <c r="E52" s="1">
        <v>22.66</v>
      </c>
      <c r="F52" s="1">
        <v>-0.65</v>
      </c>
      <c r="G52" s="4">
        <v>14081845</v>
      </c>
    </row>
    <row r="53" spans="1:7" x14ac:dyDescent="0.15">
      <c r="A53" s="17">
        <v>43112</v>
      </c>
      <c r="B53" s="1">
        <v>69.81</v>
      </c>
      <c r="C53" s="5">
        <v>1.59</v>
      </c>
      <c r="D53" s="1">
        <v>2262.38</v>
      </c>
      <c r="E53" s="1">
        <v>23.31</v>
      </c>
      <c r="F53" s="1">
        <v>-0.6</v>
      </c>
      <c r="G53" s="4">
        <v>13774279</v>
      </c>
    </row>
    <row r="54" spans="1:7" x14ac:dyDescent="0.15">
      <c r="A54" s="17">
        <v>43119</v>
      </c>
      <c r="B54" s="1">
        <v>68.650000000000006</v>
      </c>
      <c r="C54" s="5">
        <v>-0.65</v>
      </c>
      <c r="D54" s="1">
        <v>2286.33</v>
      </c>
      <c r="E54" s="1">
        <v>23.3</v>
      </c>
      <c r="F54" s="1">
        <v>-0.75</v>
      </c>
      <c r="G54" s="4">
        <v>13335076</v>
      </c>
    </row>
    <row r="55" spans="1:7" x14ac:dyDescent="0.15">
      <c r="A55" s="17">
        <v>43126</v>
      </c>
      <c r="B55" s="1">
        <v>70.290000000000006</v>
      </c>
      <c r="C55" s="5">
        <v>1.68</v>
      </c>
      <c r="D55" s="1">
        <v>2295.2600000000002</v>
      </c>
      <c r="E55" s="1">
        <v>23.61</v>
      </c>
      <c r="F55" s="1">
        <v>-0.6</v>
      </c>
      <c r="G55" s="4">
        <v>9087010</v>
      </c>
    </row>
    <row r="56" spans="1:7" x14ac:dyDescent="0.15">
      <c r="A56" s="17">
        <v>43133</v>
      </c>
      <c r="B56" s="1">
        <v>68.23</v>
      </c>
      <c r="C56" s="5">
        <v>1.18</v>
      </c>
      <c r="D56" s="1">
        <v>2281.84</v>
      </c>
      <c r="E56" s="1">
        <v>22.98</v>
      </c>
      <c r="F56" s="1">
        <v>-1.1000000000000001</v>
      </c>
      <c r="G56" s="4">
        <v>16106975</v>
      </c>
    </row>
    <row r="57" spans="1:7" x14ac:dyDescent="0.15">
      <c r="A57" s="17">
        <v>43140</v>
      </c>
      <c r="B57" s="1">
        <v>62.71</v>
      </c>
      <c r="C57" s="5">
        <v>-2.19</v>
      </c>
      <c r="D57" s="1">
        <v>2197.12</v>
      </c>
      <c r="E57" s="1">
        <v>21.67</v>
      </c>
      <c r="F57" s="1">
        <v>-1.6</v>
      </c>
      <c r="G57" s="4">
        <v>11278141</v>
      </c>
    </row>
    <row r="58" spans="1:7" x14ac:dyDescent="0.15">
      <c r="A58" s="17">
        <v>43147</v>
      </c>
      <c r="B58" s="1">
        <v>64.900000000000006</v>
      </c>
      <c r="C58" s="5">
        <v>1.96</v>
      </c>
      <c r="D58" s="1">
        <v>2255.27</v>
      </c>
      <c r="E58" s="1">
        <v>22.99</v>
      </c>
      <c r="F58" s="1">
        <v>-2.1</v>
      </c>
      <c r="G58" s="4">
        <v>12592434</v>
      </c>
    </row>
    <row r="59" spans="1:7" x14ac:dyDescent="0.15">
      <c r="A59" s="17">
        <v>43161</v>
      </c>
      <c r="B59" s="1">
        <v>64.56</v>
      </c>
      <c r="C59" s="5">
        <v>0.21507515499999999</v>
      </c>
      <c r="D59" s="1">
        <v>2288.84</v>
      </c>
      <c r="E59" s="1">
        <v>23.25</v>
      </c>
      <c r="F59" s="1">
        <v>-2.25</v>
      </c>
      <c r="G59" s="4">
        <v>12167924</v>
      </c>
    </row>
    <row r="60" spans="1:7" x14ac:dyDescent="0.15">
      <c r="A60" s="17">
        <v>43168</v>
      </c>
      <c r="B60" s="1">
        <v>65.489999999999995</v>
      </c>
      <c r="C60" s="5">
        <v>-0.39894137099999999</v>
      </c>
      <c r="D60" s="1">
        <v>2311.69</v>
      </c>
      <c r="E60" s="1">
        <v>23.48</v>
      </c>
      <c r="F60" s="1">
        <v>-2.95</v>
      </c>
      <c r="G60" s="4">
        <v>13440643</v>
      </c>
    </row>
    <row r="61" spans="1:7" x14ac:dyDescent="0.15">
      <c r="A61" s="17">
        <v>43175</v>
      </c>
      <c r="B61" s="1">
        <v>65.989999999999995</v>
      </c>
      <c r="C61" s="5">
        <v>0.540032662</v>
      </c>
      <c r="D61" s="1">
        <v>2294.6</v>
      </c>
      <c r="E61" s="1">
        <v>22.81</v>
      </c>
      <c r="F61" s="1">
        <v>-2.1</v>
      </c>
      <c r="G61" s="4">
        <v>11263647</v>
      </c>
    </row>
    <row r="62" spans="1:7" x14ac:dyDescent="0.15">
      <c r="A62" s="17">
        <v>43182</v>
      </c>
      <c r="B62" s="1">
        <v>70.36</v>
      </c>
      <c r="C62" s="5">
        <v>7.91</v>
      </c>
      <c r="D62" s="1">
        <v>2285.5300000000002</v>
      </c>
      <c r="E62" s="1">
        <v>22.5</v>
      </c>
      <c r="F62" s="1">
        <v>-2</v>
      </c>
      <c r="G62" s="4">
        <v>11993206</v>
      </c>
    </row>
    <row r="63" spans="1:7" x14ac:dyDescent="0.15">
      <c r="A63" s="17">
        <v>43196</v>
      </c>
      <c r="B63" s="1">
        <v>66.930000000000007</v>
      </c>
      <c r="C63" s="5">
        <v>0.68</v>
      </c>
      <c r="D63" s="1">
        <v>2281.23</v>
      </c>
      <c r="E63" s="1">
        <v>22.37</v>
      </c>
      <c r="F63" s="1">
        <v>-2.25</v>
      </c>
      <c r="G63" s="4">
        <v>14144989</v>
      </c>
    </row>
    <row r="64" spans="1:7" x14ac:dyDescent="0.15">
      <c r="A64" s="17">
        <v>43203</v>
      </c>
      <c r="B64" s="1">
        <v>72.62</v>
      </c>
      <c r="C64" s="5">
        <v>6.66</v>
      </c>
      <c r="D64" s="1">
        <v>2175.16</v>
      </c>
      <c r="E64" s="1">
        <v>20.38</v>
      </c>
      <c r="F64" s="1">
        <v>-3.2</v>
      </c>
      <c r="G64" s="4">
        <v>12723430</v>
      </c>
    </row>
    <row r="65" spans="1:7" x14ac:dyDescent="0.15">
      <c r="A65" s="17">
        <v>43210</v>
      </c>
      <c r="B65" s="1">
        <v>73.709999999999994</v>
      </c>
      <c r="C65" s="5">
        <v>3.62</v>
      </c>
      <c r="D65" s="1">
        <v>2232.66</v>
      </c>
      <c r="E65" s="1">
        <v>21</v>
      </c>
      <c r="F65" s="1">
        <v>-3.4</v>
      </c>
      <c r="G65" s="4">
        <v>12269347</v>
      </c>
    </row>
    <row r="66" spans="1:7" x14ac:dyDescent="0.15">
      <c r="A66" s="17">
        <v>43217</v>
      </c>
      <c r="B66" s="1">
        <v>74.44</v>
      </c>
      <c r="C66" s="5">
        <v>2.4700000000000002</v>
      </c>
      <c r="D66" s="1">
        <v>2301.4899999999998</v>
      </c>
      <c r="E66" s="1">
        <v>21.29</v>
      </c>
      <c r="F66" s="1">
        <v>-3.25</v>
      </c>
      <c r="G66" s="4">
        <v>12173889</v>
      </c>
    </row>
    <row r="67" spans="1:7" x14ac:dyDescent="0.15">
      <c r="A67" s="17">
        <v>43224</v>
      </c>
      <c r="B67" s="1">
        <v>75</v>
      </c>
      <c r="C67" s="5">
        <v>1.1100000000000001</v>
      </c>
      <c r="D67" s="1">
        <v>2289.4699999999998</v>
      </c>
      <c r="E67" s="1">
        <v>21.14</v>
      </c>
      <c r="F67" s="1">
        <v>-3.05</v>
      </c>
      <c r="G67" s="4">
        <v>14133569</v>
      </c>
    </row>
    <row r="68" spans="1:7" x14ac:dyDescent="0.15">
      <c r="A68" s="17">
        <v>43231</v>
      </c>
      <c r="B68" s="1">
        <v>77.180000000000007</v>
      </c>
      <c r="C68" s="5">
        <v>5.34</v>
      </c>
      <c r="D68" s="1">
        <v>2345.2600000000002</v>
      </c>
      <c r="E68" s="1">
        <v>21.5</v>
      </c>
      <c r="F68" s="1">
        <v>-2.5</v>
      </c>
      <c r="G68" s="4">
        <v>11336916</v>
      </c>
    </row>
    <row r="69" spans="1:7" x14ac:dyDescent="0.15">
      <c r="A69" s="17">
        <v>43238</v>
      </c>
      <c r="B69" s="1">
        <v>78.709999999999994</v>
      </c>
      <c r="C69" s="5">
        <v>4.5999999999999996</v>
      </c>
      <c r="D69" s="1">
        <v>2326.94</v>
      </c>
      <c r="E69" s="1">
        <v>21.35</v>
      </c>
      <c r="F69" s="1">
        <v>-1.55</v>
      </c>
      <c r="G69" s="4">
        <v>11556346</v>
      </c>
    </row>
    <row r="70" spans="1:7" x14ac:dyDescent="0.15">
      <c r="A70" s="17">
        <v>43245</v>
      </c>
      <c r="B70" s="1">
        <v>76.33</v>
      </c>
      <c r="C70" s="5">
        <v>-0.72</v>
      </c>
      <c r="D70" s="1">
        <v>2306.5700000000002</v>
      </c>
      <c r="E70" s="1">
        <v>21.27</v>
      </c>
      <c r="F70" s="1">
        <v>-1.2</v>
      </c>
      <c r="G70" s="4">
        <v>10262924</v>
      </c>
    </row>
    <row r="71" spans="1:7" x14ac:dyDescent="0.15">
      <c r="A71" s="17">
        <v>43252</v>
      </c>
      <c r="B71" s="1">
        <v>76.709999999999994</v>
      </c>
      <c r="C71" s="5">
        <v>-0.77</v>
      </c>
      <c r="D71" s="1">
        <v>2295.34</v>
      </c>
      <c r="E71" s="1">
        <v>21.4</v>
      </c>
      <c r="F71" s="1">
        <v>-1.35</v>
      </c>
      <c r="G71" s="4">
        <v>11823928</v>
      </c>
    </row>
    <row r="72" spans="1:7" x14ac:dyDescent="0.15">
      <c r="A72" s="17">
        <v>43259</v>
      </c>
      <c r="B72" s="1">
        <v>76.34</v>
      </c>
      <c r="C72" s="5">
        <v>2.1800000000000002</v>
      </c>
      <c r="D72" s="1">
        <v>2267.92</v>
      </c>
      <c r="E72" s="1">
        <v>21.02</v>
      </c>
      <c r="F72" s="1">
        <v>-1.35</v>
      </c>
      <c r="G72" s="4">
        <v>12705100</v>
      </c>
    </row>
    <row r="73" spans="1:7" x14ac:dyDescent="0.15">
      <c r="A73" s="17">
        <v>43266</v>
      </c>
      <c r="B73" s="1">
        <v>73</v>
      </c>
      <c r="C73" s="5">
        <v>-0.23</v>
      </c>
      <c r="D73" s="1">
        <v>2237.5300000000002</v>
      </c>
      <c r="E73" s="1">
        <v>20.37</v>
      </c>
      <c r="F73" s="1">
        <v>-1.8</v>
      </c>
      <c r="G73" s="4">
        <v>12154550</v>
      </c>
    </row>
    <row r="74" spans="1:7" x14ac:dyDescent="0.15">
      <c r="A74" s="17">
        <v>43273</v>
      </c>
      <c r="B74" s="1">
        <v>75.53</v>
      </c>
      <c r="C74" s="5">
        <v>0.4</v>
      </c>
      <c r="D74" s="1">
        <v>2249.6799999999998</v>
      </c>
      <c r="E74" s="1">
        <v>20.88</v>
      </c>
      <c r="F74" s="1">
        <v>-1.95</v>
      </c>
      <c r="G74" s="4">
        <v>11872963</v>
      </c>
    </row>
    <row r="75" spans="1:7" x14ac:dyDescent="0.15">
      <c r="A75" s="17">
        <v>43280</v>
      </c>
      <c r="B75" s="1">
        <v>79.42</v>
      </c>
      <c r="C75" s="5">
        <v>4.83</v>
      </c>
      <c r="D75" s="1">
        <v>2295.9499999999998</v>
      </c>
      <c r="E75" s="1">
        <v>21.24</v>
      </c>
      <c r="F75" s="1">
        <v>-1.45</v>
      </c>
      <c r="G75" s="4">
        <v>8501131</v>
      </c>
    </row>
    <row r="76" spans="1:7" x14ac:dyDescent="0.15">
      <c r="A76" s="17">
        <v>43287</v>
      </c>
      <c r="B76" s="1">
        <v>77.290000000000006</v>
      </c>
      <c r="C76" s="5">
        <v>2.1800000000000002</v>
      </c>
      <c r="D76" s="1">
        <v>2345.38</v>
      </c>
      <c r="E76" s="1">
        <v>21.81</v>
      </c>
      <c r="F76" s="1">
        <v>-1.95</v>
      </c>
      <c r="G76" s="4">
        <v>12932098</v>
      </c>
    </row>
    <row r="77" spans="1:7" x14ac:dyDescent="0.15">
      <c r="A77" s="17">
        <v>43294</v>
      </c>
      <c r="B77" s="1">
        <v>74.92</v>
      </c>
      <c r="C77" s="5">
        <v>0.75</v>
      </c>
      <c r="D77" s="1">
        <v>2346.4299999999998</v>
      </c>
      <c r="E77" s="1">
        <v>21.79</v>
      </c>
      <c r="F77" s="1">
        <v>-2.25</v>
      </c>
      <c r="G77" s="4">
        <v>14682023</v>
      </c>
    </row>
    <row r="78" spans="1:7" x14ac:dyDescent="0.15">
      <c r="A78" s="17">
        <v>43301</v>
      </c>
      <c r="B78" s="1">
        <v>73</v>
      </c>
      <c r="C78" s="5">
        <v>1.89</v>
      </c>
      <c r="D78" s="1">
        <v>2247.8200000000002</v>
      </c>
      <c r="E78" s="1">
        <v>21.04</v>
      </c>
      <c r="F78" s="1">
        <v>-2.2000000000000002</v>
      </c>
      <c r="G78" s="4">
        <v>10249712</v>
      </c>
    </row>
    <row r="79" spans="1:7" x14ac:dyDescent="0.15">
      <c r="A79" s="17">
        <v>43308</v>
      </c>
      <c r="B79" s="1">
        <v>74.39</v>
      </c>
      <c r="C79" s="5">
        <v>7.07</v>
      </c>
      <c r="D79" s="1">
        <v>2292.7199999999998</v>
      </c>
      <c r="E79" s="1">
        <v>21.4</v>
      </c>
      <c r="F79" s="1">
        <v>-1.35</v>
      </c>
      <c r="G79" s="4">
        <v>12178792</v>
      </c>
    </row>
    <row r="80" spans="1:7" x14ac:dyDescent="0.15">
      <c r="A80" s="17">
        <v>43322</v>
      </c>
      <c r="B80" s="1">
        <v>72.959999999999994</v>
      </c>
      <c r="C80" s="5">
        <v>3.58</v>
      </c>
      <c r="D80" s="1">
        <v>2275.0500000000002</v>
      </c>
      <c r="E80" s="1">
        <v>19.579999999999998</v>
      </c>
      <c r="F80" s="1">
        <v>-1.1000000000000001</v>
      </c>
      <c r="G80" s="4">
        <v>10403537</v>
      </c>
    </row>
    <row r="81" spans="1:7" x14ac:dyDescent="0.15">
      <c r="A81" s="17">
        <v>43329</v>
      </c>
      <c r="B81" s="1">
        <v>71.86</v>
      </c>
      <c r="C81" s="5">
        <v>4.51</v>
      </c>
      <c r="D81" s="1">
        <v>2255.12</v>
      </c>
      <c r="E81" s="1">
        <v>19.84</v>
      </c>
      <c r="F81" s="1">
        <v>-1</v>
      </c>
      <c r="G81" s="4">
        <v>12594950</v>
      </c>
    </row>
    <row r="82" spans="1:7" x14ac:dyDescent="0.15">
      <c r="A82" s="17">
        <v>43336</v>
      </c>
      <c r="B82" s="1">
        <v>75.430000000000007</v>
      </c>
      <c r="C82" s="5">
        <v>8.34</v>
      </c>
      <c r="D82" s="1">
        <v>2279.7600000000002</v>
      </c>
      <c r="E82" s="1">
        <v>19.920000000000002</v>
      </c>
      <c r="F82" s="1">
        <v>-0.75</v>
      </c>
      <c r="G82" s="4">
        <v>10299989</v>
      </c>
    </row>
    <row r="83" spans="1:7" x14ac:dyDescent="0.15">
      <c r="A83" s="17">
        <v>43343</v>
      </c>
      <c r="B83" s="1">
        <v>77.45</v>
      </c>
      <c r="C83" s="5">
        <v>7.5</v>
      </c>
      <c r="D83" s="1">
        <v>2345.85</v>
      </c>
      <c r="E83" s="1">
        <v>20.03</v>
      </c>
      <c r="F83" s="1">
        <v>-0.3</v>
      </c>
      <c r="G83" s="4">
        <v>14163373</v>
      </c>
    </row>
    <row r="84" spans="1:7" x14ac:dyDescent="0.15">
      <c r="A84" s="17">
        <v>43350</v>
      </c>
      <c r="B84" s="1">
        <v>77.099999999999994</v>
      </c>
      <c r="C84" s="5">
        <v>1.1399999999999999</v>
      </c>
      <c r="D84" s="1">
        <v>2321.8200000000002</v>
      </c>
      <c r="E84" s="1">
        <v>19.18</v>
      </c>
      <c r="F84" s="1">
        <v>-0.25</v>
      </c>
      <c r="G84" s="4">
        <v>11867818</v>
      </c>
    </row>
    <row r="85" spans="1:7" x14ac:dyDescent="0.15">
      <c r="A85" s="17">
        <v>43357</v>
      </c>
      <c r="B85" s="1">
        <v>78.099999999999994</v>
      </c>
      <c r="C85" s="5">
        <v>1.05</v>
      </c>
      <c r="D85" s="1">
        <v>2360.2600000000002</v>
      </c>
      <c r="E85" s="1">
        <v>20.18</v>
      </c>
      <c r="F85" s="1">
        <v>-0.65</v>
      </c>
      <c r="G85" s="4">
        <v>11431820</v>
      </c>
    </row>
    <row r="86" spans="1:7" x14ac:dyDescent="0.15">
      <c r="A86" s="17">
        <v>43364</v>
      </c>
      <c r="B86" s="1">
        <v>78.77</v>
      </c>
      <c r="C86" s="5">
        <v>0.76</v>
      </c>
      <c r="D86" s="1">
        <v>2426.8000000000002</v>
      </c>
      <c r="E86" s="1">
        <v>21.12</v>
      </c>
      <c r="F86" s="1">
        <v>-1.8</v>
      </c>
      <c r="G86" s="4">
        <v>15115835</v>
      </c>
    </row>
    <row r="87" spans="1:7" x14ac:dyDescent="0.15">
      <c r="A87" s="17">
        <v>43371</v>
      </c>
      <c r="B87" s="1">
        <v>82.69</v>
      </c>
      <c r="C87" s="5">
        <v>2.86</v>
      </c>
      <c r="D87" s="1">
        <v>2475.36</v>
      </c>
      <c r="E87" s="1">
        <v>21.56</v>
      </c>
      <c r="F87" s="1">
        <v>-1.5</v>
      </c>
      <c r="G87" s="4">
        <v>17228527</v>
      </c>
    </row>
    <row r="88" spans="1:7" x14ac:dyDescent="0.15">
      <c r="A88" s="17">
        <v>43378</v>
      </c>
      <c r="B88" s="1">
        <v>84.11</v>
      </c>
      <c r="C88" s="5">
        <v>2.0699999999999998</v>
      </c>
      <c r="D88" s="1">
        <v>2450.9</v>
      </c>
      <c r="E88" s="1">
        <v>21.2</v>
      </c>
      <c r="F88" s="1">
        <v>-1.8</v>
      </c>
      <c r="G88" s="4">
        <v>13278771</v>
      </c>
    </row>
    <row r="89" spans="1:7" x14ac:dyDescent="0.15">
      <c r="A89" s="17">
        <v>43385</v>
      </c>
      <c r="B89" s="1">
        <v>80.599999999999994</v>
      </c>
      <c r="C89" s="5">
        <v>-3.6</v>
      </c>
      <c r="D89" s="1">
        <v>2403.02</v>
      </c>
      <c r="E89" s="1">
        <v>21.16</v>
      </c>
      <c r="F89" s="1">
        <v>-2.15</v>
      </c>
      <c r="G89" s="4">
        <v>13535904</v>
      </c>
    </row>
    <row r="90" spans="1:7" x14ac:dyDescent="0.15">
      <c r="A90" s="17">
        <v>43392</v>
      </c>
      <c r="B90" s="1">
        <v>80.02</v>
      </c>
      <c r="C90" s="5">
        <v>-1.4</v>
      </c>
      <c r="D90" s="1">
        <v>2344.79</v>
      </c>
      <c r="E90" s="1">
        <v>20.88</v>
      </c>
      <c r="F90" s="1">
        <v>-2.5</v>
      </c>
      <c r="G90" s="4">
        <v>11587197</v>
      </c>
    </row>
    <row r="91" spans="1:7" x14ac:dyDescent="0.15">
      <c r="A91" s="17">
        <v>43399</v>
      </c>
      <c r="B91" s="1">
        <v>77.73</v>
      </c>
      <c r="C91" s="5">
        <v>-0.92</v>
      </c>
      <c r="D91" s="1">
        <v>2293.2199999999998</v>
      </c>
      <c r="E91" s="1">
        <v>20.29</v>
      </c>
      <c r="F91" s="1">
        <v>-1.55</v>
      </c>
      <c r="G91" s="4">
        <v>13159674</v>
      </c>
    </row>
    <row r="92" spans="1:7" x14ac:dyDescent="0.15">
      <c r="A92" s="17">
        <v>43413</v>
      </c>
      <c r="B92" s="1">
        <v>69.88</v>
      </c>
      <c r="C92" s="5">
        <v>-7.59</v>
      </c>
      <c r="D92" s="1">
        <v>2403.4699999999998</v>
      </c>
      <c r="E92" s="1">
        <v>20.61</v>
      </c>
      <c r="F92" s="1">
        <v>-0.3</v>
      </c>
      <c r="G92" s="4">
        <v>12786168</v>
      </c>
    </row>
    <row r="93" spans="1:7" x14ac:dyDescent="0.15">
      <c r="A93" s="17">
        <v>43420</v>
      </c>
      <c r="B93" s="1">
        <v>67.099999999999994</v>
      </c>
      <c r="C93" s="5">
        <v>0.11</v>
      </c>
      <c r="D93" s="1">
        <v>2372.67</v>
      </c>
      <c r="E93" s="1">
        <v>21.01</v>
      </c>
      <c r="F93" s="1">
        <v>-0.25</v>
      </c>
      <c r="G93" s="4">
        <v>13047650</v>
      </c>
    </row>
    <row r="94" spans="1:7" x14ac:dyDescent="0.15">
      <c r="A94" s="17">
        <v>43427</v>
      </c>
      <c r="B94" s="1">
        <v>59.19</v>
      </c>
      <c r="C94" s="5">
        <v>-16.34</v>
      </c>
      <c r="D94" s="1">
        <v>2342.9699999999998</v>
      </c>
      <c r="E94" s="1">
        <v>20.45</v>
      </c>
      <c r="F94" s="1">
        <v>0.4</v>
      </c>
      <c r="G94" s="4">
        <v>14660001</v>
      </c>
    </row>
    <row r="95" spans="1:7" x14ac:dyDescent="0.15">
      <c r="A95" s="17">
        <v>43434</v>
      </c>
      <c r="B95" s="1">
        <v>58.68</v>
      </c>
      <c r="C95" s="5">
        <v>-1.52</v>
      </c>
      <c r="D95" s="1">
        <v>2392.5</v>
      </c>
      <c r="E95" s="1">
        <v>20.45</v>
      </c>
      <c r="F95" s="1">
        <v>-0.2</v>
      </c>
      <c r="G95" s="4">
        <v>12628603.403846154</v>
      </c>
    </row>
    <row r="96" spans="1:7" x14ac:dyDescent="0.15">
      <c r="A96" s="17">
        <v>43441</v>
      </c>
      <c r="B96" s="1">
        <v>61.4</v>
      </c>
      <c r="C96" s="5">
        <v>4.17</v>
      </c>
      <c r="D96" s="1">
        <v>2431.29</v>
      </c>
      <c r="E96" s="1">
        <v>20.71</v>
      </c>
      <c r="F96" s="1">
        <v>-0.35</v>
      </c>
      <c r="G96" s="4">
        <v>11348034</v>
      </c>
    </row>
    <row r="97" spans="1:7" x14ac:dyDescent="0.15">
      <c r="A97" s="17">
        <v>43448</v>
      </c>
      <c r="B97" s="1">
        <v>60.25</v>
      </c>
      <c r="C97" s="5">
        <v>-0.3</v>
      </c>
      <c r="D97" s="1">
        <v>2365.69</v>
      </c>
      <c r="E97" s="1">
        <v>20.23</v>
      </c>
      <c r="F97" s="1">
        <v>0.13</v>
      </c>
      <c r="G97" s="4">
        <v>12483391</v>
      </c>
    </row>
    <row r="98" spans="1:7" x14ac:dyDescent="0.15">
      <c r="A98" s="17">
        <v>43455</v>
      </c>
      <c r="B98" s="1">
        <v>53.5</v>
      </c>
      <c r="C98" s="5">
        <v>-4.09</v>
      </c>
      <c r="D98" s="1">
        <v>2347.17</v>
      </c>
      <c r="E98" s="1">
        <v>18.62</v>
      </c>
      <c r="F98" s="1">
        <v>0.45</v>
      </c>
      <c r="G98" s="4">
        <v>13469005</v>
      </c>
    </row>
    <row r="99" spans="1:7" x14ac:dyDescent="0.15">
      <c r="A99" s="17">
        <v>43469</v>
      </c>
      <c r="B99" s="1">
        <v>57.42</v>
      </c>
      <c r="C99" s="5">
        <v>6.78</v>
      </c>
      <c r="D99" s="1">
        <v>2406.5</v>
      </c>
      <c r="E99" s="1">
        <v>19.71</v>
      </c>
      <c r="F99" s="1">
        <v>0</v>
      </c>
      <c r="G99" s="4">
        <v>11871381</v>
      </c>
    </row>
    <row r="100" spans="1:7" x14ac:dyDescent="0.15">
      <c r="A100" s="17">
        <v>43476</v>
      </c>
      <c r="B100" s="1">
        <v>60.59</v>
      </c>
      <c r="C100" s="5">
        <v>6.66</v>
      </c>
      <c r="D100" s="1">
        <v>2444.4499999999998</v>
      </c>
      <c r="E100" s="1">
        <v>20.059999999999999</v>
      </c>
      <c r="F100" s="1">
        <v>-0.25</v>
      </c>
      <c r="G100" s="4">
        <v>14983893</v>
      </c>
    </row>
    <row r="101" spans="1:7" x14ac:dyDescent="0.15">
      <c r="A101" s="17">
        <v>43483</v>
      </c>
      <c r="B101" s="1">
        <v>62.58</v>
      </c>
      <c r="C101" s="5">
        <v>3.09</v>
      </c>
      <c r="D101" s="1">
        <v>2473.61</v>
      </c>
      <c r="E101" s="1">
        <v>20.51</v>
      </c>
      <c r="F101" s="1">
        <v>0.5</v>
      </c>
      <c r="G101" s="4">
        <v>13782133</v>
      </c>
    </row>
    <row r="102" spans="1:7" x14ac:dyDescent="0.15">
      <c r="A102" s="17">
        <v>43490</v>
      </c>
      <c r="B102" s="1">
        <v>61.51</v>
      </c>
      <c r="C102" s="5">
        <v>0.31</v>
      </c>
      <c r="D102" s="1">
        <v>2498.23</v>
      </c>
      <c r="E102" s="1">
        <v>20.74</v>
      </c>
      <c r="F102" s="1">
        <v>-0.1</v>
      </c>
      <c r="G102" s="4">
        <v>12886930</v>
      </c>
    </row>
    <row r="103" spans="1:7" x14ac:dyDescent="0.15">
      <c r="A103" s="17">
        <v>43497</v>
      </c>
      <c r="B103" s="1">
        <v>62.9</v>
      </c>
      <c r="C103" s="5">
        <v>0.32</v>
      </c>
      <c r="D103" s="1">
        <v>2521.6999999999998</v>
      </c>
      <c r="E103" s="1">
        <v>21.12</v>
      </c>
      <c r="F103" s="1">
        <v>-0.1</v>
      </c>
      <c r="G103" s="4">
        <v>12451617</v>
      </c>
    </row>
    <row r="104" spans="1:7" x14ac:dyDescent="0.15">
      <c r="A104" s="17">
        <v>43504</v>
      </c>
      <c r="B104" s="1">
        <v>61.97</v>
      </c>
      <c r="C104" s="5">
        <v>0.46</v>
      </c>
      <c r="D104" s="1">
        <v>2502.8200000000002</v>
      </c>
      <c r="E104" s="1">
        <v>20.76</v>
      </c>
      <c r="F104" s="1">
        <v>-0.45</v>
      </c>
      <c r="G104" s="4">
        <v>15217567</v>
      </c>
    </row>
    <row r="105" spans="1:7" x14ac:dyDescent="0.15">
      <c r="A105" s="17">
        <v>43511</v>
      </c>
      <c r="B105" s="1">
        <v>64.88</v>
      </c>
      <c r="C105" s="5">
        <v>4.5199999999999996</v>
      </c>
      <c r="D105" s="1">
        <v>2490.16</v>
      </c>
      <c r="E105" s="1">
        <v>20.47</v>
      </c>
      <c r="F105" s="1">
        <v>-0.05</v>
      </c>
      <c r="G105" s="4">
        <v>13954501</v>
      </c>
    </row>
    <row r="106" spans="1:7" x14ac:dyDescent="0.15">
      <c r="A106" s="17">
        <v>43518</v>
      </c>
      <c r="B106" s="1">
        <v>66.91</v>
      </c>
      <c r="C106" s="5">
        <v>3.28</v>
      </c>
      <c r="D106" s="1">
        <v>2488.63</v>
      </c>
      <c r="E106" s="1">
        <v>20.73</v>
      </c>
      <c r="F106" s="1">
        <v>-0.3</v>
      </c>
      <c r="G106" s="4">
        <v>14945215</v>
      </c>
    </row>
    <row r="107" spans="1:7" x14ac:dyDescent="0.15">
      <c r="A107" s="17">
        <v>43525</v>
      </c>
      <c r="B107" s="1">
        <v>65</v>
      </c>
      <c r="C107" s="5">
        <v>1.85</v>
      </c>
      <c r="D107" s="1">
        <v>2478.0100000000002</v>
      </c>
      <c r="E107" s="1">
        <v>20.440000000000001</v>
      </c>
      <c r="F107" s="1">
        <v>-0.75</v>
      </c>
      <c r="G107" s="4">
        <v>14671770</v>
      </c>
    </row>
    <row r="108" spans="1:7" x14ac:dyDescent="0.15">
      <c r="A108" s="17">
        <v>43539</v>
      </c>
      <c r="B108" s="1">
        <v>67.02</v>
      </c>
      <c r="C108" s="5">
        <v>4.4000000000000004</v>
      </c>
      <c r="D108" s="1">
        <v>2476.73</v>
      </c>
      <c r="E108" s="1">
        <v>20.87</v>
      </c>
      <c r="F108" s="1">
        <v>0</v>
      </c>
      <c r="G108" s="4">
        <v>16389007</v>
      </c>
    </row>
    <row r="109" spans="1:7" x14ac:dyDescent="0.15">
      <c r="A109" s="17">
        <v>43546</v>
      </c>
      <c r="B109" s="1">
        <v>67.08</v>
      </c>
      <c r="C109" s="5">
        <v>2.78</v>
      </c>
      <c r="D109" s="1">
        <v>2492.6999999999998</v>
      </c>
      <c r="E109" s="1">
        <v>20.9</v>
      </c>
      <c r="F109" s="1">
        <v>-0.65</v>
      </c>
      <c r="G109" s="4">
        <v>14971592</v>
      </c>
    </row>
    <row r="110" spans="1:7" x14ac:dyDescent="0.15">
      <c r="A110" s="17">
        <v>43553</v>
      </c>
      <c r="B110" s="1">
        <v>68.39</v>
      </c>
      <c r="C110" s="5">
        <v>2.44</v>
      </c>
      <c r="D110" s="1">
        <v>2497.1</v>
      </c>
      <c r="E110" s="1">
        <v>20.6</v>
      </c>
      <c r="F110" s="1">
        <v>-0.2</v>
      </c>
      <c r="G110" s="4">
        <v>16994558</v>
      </c>
    </row>
    <row r="111" spans="1:7" x14ac:dyDescent="0.15">
      <c r="A111" s="17">
        <v>43560</v>
      </c>
      <c r="B111" s="1">
        <v>70.48</v>
      </c>
      <c r="C111" s="5">
        <v>2.7</v>
      </c>
      <c r="D111" s="1">
        <v>2540.9899999999998</v>
      </c>
      <c r="E111" s="1">
        <v>21.19</v>
      </c>
      <c r="F111" s="1">
        <v>0.5</v>
      </c>
      <c r="G111" s="4">
        <v>16997541</v>
      </c>
    </row>
    <row r="112" spans="1:7" x14ac:dyDescent="0.15">
      <c r="A112" s="17">
        <v>43567</v>
      </c>
      <c r="B112" s="1">
        <v>71.55</v>
      </c>
      <c r="C112" s="5">
        <v>2.77</v>
      </c>
      <c r="D112" s="1">
        <v>2559.7199999999998</v>
      </c>
      <c r="E112" s="1">
        <v>21.45</v>
      </c>
      <c r="F112" s="1">
        <v>0.05</v>
      </c>
      <c r="G112" s="4">
        <v>16856560</v>
      </c>
    </row>
    <row r="113" spans="1:7" x14ac:dyDescent="0.15">
      <c r="A113" s="17">
        <v>43581</v>
      </c>
      <c r="B113" s="1">
        <v>71.569999999999993</v>
      </c>
      <c r="C113" s="5">
        <v>1.06</v>
      </c>
      <c r="D113" s="1">
        <v>2563.7199999999998</v>
      </c>
      <c r="E113" s="1">
        <v>21.42</v>
      </c>
      <c r="F113" s="1">
        <v>0.2</v>
      </c>
      <c r="G113" s="4">
        <v>17729510</v>
      </c>
    </row>
    <row r="114" spans="1:7" x14ac:dyDescent="0.15">
      <c r="A114" s="17">
        <v>43588</v>
      </c>
      <c r="B114" s="1">
        <v>70.78</v>
      </c>
      <c r="C114" s="5">
        <v>-0.66</v>
      </c>
      <c r="D114" s="1">
        <v>2580.9499999999998</v>
      </c>
      <c r="E114" s="1">
        <v>21.56</v>
      </c>
      <c r="F114" s="1">
        <v>0.9</v>
      </c>
      <c r="G114" s="4">
        <v>16126575</v>
      </c>
    </row>
    <row r="115" spans="1:7" x14ac:dyDescent="0.15">
      <c r="A115" s="17">
        <v>43602</v>
      </c>
      <c r="B115" s="1">
        <v>72.17</v>
      </c>
      <c r="C115" s="5">
        <v>2.09</v>
      </c>
      <c r="D115" s="1">
        <v>2577.48</v>
      </c>
      <c r="E115" s="1">
        <v>21.14</v>
      </c>
      <c r="F115" s="1">
        <v>-0.05</v>
      </c>
      <c r="G115" s="4">
        <v>14802804</v>
      </c>
    </row>
    <row r="116" spans="1:7" x14ac:dyDescent="0.15">
      <c r="A116" s="17">
        <v>43616</v>
      </c>
      <c r="B116" s="1">
        <v>64.47</v>
      </c>
      <c r="C116" s="5">
        <v>-4.49</v>
      </c>
      <c r="D116" s="1">
        <v>2665.33</v>
      </c>
      <c r="E116" s="1">
        <v>21.64</v>
      </c>
      <c r="F116" s="1">
        <v>-1</v>
      </c>
      <c r="G116" s="4">
        <v>15112504</v>
      </c>
    </row>
    <row r="117" spans="1:7" x14ac:dyDescent="0.15">
      <c r="A117" s="17">
        <v>43623</v>
      </c>
      <c r="B117" s="1">
        <v>63.24</v>
      </c>
      <c r="C117" s="5">
        <v>-3.06</v>
      </c>
      <c r="D117" s="1">
        <v>2729.61</v>
      </c>
      <c r="E117" s="1">
        <v>22.32</v>
      </c>
      <c r="F117" s="1">
        <v>-2</v>
      </c>
      <c r="G117" s="4">
        <v>12014945</v>
      </c>
    </row>
    <row r="118" spans="1:7" x14ac:dyDescent="0.15">
      <c r="A118" s="17">
        <v>43630</v>
      </c>
      <c r="B118" s="1">
        <v>62.04</v>
      </c>
      <c r="C118" s="5">
        <v>2.04</v>
      </c>
      <c r="D118" s="1">
        <v>2739.28</v>
      </c>
      <c r="E118" s="1">
        <v>22.79</v>
      </c>
      <c r="F118" s="1">
        <v>-1.95</v>
      </c>
      <c r="G118" s="4">
        <v>13182809</v>
      </c>
    </row>
    <row r="119" spans="1:7" x14ac:dyDescent="0.15">
      <c r="A119" s="17">
        <v>43637</v>
      </c>
      <c r="B119" s="1">
        <v>65.349999999999994</v>
      </c>
      <c r="C119" s="5">
        <v>7.79</v>
      </c>
      <c r="D119" s="1">
        <v>2761.23</v>
      </c>
      <c r="E119" s="1">
        <v>23.66</v>
      </c>
      <c r="F119" s="1">
        <v>-2.35</v>
      </c>
      <c r="G119" s="4">
        <v>11866617</v>
      </c>
    </row>
    <row r="120" spans="1:7" x14ac:dyDescent="0.15">
      <c r="A120" s="17">
        <v>43644</v>
      </c>
      <c r="B120" s="1">
        <v>66.510000000000005</v>
      </c>
      <c r="C120" s="5">
        <v>8.06</v>
      </c>
      <c r="D120" s="1">
        <v>2765.85</v>
      </c>
      <c r="E120" s="1">
        <v>23.63</v>
      </c>
      <c r="F120" s="1">
        <v>-1.8</v>
      </c>
      <c r="G120" s="4">
        <v>13980131</v>
      </c>
    </row>
    <row r="121" spans="1:7" x14ac:dyDescent="0.15">
      <c r="A121" s="17">
        <v>43651</v>
      </c>
      <c r="B121" s="1">
        <v>64.44</v>
      </c>
      <c r="C121" s="5">
        <v>5.43</v>
      </c>
      <c r="D121" s="1">
        <v>2835.35</v>
      </c>
      <c r="E121" s="1">
        <v>23.85</v>
      </c>
      <c r="F121" s="1">
        <v>-2</v>
      </c>
      <c r="G121" s="4">
        <v>13765048</v>
      </c>
    </row>
    <row r="122" spans="1:7" x14ac:dyDescent="0.15">
      <c r="A122" s="17">
        <v>43658</v>
      </c>
      <c r="B122" s="1">
        <v>67</v>
      </c>
      <c r="C122" s="5">
        <v>9.1300000000000008</v>
      </c>
      <c r="D122" s="1">
        <v>2777.58</v>
      </c>
      <c r="E122" s="1">
        <v>23.92</v>
      </c>
      <c r="F122" s="1">
        <v>-2</v>
      </c>
      <c r="G122" s="4">
        <v>14058458</v>
      </c>
    </row>
    <row r="123" spans="1:7" x14ac:dyDescent="0.15">
      <c r="A123" s="17">
        <v>43665</v>
      </c>
      <c r="B123" s="1">
        <v>62.65</v>
      </c>
      <c r="C123" s="5">
        <v>2.79</v>
      </c>
      <c r="D123" s="1">
        <v>2700.57</v>
      </c>
      <c r="E123" s="1">
        <v>23.66</v>
      </c>
      <c r="F123" s="1">
        <v>-2</v>
      </c>
      <c r="G123" s="4">
        <v>12305294</v>
      </c>
    </row>
    <row r="124" spans="1:7" x14ac:dyDescent="0.15">
      <c r="A124" s="17">
        <v>43672</v>
      </c>
      <c r="B124" s="1">
        <v>63.39</v>
      </c>
      <c r="C124" s="5">
        <v>5.95</v>
      </c>
      <c r="D124" s="1">
        <v>2715.68</v>
      </c>
      <c r="E124" s="1">
        <v>23.64</v>
      </c>
      <c r="F124" s="1">
        <v>0.2</v>
      </c>
      <c r="G124" s="4">
        <v>16413849</v>
      </c>
    </row>
    <row r="125" spans="1:7" x14ac:dyDescent="0.15">
      <c r="A125" s="17">
        <v>43679</v>
      </c>
      <c r="B125" s="1">
        <v>61.17</v>
      </c>
      <c r="C125" s="5">
        <v>3.49</v>
      </c>
      <c r="D125" s="1">
        <v>2674.9</v>
      </c>
      <c r="E125" s="1">
        <v>22.57</v>
      </c>
      <c r="F125" s="1">
        <v>0.8</v>
      </c>
      <c r="G125" s="4">
        <v>15368207</v>
      </c>
    </row>
    <row r="126" spans="1:7" x14ac:dyDescent="0.15">
      <c r="A126" s="17">
        <v>43686</v>
      </c>
      <c r="B126" s="1">
        <v>58.42</v>
      </c>
      <c r="C126" s="5">
        <v>0.26</v>
      </c>
      <c r="D126" s="1">
        <v>2679.71</v>
      </c>
      <c r="E126" s="1">
        <v>22.38</v>
      </c>
      <c r="F126" s="1">
        <v>-0.25</v>
      </c>
      <c r="G126" s="4">
        <v>14949161</v>
      </c>
    </row>
    <row r="127" spans="1:7" x14ac:dyDescent="0.15">
      <c r="A127" s="17">
        <v>43693</v>
      </c>
      <c r="B127" s="1">
        <v>58.64</v>
      </c>
      <c r="C127" s="5">
        <v>4.28</v>
      </c>
      <c r="D127" s="1">
        <v>2615.1999999999998</v>
      </c>
      <c r="E127" s="1">
        <v>21.47</v>
      </c>
      <c r="F127" s="1">
        <v>-0.75</v>
      </c>
      <c r="G127" s="4">
        <v>13163153</v>
      </c>
    </row>
    <row r="128" spans="1:7" x14ac:dyDescent="0.15">
      <c r="A128" s="17">
        <v>43700</v>
      </c>
      <c r="B128" s="1">
        <v>58.94</v>
      </c>
      <c r="C128" s="5">
        <v>1.57</v>
      </c>
      <c r="D128" s="1">
        <v>2660.74</v>
      </c>
      <c r="E128" s="1">
        <v>21.74</v>
      </c>
      <c r="F128" s="1">
        <v>-0.75</v>
      </c>
      <c r="G128" s="4">
        <v>18023241</v>
      </c>
    </row>
    <row r="129" spans="1:7" x14ac:dyDescent="0.15">
      <c r="A129" s="17">
        <v>43707</v>
      </c>
      <c r="B129" s="1">
        <v>60.43</v>
      </c>
      <c r="C129" s="5">
        <v>2.2400000000000002</v>
      </c>
      <c r="D129" s="1">
        <v>2740.04</v>
      </c>
      <c r="E129" s="1">
        <v>22.26</v>
      </c>
      <c r="F129" s="1">
        <v>-1</v>
      </c>
      <c r="G129" s="4">
        <v>15123148</v>
      </c>
    </row>
    <row r="130" spans="1:7" x14ac:dyDescent="0.15">
      <c r="A130" s="17">
        <v>43714</v>
      </c>
      <c r="B130" s="1">
        <v>61.78</v>
      </c>
      <c r="C130" s="5">
        <v>0.77</v>
      </c>
      <c r="D130" s="1">
        <v>2797.55</v>
      </c>
      <c r="E130" s="1">
        <v>23.07</v>
      </c>
      <c r="F130" s="1">
        <v>-2.2000000000000002</v>
      </c>
      <c r="G130" s="4">
        <v>14196672</v>
      </c>
    </row>
    <row r="131" spans="1:7" x14ac:dyDescent="0.15">
      <c r="A131" s="17">
        <v>43721</v>
      </c>
      <c r="B131" s="1">
        <v>60.25</v>
      </c>
      <c r="C131" s="5">
        <v>0.52</v>
      </c>
      <c r="D131" s="1">
        <v>2791.74</v>
      </c>
      <c r="E131" s="1">
        <v>23.61</v>
      </c>
      <c r="F131" s="1">
        <v>-1.65</v>
      </c>
      <c r="G131" s="4">
        <v>13023830</v>
      </c>
    </row>
    <row r="132" spans="1:7" x14ac:dyDescent="0.15">
      <c r="A132" s="17">
        <v>43728</v>
      </c>
      <c r="B132" s="1">
        <v>64.77</v>
      </c>
      <c r="C132" s="5">
        <v>2.74</v>
      </c>
      <c r="D132" s="1">
        <v>2796.41</v>
      </c>
      <c r="E132" s="1">
        <v>23.43</v>
      </c>
      <c r="F132" s="1">
        <v>-0.9</v>
      </c>
      <c r="G132" s="4">
        <v>10243935</v>
      </c>
    </row>
    <row r="133" spans="1:7" x14ac:dyDescent="0.15">
      <c r="A133" s="17">
        <v>43735</v>
      </c>
      <c r="B133" s="1">
        <v>61.91</v>
      </c>
      <c r="C133" s="5">
        <v>-1.72</v>
      </c>
      <c r="D133" s="1">
        <v>2757.98</v>
      </c>
      <c r="E133" s="1">
        <v>22.98</v>
      </c>
      <c r="F133" s="1">
        <v>-2.85</v>
      </c>
      <c r="G133" s="4">
        <v>8236559</v>
      </c>
    </row>
    <row r="134" spans="1:7" x14ac:dyDescent="0.15">
      <c r="A134" s="17">
        <v>43742</v>
      </c>
      <c r="B134" s="1">
        <v>58.43</v>
      </c>
      <c r="C134" s="5">
        <v>-1.59</v>
      </c>
      <c r="D134" s="1">
        <v>2692.55</v>
      </c>
      <c r="E134" s="1">
        <v>22.51</v>
      </c>
      <c r="F134" s="1">
        <v>-2.1</v>
      </c>
      <c r="G134" s="4">
        <v>11728656</v>
      </c>
    </row>
    <row r="135" spans="1:7" x14ac:dyDescent="0.15">
      <c r="A135" s="17">
        <v>43749</v>
      </c>
      <c r="B135" s="1">
        <v>60.68</v>
      </c>
      <c r="C135" s="5">
        <v>3.26</v>
      </c>
      <c r="D135" s="1">
        <v>2708.07</v>
      </c>
      <c r="E135" s="1">
        <v>22.92</v>
      </c>
      <c r="F135" s="1">
        <v>-1.6</v>
      </c>
      <c r="G135" s="4">
        <v>11860171</v>
      </c>
    </row>
    <row r="136" spans="1:7" x14ac:dyDescent="0.15">
      <c r="A136" s="17">
        <v>43756</v>
      </c>
      <c r="B136" s="1">
        <v>59.3</v>
      </c>
      <c r="C136" s="5">
        <v>1.8</v>
      </c>
      <c r="D136" s="1">
        <v>2752.91</v>
      </c>
      <c r="E136" s="1">
        <v>23.02</v>
      </c>
      <c r="F136" s="1">
        <v>-2.1</v>
      </c>
      <c r="G136" s="4">
        <v>11664488</v>
      </c>
    </row>
    <row r="137" spans="1:7" x14ac:dyDescent="0.15">
      <c r="A137" s="17">
        <v>43763</v>
      </c>
      <c r="B137" s="1">
        <v>62.03</v>
      </c>
      <c r="C137" s="5">
        <v>4.58</v>
      </c>
      <c r="D137" s="1">
        <v>2873.41</v>
      </c>
      <c r="E137" s="1">
        <v>24.11</v>
      </c>
      <c r="F137" s="1">
        <v>-0.65</v>
      </c>
      <c r="G137" s="4">
        <v>8073516</v>
      </c>
    </row>
    <row r="138" spans="1:7" x14ac:dyDescent="0.15">
      <c r="A138" s="17">
        <v>43770</v>
      </c>
      <c r="B138" s="1">
        <v>61.55</v>
      </c>
      <c r="C138" s="5">
        <v>1.6</v>
      </c>
      <c r="D138" s="1">
        <v>2930.4</v>
      </c>
      <c r="E138" s="1">
        <v>24.75</v>
      </c>
      <c r="F138" s="1">
        <v>0.4</v>
      </c>
      <c r="G138" s="4">
        <v>14527054</v>
      </c>
    </row>
    <row r="139" spans="1:7" x14ac:dyDescent="0.15">
      <c r="A139" s="17">
        <v>43777</v>
      </c>
      <c r="B139" s="1">
        <v>62.61</v>
      </c>
      <c r="C139" s="5">
        <v>-0.36</v>
      </c>
      <c r="D139" s="1">
        <v>2973.19</v>
      </c>
      <c r="E139" s="1">
        <v>24.97</v>
      </c>
      <c r="F139" s="1">
        <v>0.4</v>
      </c>
      <c r="G139" s="4">
        <v>13941599.903846154</v>
      </c>
    </row>
    <row r="140" spans="1:7" x14ac:dyDescent="0.15">
      <c r="A140" s="17">
        <v>43784</v>
      </c>
      <c r="B140" s="1">
        <v>63.45</v>
      </c>
      <c r="C140" s="5">
        <v>-0.85</v>
      </c>
      <c r="D140" s="1">
        <v>2934.82</v>
      </c>
      <c r="E140" s="1">
        <v>24.73</v>
      </c>
      <c r="F140" s="1">
        <v>0.4</v>
      </c>
      <c r="G140" s="4">
        <v>12737889</v>
      </c>
    </row>
    <row r="141" spans="1:7" x14ac:dyDescent="0.15">
      <c r="A141" s="17">
        <v>43791</v>
      </c>
      <c r="B141" s="1">
        <v>63.5</v>
      </c>
      <c r="C141" s="5">
        <v>-0.22</v>
      </c>
      <c r="D141" s="1">
        <v>2947.68</v>
      </c>
      <c r="E141" s="1">
        <v>24.63</v>
      </c>
      <c r="F141" s="1">
        <v>-0.95</v>
      </c>
      <c r="G141" s="4">
        <v>13488404</v>
      </c>
    </row>
    <row r="142" spans="1:7" x14ac:dyDescent="0.15">
      <c r="A142" s="17">
        <v>43805</v>
      </c>
      <c r="B142" s="1">
        <v>64.27</v>
      </c>
      <c r="C142" s="5">
        <v>-1.92</v>
      </c>
      <c r="D142" s="1">
        <v>2928.76</v>
      </c>
      <c r="E142" s="1">
        <v>24.47</v>
      </c>
      <c r="F142" s="1">
        <v>-2</v>
      </c>
      <c r="G142" s="4">
        <v>14365312</v>
      </c>
    </row>
    <row r="143" spans="1:7" x14ac:dyDescent="0.15">
      <c r="A143" s="17">
        <v>43812</v>
      </c>
      <c r="B143" s="1">
        <v>64.989999999999995</v>
      </c>
      <c r="C143" s="5">
        <v>-2</v>
      </c>
      <c r="D143" s="1">
        <v>2996.63</v>
      </c>
      <c r="E143" s="1">
        <v>25.58</v>
      </c>
      <c r="F143" s="1">
        <v>-2.5</v>
      </c>
      <c r="G143" s="4">
        <v>12606085</v>
      </c>
    </row>
    <row r="144" spans="1:7" x14ac:dyDescent="0.15">
      <c r="A144" s="17">
        <v>43819</v>
      </c>
      <c r="B144" s="1">
        <v>66.099999999999994</v>
      </c>
      <c r="C144" s="5">
        <v>-0.79</v>
      </c>
      <c r="D144" s="1">
        <v>3015.93</v>
      </c>
      <c r="E144" s="1">
        <v>26</v>
      </c>
      <c r="F144" s="1">
        <v>-3.1</v>
      </c>
      <c r="G144" s="4">
        <v>15536455</v>
      </c>
    </row>
    <row r="145" spans="1:7" x14ac:dyDescent="0.15">
      <c r="A145" s="17">
        <v>43826</v>
      </c>
      <c r="B145" s="1">
        <v>68.2</v>
      </c>
      <c r="C145" s="5">
        <v>-0.89</v>
      </c>
      <c r="D145" s="1">
        <v>3050.47</v>
      </c>
      <c r="E145" s="1">
        <v>25.06</v>
      </c>
      <c r="F145" s="1">
        <v>-4.55</v>
      </c>
      <c r="G145" s="4">
        <v>13043148</v>
      </c>
    </row>
    <row r="146" spans="1:7" x14ac:dyDescent="0.15">
      <c r="A146" s="17">
        <v>43833</v>
      </c>
      <c r="B146" s="1">
        <v>68.7</v>
      </c>
      <c r="C146" s="5">
        <v>0</v>
      </c>
      <c r="D146" s="1">
        <v>3076.37</v>
      </c>
      <c r="E146" s="1">
        <v>25.1</v>
      </c>
      <c r="F146" s="1">
        <v>-3.5</v>
      </c>
      <c r="G146" s="4">
        <v>13577420</v>
      </c>
    </row>
    <row r="147" spans="1:7" x14ac:dyDescent="0.15">
      <c r="A147" s="17">
        <v>43840</v>
      </c>
      <c r="B147" s="1">
        <v>65.099999999999994</v>
      </c>
      <c r="C147" s="5">
        <v>0.43</v>
      </c>
      <c r="D147" s="1">
        <v>3123.66</v>
      </c>
      <c r="E147" s="1">
        <v>26.01</v>
      </c>
      <c r="F147" s="1">
        <v>-2.4500000000000002</v>
      </c>
      <c r="G147" s="4">
        <v>15439292</v>
      </c>
    </row>
    <row r="148" spans="1:7" x14ac:dyDescent="0.15">
      <c r="A148" s="17">
        <v>43847</v>
      </c>
      <c r="B148" s="1">
        <v>65.349999999999994</v>
      </c>
      <c r="C148" s="5">
        <v>-0.66</v>
      </c>
      <c r="D148" s="1">
        <v>3196.88</v>
      </c>
      <c r="E148" s="1">
        <v>26.57</v>
      </c>
      <c r="F148" s="1">
        <v>-1.75</v>
      </c>
      <c r="G148" s="4">
        <v>14063671</v>
      </c>
    </row>
    <row r="149" spans="1:7" x14ac:dyDescent="0.15">
      <c r="A149" s="17">
        <v>43854</v>
      </c>
      <c r="B149" s="1">
        <v>60.56</v>
      </c>
      <c r="C149" s="5">
        <v>1.3</v>
      </c>
      <c r="D149" s="1">
        <v>3146.2</v>
      </c>
      <c r="E149" s="1">
        <v>25.86</v>
      </c>
      <c r="F149" s="1">
        <v>-1.7</v>
      </c>
      <c r="G149" s="4">
        <v>9377612</v>
      </c>
    </row>
    <row r="150" spans="1:7" x14ac:dyDescent="0.15">
      <c r="A150" s="17">
        <v>43861</v>
      </c>
      <c r="B150" s="1">
        <v>58.19</v>
      </c>
      <c r="C150" s="5">
        <v>0.08</v>
      </c>
      <c r="D150" s="1">
        <v>3076.65</v>
      </c>
      <c r="E150" s="1">
        <v>24.6</v>
      </c>
      <c r="F150" s="1">
        <v>-1</v>
      </c>
      <c r="G150" s="4">
        <v>11726893</v>
      </c>
    </row>
    <row r="151" spans="1:7" x14ac:dyDescent="0.15">
      <c r="A151" s="17">
        <v>43868</v>
      </c>
      <c r="B151" s="1">
        <v>54.5</v>
      </c>
      <c r="C151" s="5">
        <v>3.5</v>
      </c>
      <c r="D151" s="1">
        <v>3087.63</v>
      </c>
      <c r="E151" s="1">
        <v>24.6</v>
      </c>
      <c r="F151" s="1">
        <v>-1.5</v>
      </c>
      <c r="G151" s="4">
        <v>16403442</v>
      </c>
    </row>
    <row r="152" spans="1:7" x14ac:dyDescent="0.15">
      <c r="A152" s="17">
        <v>43875</v>
      </c>
      <c r="B152" s="1">
        <v>57.24</v>
      </c>
      <c r="C152" s="5">
        <v>6.42</v>
      </c>
      <c r="D152" s="1">
        <v>3096.88</v>
      </c>
      <c r="E152" s="1">
        <v>24.79</v>
      </c>
      <c r="F152" s="1">
        <v>-0.9</v>
      </c>
      <c r="G152" s="4">
        <v>14940721</v>
      </c>
    </row>
    <row r="153" spans="1:7" x14ac:dyDescent="0.15">
      <c r="A153" s="17">
        <v>43882</v>
      </c>
      <c r="B153" s="1">
        <v>58.36</v>
      </c>
      <c r="C153" s="5">
        <v>3.75</v>
      </c>
      <c r="D153" s="1">
        <v>3106.03</v>
      </c>
      <c r="E153" s="1">
        <v>24.79</v>
      </c>
      <c r="F153" s="1">
        <v>-1.95</v>
      </c>
      <c r="G153" s="4">
        <v>14500632</v>
      </c>
    </row>
    <row r="154" spans="1:7" x14ac:dyDescent="0.15">
      <c r="A154" s="17">
        <v>43889</v>
      </c>
      <c r="B154" s="1">
        <v>50.5</v>
      </c>
      <c r="C154" s="5">
        <v>-8.16</v>
      </c>
      <c r="D154" s="1">
        <v>2785.08</v>
      </c>
      <c r="E154" s="1">
        <v>21.37</v>
      </c>
      <c r="F154" s="1">
        <v>-2.2000000000000002</v>
      </c>
      <c r="G154" s="4">
        <v>14197637</v>
      </c>
    </row>
    <row r="155" spans="1:7" x14ac:dyDescent="0.15">
      <c r="A155" s="17">
        <v>43896</v>
      </c>
      <c r="B155" s="1">
        <v>45.5</v>
      </c>
      <c r="C155" s="5">
        <v>-2.86</v>
      </c>
      <c r="D155" s="1">
        <v>2719.51</v>
      </c>
      <c r="E155" s="1">
        <v>20.62</v>
      </c>
      <c r="F155" s="1">
        <v>-1.65</v>
      </c>
      <c r="G155" s="4">
        <v>15461780</v>
      </c>
    </row>
    <row r="156" spans="1:7" x14ac:dyDescent="0.15">
      <c r="A156" s="17">
        <v>43903</v>
      </c>
      <c r="B156" s="1">
        <v>34.97</v>
      </c>
      <c r="C156" s="5">
        <v>-11.17</v>
      </c>
      <c r="D156" s="1">
        <v>2316.38</v>
      </c>
      <c r="E156" s="1">
        <v>17.34</v>
      </c>
      <c r="F156" s="1">
        <v>-3.15</v>
      </c>
      <c r="G156" s="4">
        <v>7917559</v>
      </c>
    </row>
    <row r="157" spans="1:7" x14ac:dyDescent="0.15">
      <c r="A157" s="17">
        <v>43910</v>
      </c>
      <c r="B157" s="1">
        <v>27.21</v>
      </c>
      <c r="C157" s="5">
        <v>-0.51</v>
      </c>
      <c r="D157" s="1">
        <v>2331.61</v>
      </c>
      <c r="E157" s="1">
        <v>14.8</v>
      </c>
      <c r="F157" s="1">
        <v>-4.2</v>
      </c>
      <c r="G157" s="4">
        <v>8199491</v>
      </c>
    </row>
    <row r="158" spans="1:7" x14ac:dyDescent="0.15">
      <c r="A158" s="17">
        <v>43917</v>
      </c>
      <c r="B158" s="1">
        <v>25.1</v>
      </c>
      <c r="C158" s="5">
        <v>7.71</v>
      </c>
      <c r="D158" s="1">
        <v>2401.11</v>
      </c>
      <c r="E158" s="1">
        <v>16.23</v>
      </c>
      <c r="F158" s="1">
        <v>-4.3499999999999996</v>
      </c>
      <c r="G158" s="4">
        <v>10697260</v>
      </c>
    </row>
    <row r="159" spans="1:7" x14ac:dyDescent="0.15">
      <c r="A159" s="17">
        <v>43924</v>
      </c>
      <c r="B159" s="1">
        <v>34.65</v>
      </c>
      <c r="C159" s="5">
        <v>15.14</v>
      </c>
      <c r="D159" s="1">
        <v>2572.23</v>
      </c>
      <c r="E159" s="1">
        <v>17.77</v>
      </c>
      <c r="F159" s="1">
        <v>-4.3499999999999996</v>
      </c>
      <c r="G159" s="4">
        <v>11448124</v>
      </c>
    </row>
    <row r="160" spans="1:7" x14ac:dyDescent="0.15">
      <c r="A160" s="17">
        <v>43938</v>
      </c>
      <c r="B160" s="1">
        <v>28.25</v>
      </c>
      <c r="C160" s="5">
        <v>8.02</v>
      </c>
      <c r="D160" s="1">
        <v>2534.9699999999998</v>
      </c>
      <c r="E160" s="1">
        <v>18.38</v>
      </c>
      <c r="F160" s="1">
        <v>-4.3</v>
      </c>
      <c r="G160" s="4">
        <v>7034657</v>
      </c>
    </row>
    <row r="161" spans="1:7" x14ac:dyDescent="0.15">
      <c r="A161" s="17">
        <v>43945</v>
      </c>
      <c r="B161" s="1">
        <v>21.8</v>
      </c>
      <c r="C161" s="5">
        <v>6.45</v>
      </c>
      <c r="D161" s="1">
        <v>2562.0300000000002</v>
      </c>
      <c r="E161" s="1">
        <v>18.41</v>
      </c>
      <c r="F161" s="1">
        <v>0.35</v>
      </c>
      <c r="G161" s="4">
        <v>7764517</v>
      </c>
    </row>
    <row r="162" spans="1:7" x14ac:dyDescent="0.15">
      <c r="A162" s="17">
        <v>43966</v>
      </c>
      <c r="B162" s="1">
        <v>32.74</v>
      </c>
      <c r="C162" s="5">
        <v>2.4900000000000002</v>
      </c>
      <c r="D162" s="1">
        <v>2593.91</v>
      </c>
      <c r="E162" s="1">
        <v>18.89</v>
      </c>
      <c r="F162" s="1">
        <v>0.4</v>
      </c>
      <c r="G162" s="4">
        <v>5126581</v>
      </c>
    </row>
    <row r="163" spans="1:7" x14ac:dyDescent="0.15">
      <c r="A163" s="17">
        <v>43973</v>
      </c>
      <c r="B163" s="1">
        <v>35.119999999999997</v>
      </c>
      <c r="C163" s="5">
        <v>4.84</v>
      </c>
      <c r="D163" s="1">
        <v>2709.38</v>
      </c>
      <c r="E163" s="1">
        <v>20.14</v>
      </c>
      <c r="F163" s="1">
        <v>0.75</v>
      </c>
      <c r="G163" s="4">
        <v>3518702</v>
      </c>
    </row>
    <row r="164" spans="1:7" x14ac:dyDescent="0.15">
      <c r="A164" s="17">
        <v>43980</v>
      </c>
      <c r="B164" s="1">
        <v>35.31</v>
      </c>
      <c r="C164" s="5">
        <v>-0.48</v>
      </c>
      <c r="D164" s="1">
        <v>2734.83</v>
      </c>
      <c r="E164" s="1">
        <v>20.62</v>
      </c>
      <c r="F164" s="1">
        <v>1.7</v>
      </c>
      <c r="G164" s="4">
        <v>6015094</v>
      </c>
    </row>
    <row r="165" spans="1:7" x14ac:dyDescent="0.15">
      <c r="A165" s="17">
        <v>43987</v>
      </c>
      <c r="B165" s="1">
        <v>42.07</v>
      </c>
      <c r="C165" s="5">
        <v>4.33</v>
      </c>
      <c r="D165" s="1">
        <v>2792.74</v>
      </c>
      <c r="E165" s="1">
        <v>21.42</v>
      </c>
      <c r="F165" s="1">
        <v>1.4</v>
      </c>
      <c r="G165" s="4">
        <v>6823030</v>
      </c>
    </row>
    <row r="166" spans="1:7" x14ac:dyDescent="0.15">
      <c r="A166" s="17">
        <v>44001</v>
      </c>
      <c r="B166" s="1">
        <v>41.92</v>
      </c>
      <c r="C166" s="5">
        <v>3.47</v>
      </c>
      <c r="D166" s="1">
        <v>2758.67</v>
      </c>
      <c r="E166" s="1">
        <v>20.85</v>
      </c>
      <c r="F166" s="1">
        <v>1.55</v>
      </c>
      <c r="G166" s="4">
        <v>8094331</v>
      </c>
    </row>
    <row r="167" spans="1:7" x14ac:dyDescent="0.15">
      <c r="A167" s="17">
        <v>44008</v>
      </c>
      <c r="B167" s="1">
        <v>40.67</v>
      </c>
      <c r="C167" s="5">
        <v>-3.01</v>
      </c>
      <c r="D167" s="1">
        <v>2761.74</v>
      </c>
      <c r="E167" s="1">
        <v>21.17</v>
      </c>
      <c r="F167" s="1">
        <v>1.95</v>
      </c>
      <c r="G167" s="4">
        <v>7471269</v>
      </c>
    </row>
    <row r="168" spans="1:7" x14ac:dyDescent="0.15">
      <c r="A168" s="17">
        <v>44022</v>
      </c>
      <c r="B168" s="1">
        <v>43.17</v>
      </c>
      <c r="C168" s="5">
        <v>0.01</v>
      </c>
      <c r="D168" s="1">
        <v>2800.94</v>
      </c>
      <c r="E168" s="1">
        <v>21.43</v>
      </c>
      <c r="F168" s="1">
        <v>1.05</v>
      </c>
      <c r="G168" s="4">
        <v>8785475</v>
      </c>
    </row>
    <row r="169" spans="1:7" x14ac:dyDescent="0.15">
      <c r="A169" s="17">
        <v>44029</v>
      </c>
      <c r="B169" s="1">
        <v>43.1</v>
      </c>
      <c r="C169" s="5">
        <v>-0.62</v>
      </c>
      <c r="D169" s="1">
        <v>2774.79</v>
      </c>
      <c r="E169" s="1">
        <v>21.23</v>
      </c>
      <c r="F169" s="1">
        <v>1.05</v>
      </c>
      <c r="G169" s="4">
        <v>5125048</v>
      </c>
    </row>
    <row r="170" spans="1:7" x14ac:dyDescent="0.15">
      <c r="A170" s="17">
        <v>44036</v>
      </c>
      <c r="B170" s="1">
        <v>43.42</v>
      </c>
      <c r="C170" s="5">
        <v>0.23</v>
      </c>
      <c r="D170" s="1">
        <v>2863.12</v>
      </c>
      <c r="E170" s="1">
        <v>22.27</v>
      </c>
      <c r="F170" s="1">
        <v>0.25</v>
      </c>
      <c r="G170" s="4">
        <v>7475875</v>
      </c>
    </row>
    <row r="171" spans="1:7" x14ac:dyDescent="0.15">
      <c r="A171" s="17">
        <v>44043</v>
      </c>
      <c r="B171" s="1">
        <v>43.32</v>
      </c>
      <c r="C171" s="5">
        <v>-1.37</v>
      </c>
      <c r="D171" s="1">
        <v>2911.57</v>
      </c>
      <c r="E171" s="1">
        <v>21.9</v>
      </c>
      <c r="F171" s="1">
        <v>-0.05</v>
      </c>
      <c r="G171" s="4">
        <v>9242883</v>
      </c>
    </row>
    <row r="172" spans="1:7" x14ac:dyDescent="0.15">
      <c r="A172" s="17">
        <v>44050</v>
      </c>
      <c r="B172" s="1">
        <v>44.69</v>
      </c>
      <c r="C172" s="5">
        <v>1.1399999999999999</v>
      </c>
      <c r="D172" s="1">
        <v>2972.35</v>
      </c>
      <c r="E172" s="1">
        <v>22.51</v>
      </c>
      <c r="F172" s="1">
        <v>-0.5</v>
      </c>
      <c r="G172" s="4">
        <v>9239971</v>
      </c>
    </row>
    <row r="173" spans="1:7" x14ac:dyDescent="0.15">
      <c r="A173" s="17">
        <v>44057</v>
      </c>
      <c r="B173" s="1">
        <v>44.95</v>
      </c>
      <c r="C173" s="5">
        <v>0.82</v>
      </c>
      <c r="D173" s="1">
        <v>3061.99</v>
      </c>
      <c r="E173" s="1">
        <v>23.5</v>
      </c>
      <c r="F173" s="1">
        <v>-1.05</v>
      </c>
      <c r="G173" s="4">
        <v>8054896</v>
      </c>
    </row>
    <row r="174" spans="1:7" x14ac:dyDescent="0.15">
      <c r="A174" s="17">
        <v>44064</v>
      </c>
      <c r="B174" s="1">
        <v>44.26</v>
      </c>
      <c r="C174" s="5">
        <v>0.43</v>
      </c>
      <c r="D174" s="1">
        <v>2995.61</v>
      </c>
      <c r="E174" s="1">
        <v>22.59</v>
      </c>
      <c r="F174" s="1">
        <v>-0.35</v>
      </c>
      <c r="G174" s="4">
        <v>6738608</v>
      </c>
    </row>
    <row r="175" spans="1:7" x14ac:dyDescent="0.15">
      <c r="A175" s="17">
        <v>44071</v>
      </c>
      <c r="B175" s="1">
        <v>45.08</v>
      </c>
      <c r="C175" s="5">
        <v>-1.18</v>
      </c>
      <c r="D175" s="1">
        <v>2980.17</v>
      </c>
      <c r="E175" s="1">
        <v>22.69</v>
      </c>
      <c r="F175" s="1">
        <v>0.75</v>
      </c>
      <c r="G175" s="4">
        <v>9377813</v>
      </c>
    </row>
    <row r="176" spans="1:7" x14ac:dyDescent="0.15">
      <c r="A176" s="17">
        <v>44078</v>
      </c>
      <c r="B176" s="1">
        <v>42.35</v>
      </c>
      <c r="C176" s="5">
        <v>-1.55</v>
      </c>
      <c r="D176" s="1">
        <v>2921.55</v>
      </c>
      <c r="E176" s="1">
        <v>22.05</v>
      </c>
      <c r="F176" s="1">
        <v>0.75</v>
      </c>
      <c r="G176" s="4">
        <v>9982943</v>
      </c>
    </row>
    <row r="177" spans="1:7" x14ac:dyDescent="0.15">
      <c r="A177" s="17">
        <v>44085</v>
      </c>
      <c r="B177" s="1">
        <v>39.92</v>
      </c>
      <c r="C177" s="5">
        <v>-1.21</v>
      </c>
      <c r="D177" s="1">
        <v>2910.51</v>
      </c>
      <c r="E177" s="1">
        <v>21.71</v>
      </c>
      <c r="F177" s="1">
        <v>-0.35</v>
      </c>
      <c r="G177" s="4">
        <v>7474777</v>
      </c>
    </row>
    <row r="178" spans="1:7" x14ac:dyDescent="0.15">
      <c r="A178" s="17">
        <v>44092</v>
      </c>
      <c r="B178" s="1">
        <v>43.04</v>
      </c>
      <c r="C178" s="5">
        <v>4.79</v>
      </c>
      <c r="D178" s="1">
        <v>2951.79</v>
      </c>
      <c r="E178" s="1">
        <v>21.87</v>
      </c>
      <c r="F178" s="1">
        <v>-0.35</v>
      </c>
      <c r="G178" s="4">
        <v>5418536</v>
      </c>
    </row>
    <row r="179" spans="1:7" x14ac:dyDescent="0.15">
      <c r="A179" s="17">
        <v>44099</v>
      </c>
      <c r="B179" s="1">
        <v>41.79</v>
      </c>
      <c r="C179" s="5">
        <v>1.17</v>
      </c>
      <c r="D179" s="1">
        <v>2896.83</v>
      </c>
      <c r="E179" s="1">
        <v>20.86</v>
      </c>
      <c r="F179" s="1">
        <v>0.1</v>
      </c>
      <c r="G179" s="4">
        <v>8051938</v>
      </c>
    </row>
    <row r="180" spans="1:7" x14ac:dyDescent="0.15">
      <c r="A180" s="17">
        <v>44106</v>
      </c>
      <c r="B180" s="1">
        <v>38.9</v>
      </c>
      <c r="C180" s="5">
        <v>0.82</v>
      </c>
      <c r="D180" s="1">
        <v>2852.42</v>
      </c>
      <c r="E180" s="1">
        <v>20.7</v>
      </c>
      <c r="F180" s="1">
        <v>-0.1</v>
      </c>
      <c r="G180" s="4">
        <v>9501568</v>
      </c>
    </row>
    <row r="181" spans="1:7" x14ac:dyDescent="0.15">
      <c r="A181" s="17">
        <v>44113</v>
      </c>
      <c r="B181" s="1">
        <v>42.82</v>
      </c>
      <c r="C181" s="5">
        <v>4.8899999999999997</v>
      </c>
      <c r="D181" s="1">
        <v>2834.09</v>
      </c>
      <c r="E181" s="1">
        <v>21.19</v>
      </c>
      <c r="F181" s="1">
        <v>-0.35</v>
      </c>
      <c r="G181" s="4">
        <v>7760162</v>
      </c>
    </row>
    <row r="182" spans="1:7" x14ac:dyDescent="0.15">
      <c r="A182" s="17">
        <v>44120</v>
      </c>
      <c r="B182" s="1">
        <v>42.85</v>
      </c>
      <c r="C182" s="5">
        <v>2.69</v>
      </c>
      <c r="D182" s="1">
        <v>2799.54</v>
      </c>
      <c r="E182" s="1">
        <v>20.73</v>
      </c>
      <c r="F182" s="1">
        <v>0.5</v>
      </c>
      <c r="G182" s="4">
        <v>3667003</v>
      </c>
    </row>
    <row r="183" spans="1:7" x14ac:dyDescent="0.15">
      <c r="A183" s="17">
        <v>44127</v>
      </c>
      <c r="B183" s="1">
        <v>41.59</v>
      </c>
      <c r="C183" s="5">
        <v>1.49</v>
      </c>
      <c r="D183" s="1">
        <v>2816.7</v>
      </c>
      <c r="E183" s="1">
        <v>21.44</v>
      </c>
      <c r="F183" s="1">
        <v>0.35</v>
      </c>
      <c r="G183" s="4">
        <v>7947940</v>
      </c>
    </row>
    <row r="184" spans="1:7" x14ac:dyDescent="0.15">
      <c r="A184" s="17">
        <v>44134</v>
      </c>
      <c r="B184" s="1">
        <v>37.450000000000003</v>
      </c>
      <c r="C184" s="5">
        <v>-1.93</v>
      </c>
      <c r="D184" s="1">
        <v>2690.59</v>
      </c>
      <c r="E184" s="1">
        <v>19.454999999999998</v>
      </c>
      <c r="F184" s="1">
        <v>0.7</v>
      </c>
      <c r="G184" s="4">
        <v>8507027</v>
      </c>
    </row>
    <row r="185" spans="1:7" x14ac:dyDescent="0.15">
      <c r="A185" s="17">
        <v>44141</v>
      </c>
      <c r="B185" s="1">
        <v>39.6</v>
      </c>
      <c r="C185" s="5">
        <v>3.16</v>
      </c>
      <c r="D185" s="1">
        <v>2895.62</v>
      </c>
      <c r="E185" s="1">
        <v>21.44</v>
      </c>
      <c r="F185" s="1">
        <v>0.25</v>
      </c>
      <c r="G185" s="4">
        <v>9929663</v>
      </c>
    </row>
    <row r="186" spans="1:7" x14ac:dyDescent="0.15">
      <c r="A186" s="17">
        <v>44148</v>
      </c>
      <c r="B186" s="1">
        <v>42.63</v>
      </c>
      <c r="C186" s="5">
        <v>-2.13</v>
      </c>
      <c r="D186" s="1">
        <v>3025.22</v>
      </c>
      <c r="E186" s="1">
        <v>22.44</v>
      </c>
      <c r="F186" s="1">
        <v>0.25</v>
      </c>
      <c r="G186" s="4">
        <v>9821605.0377358496</v>
      </c>
    </row>
    <row r="187" spans="1:7" x14ac:dyDescent="0.15">
      <c r="A187" s="17">
        <v>44155</v>
      </c>
      <c r="B187" s="1">
        <v>45.24</v>
      </c>
      <c r="C187" s="5">
        <v>0.2</v>
      </c>
      <c r="D187" s="1">
        <v>3051.04</v>
      </c>
      <c r="E187" s="1">
        <v>22.79</v>
      </c>
      <c r="F187" s="1">
        <v>0.35</v>
      </c>
      <c r="G187" s="4">
        <v>9666632</v>
      </c>
    </row>
    <row r="188" spans="1:7" x14ac:dyDescent="0.15">
      <c r="A188" s="17">
        <v>44162</v>
      </c>
      <c r="B188" s="1">
        <v>48.27</v>
      </c>
      <c r="C188" s="5">
        <v>1.79</v>
      </c>
      <c r="D188" s="1">
        <v>3142.68</v>
      </c>
      <c r="E188" s="1">
        <v>23.34</v>
      </c>
      <c r="F188" s="1">
        <v>-0.05</v>
      </c>
      <c r="G188" s="4">
        <v>8943195</v>
      </c>
    </row>
    <row r="189" spans="1:7" x14ac:dyDescent="0.15">
      <c r="A189" s="17">
        <v>44169</v>
      </c>
      <c r="B189" s="1">
        <v>49.03</v>
      </c>
      <c r="C189" s="5">
        <v>0.21</v>
      </c>
      <c r="D189" s="1">
        <v>3184.72</v>
      </c>
      <c r="E189" s="1">
        <v>24.18</v>
      </c>
      <c r="F189" s="1">
        <v>-0.65</v>
      </c>
      <c r="G189" s="4">
        <v>9529745</v>
      </c>
    </row>
    <row r="190" spans="1:7" x14ac:dyDescent="0.15">
      <c r="A190" s="17">
        <v>44176</v>
      </c>
      <c r="B190" s="1">
        <v>50.07</v>
      </c>
      <c r="C190" s="5">
        <v>0.53</v>
      </c>
      <c r="D190" s="1">
        <v>3276.58</v>
      </c>
      <c r="E190" s="1">
        <v>25.1</v>
      </c>
      <c r="F190" s="1">
        <v>-0.65</v>
      </c>
      <c r="G190" s="4">
        <v>8053125</v>
      </c>
    </row>
    <row r="191" spans="1:7" x14ac:dyDescent="0.15">
      <c r="A191" s="17">
        <v>44183</v>
      </c>
      <c r="B191" s="1">
        <v>52.37</v>
      </c>
      <c r="C191" s="5">
        <v>1.78</v>
      </c>
      <c r="D191" s="1">
        <v>3273.75</v>
      </c>
      <c r="E191" s="1">
        <v>25.06</v>
      </c>
      <c r="F191" s="1">
        <v>-1.3</v>
      </c>
      <c r="G191" s="4">
        <v>8055902</v>
      </c>
    </row>
    <row r="192" spans="1:7" x14ac:dyDescent="0.15">
      <c r="A192" s="17">
        <v>44204</v>
      </c>
      <c r="B192" s="1">
        <v>56.36</v>
      </c>
      <c r="C192" s="5">
        <v>1.97</v>
      </c>
      <c r="D192" s="1">
        <v>3454.82</v>
      </c>
      <c r="E192" s="1">
        <v>25.79</v>
      </c>
      <c r="F192" s="1">
        <v>-1.4</v>
      </c>
      <c r="G192" s="4">
        <v>8204712</v>
      </c>
    </row>
    <row r="193" spans="1:7" x14ac:dyDescent="0.15">
      <c r="A193" s="17">
        <v>44211</v>
      </c>
      <c r="B193" s="1">
        <v>55</v>
      </c>
      <c r="C193" s="5">
        <v>-0.2</v>
      </c>
      <c r="D193" s="1">
        <v>3450.95</v>
      </c>
      <c r="E193" s="1">
        <v>25.7</v>
      </c>
      <c r="F193" s="1">
        <v>-0.6</v>
      </c>
      <c r="G193" s="4">
        <v>6887310</v>
      </c>
    </row>
    <row r="194" spans="1:7" x14ac:dyDescent="0.15">
      <c r="A194" s="17">
        <v>44218</v>
      </c>
      <c r="B194" s="1">
        <v>55.21</v>
      </c>
      <c r="C194" s="5">
        <v>-0.84</v>
      </c>
      <c r="D194" s="1">
        <v>3382.92</v>
      </c>
      <c r="E194" s="1">
        <v>24.67</v>
      </c>
      <c r="F194" s="1">
        <v>0</v>
      </c>
      <c r="G194" s="4">
        <v>6340025</v>
      </c>
    </row>
    <row r="195" spans="1:7" x14ac:dyDescent="0.15">
      <c r="A195" s="17">
        <v>44225</v>
      </c>
      <c r="B195" s="1">
        <v>55.89</v>
      </c>
      <c r="C195" s="5">
        <v>0.51</v>
      </c>
      <c r="D195" s="1">
        <v>3277.08</v>
      </c>
      <c r="E195" s="1">
        <v>23.65</v>
      </c>
      <c r="F195" s="1">
        <v>-0.6</v>
      </c>
      <c r="G195" s="4">
        <v>9971953</v>
      </c>
    </row>
    <row r="196" spans="1:7" x14ac:dyDescent="0.15">
      <c r="A196" s="17">
        <v>44232</v>
      </c>
      <c r="B196" s="1">
        <v>59.62</v>
      </c>
      <c r="C196" s="5">
        <v>3.77</v>
      </c>
      <c r="D196" s="1">
        <v>3392.73</v>
      </c>
      <c r="E196" s="1">
        <v>24.93</v>
      </c>
      <c r="F196" s="1">
        <v>-0.75</v>
      </c>
      <c r="G196" s="4">
        <v>10207291</v>
      </c>
    </row>
    <row r="197" spans="1:7" x14ac:dyDescent="0.15">
      <c r="A197" s="17">
        <v>44239</v>
      </c>
      <c r="B197" s="1">
        <v>62.71</v>
      </c>
      <c r="C197" s="5">
        <v>2.19</v>
      </c>
      <c r="D197" s="1">
        <v>3427.08</v>
      </c>
      <c r="E197" s="1">
        <v>25.41</v>
      </c>
      <c r="F197" s="1">
        <v>-1.8</v>
      </c>
      <c r="G197" s="4">
        <v>7613032</v>
      </c>
    </row>
    <row r="198" spans="1:7" x14ac:dyDescent="0.15">
      <c r="A198" s="17">
        <v>44246</v>
      </c>
      <c r="B198" s="1">
        <v>62.84</v>
      </c>
      <c r="C198" s="5">
        <v>2.87</v>
      </c>
      <c r="D198" s="1">
        <v>3457.68</v>
      </c>
      <c r="E198" s="1">
        <v>25.49</v>
      </c>
      <c r="F198" s="1">
        <v>-1.8</v>
      </c>
      <c r="G198" s="4">
        <v>8787257</v>
      </c>
    </row>
    <row r="199" spans="1:7" x14ac:dyDescent="0.15">
      <c r="A199" s="17">
        <v>44253</v>
      </c>
      <c r="B199" s="1">
        <v>65.97</v>
      </c>
      <c r="C199" s="5">
        <v>2.42</v>
      </c>
      <c r="D199" s="1">
        <v>3346.64</v>
      </c>
      <c r="E199" s="1">
        <v>24.47</v>
      </c>
      <c r="F199" s="1">
        <v>-1.8</v>
      </c>
      <c r="G199" s="4">
        <v>11693113</v>
      </c>
    </row>
    <row r="200" spans="1:7" x14ac:dyDescent="0.15">
      <c r="A200" s="17">
        <v>44260</v>
      </c>
      <c r="B200" s="1">
        <v>69.69</v>
      </c>
      <c r="C200" s="5">
        <v>4.1900000000000004</v>
      </c>
      <c r="D200" s="1">
        <v>3414.13</v>
      </c>
      <c r="E200" s="1">
        <v>25.54</v>
      </c>
      <c r="F200" s="1">
        <v>-2.2999999999999998</v>
      </c>
      <c r="G200" s="4">
        <v>13080248</v>
      </c>
    </row>
    <row r="201" spans="1:7" x14ac:dyDescent="0.15">
      <c r="A201" s="17">
        <v>44267</v>
      </c>
      <c r="B201" s="1">
        <v>69.23</v>
      </c>
      <c r="C201" s="5">
        <v>3.54</v>
      </c>
      <c r="D201" s="1">
        <v>3539.5</v>
      </c>
      <c r="E201" s="1">
        <v>26.78</v>
      </c>
      <c r="F201" s="1">
        <v>-2.4500000000000002</v>
      </c>
      <c r="G201" s="4">
        <v>10251084</v>
      </c>
    </row>
    <row r="202" spans="1:7" x14ac:dyDescent="0.15">
      <c r="A202" s="17">
        <v>44274</v>
      </c>
      <c r="B202" s="1">
        <v>64.459999999999994</v>
      </c>
      <c r="C202" s="5">
        <v>-4.26</v>
      </c>
      <c r="D202" s="1">
        <v>3475.26</v>
      </c>
      <c r="E202" s="1">
        <v>25.89</v>
      </c>
      <c r="F202" s="1">
        <v>-1.8</v>
      </c>
      <c r="G202" s="4">
        <v>9518774</v>
      </c>
    </row>
    <row r="203" spans="1:7" x14ac:dyDescent="0.15">
      <c r="A203" s="17">
        <v>44281</v>
      </c>
      <c r="B203" s="1">
        <v>64.33</v>
      </c>
      <c r="C203" s="5">
        <v>-0.15</v>
      </c>
      <c r="D203" s="1">
        <v>3489.83</v>
      </c>
      <c r="E203" s="1">
        <v>25.59</v>
      </c>
      <c r="F203" s="1">
        <v>-2.1</v>
      </c>
      <c r="G203" s="4">
        <v>10717485</v>
      </c>
    </row>
    <row r="204" spans="1:7" x14ac:dyDescent="0.15">
      <c r="A204" s="17">
        <v>44295</v>
      </c>
      <c r="B204" s="1">
        <v>63.05</v>
      </c>
      <c r="C204" s="5">
        <v>1.97</v>
      </c>
      <c r="D204" s="1">
        <v>3486.03</v>
      </c>
      <c r="E204" s="1">
        <v>25</v>
      </c>
      <c r="F204" s="1">
        <v>-2.6</v>
      </c>
      <c r="G204" s="4">
        <v>10251318</v>
      </c>
    </row>
    <row r="205" spans="1:7" x14ac:dyDescent="0.15">
      <c r="A205" s="17">
        <v>44302</v>
      </c>
      <c r="B205" s="1">
        <v>66.72</v>
      </c>
      <c r="C205" s="5">
        <v>7.06</v>
      </c>
      <c r="D205" s="1">
        <v>3598.44</v>
      </c>
      <c r="E205" s="1">
        <v>26.31</v>
      </c>
      <c r="F205" s="1">
        <v>-2.5499999999999998</v>
      </c>
      <c r="G205" s="4">
        <v>12774133</v>
      </c>
    </row>
    <row r="206" spans="1:7" x14ac:dyDescent="0.15">
      <c r="A206" s="17">
        <v>44309</v>
      </c>
      <c r="B206" s="1">
        <v>66.12</v>
      </c>
      <c r="C206" s="5">
        <v>2.15</v>
      </c>
      <c r="D206" s="1">
        <v>3597.17</v>
      </c>
      <c r="E206" s="1">
        <v>26.66</v>
      </c>
      <c r="F206" s="1">
        <v>-2.5</v>
      </c>
      <c r="G206" s="4">
        <v>10546948</v>
      </c>
    </row>
    <row r="207" spans="1:7" x14ac:dyDescent="0.15">
      <c r="A207" s="17">
        <v>44316</v>
      </c>
      <c r="B207" s="1">
        <v>67.260000000000005</v>
      </c>
      <c r="C207" s="5">
        <v>3.14</v>
      </c>
      <c r="D207" s="1">
        <v>3544</v>
      </c>
      <c r="E207" s="1">
        <v>25.95</v>
      </c>
      <c r="F207" s="1">
        <v>-2.7</v>
      </c>
      <c r="G207" s="4">
        <v>14941897</v>
      </c>
    </row>
    <row r="208" spans="1:7" x14ac:dyDescent="0.15">
      <c r="A208" s="17">
        <v>44323</v>
      </c>
      <c r="B208" s="1">
        <v>68.27</v>
      </c>
      <c r="C208" s="5">
        <v>2.7</v>
      </c>
      <c r="D208" s="1">
        <v>3682.69</v>
      </c>
      <c r="E208" s="1">
        <v>27.47</v>
      </c>
      <c r="F208" s="1">
        <v>-1.8</v>
      </c>
      <c r="G208" s="4">
        <v>13919661</v>
      </c>
    </row>
    <row r="209" spans="1:7" x14ac:dyDescent="0.15">
      <c r="A209" s="17">
        <v>44330</v>
      </c>
      <c r="B209" s="1">
        <v>68.83</v>
      </c>
      <c r="C209" s="5">
        <v>0.94</v>
      </c>
      <c r="D209" s="1">
        <v>3637.6</v>
      </c>
      <c r="E209" s="1">
        <v>27.25</v>
      </c>
      <c r="F209" s="1">
        <v>-1.75</v>
      </c>
      <c r="G209" s="4">
        <v>6699006</v>
      </c>
    </row>
    <row r="210" spans="1:7" x14ac:dyDescent="0.15">
      <c r="A210" s="17">
        <v>44337</v>
      </c>
      <c r="B210" s="1">
        <v>66.73</v>
      </c>
      <c r="C210" s="5">
        <v>-0.89</v>
      </c>
      <c r="D210" s="1">
        <v>3660.48</v>
      </c>
      <c r="E210" s="1">
        <v>27.395</v>
      </c>
      <c r="F210" s="1">
        <v>-2.0499999999999998</v>
      </c>
      <c r="G210" s="4">
        <v>8441176</v>
      </c>
    </row>
    <row r="211" spans="1:7" x14ac:dyDescent="0.15">
      <c r="A211" s="17">
        <v>44344</v>
      </c>
      <c r="B211" s="1">
        <v>69.650000000000006</v>
      </c>
      <c r="C211" s="5">
        <v>3.28</v>
      </c>
      <c r="D211" s="1">
        <v>3730.55</v>
      </c>
      <c r="E211" s="1">
        <v>28.13</v>
      </c>
      <c r="F211" s="1">
        <v>-1.6</v>
      </c>
      <c r="G211" s="4">
        <v>10821805</v>
      </c>
    </row>
    <row r="212" spans="1:7" x14ac:dyDescent="0.15">
      <c r="A212" s="17">
        <v>44351</v>
      </c>
      <c r="B212" s="1">
        <v>71.819999999999993</v>
      </c>
      <c r="C212" s="5">
        <v>5.22</v>
      </c>
      <c r="D212" s="1">
        <v>3807.43</v>
      </c>
      <c r="E212" s="1">
        <v>28.95</v>
      </c>
      <c r="F212" s="1">
        <v>-1.3</v>
      </c>
      <c r="G212" s="4">
        <v>10999329</v>
      </c>
    </row>
    <row r="213" spans="1:7" x14ac:dyDescent="0.15">
      <c r="A213" s="17">
        <v>44358</v>
      </c>
      <c r="B213" s="1">
        <v>72.62</v>
      </c>
      <c r="C213" s="5">
        <v>3.7</v>
      </c>
      <c r="D213" s="1">
        <v>3841.53</v>
      </c>
      <c r="E213" s="1">
        <v>29.5</v>
      </c>
      <c r="F213" s="1">
        <v>-1.65</v>
      </c>
      <c r="G213" s="4">
        <v>7621125</v>
      </c>
    </row>
    <row r="214" spans="1:7" x14ac:dyDescent="0.15">
      <c r="A214" s="17">
        <v>44365</v>
      </c>
      <c r="B214" s="1">
        <v>73.22</v>
      </c>
      <c r="C214" s="5">
        <v>2.78</v>
      </c>
      <c r="D214" s="1">
        <v>3802.95</v>
      </c>
      <c r="E214" s="1">
        <v>28.81</v>
      </c>
      <c r="F214" s="1">
        <v>-1.65</v>
      </c>
      <c r="G214" s="4">
        <v>8198857</v>
      </c>
    </row>
    <row r="215" spans="1:7" x14ac:dyDescent="0.15">
      <c r="A215" s="17">
        <v>44372</v>
      </c>
      <c r="B215" s="1">
        <v>76.010000000000005</v>
      </c>
      <c r="C215" s="5">
        <v>3.79</v>
      </c>
      <c r="D215" s="1">
        <v>3831.84</v>
      </c>
      <c r="E215" s="1">
        <v>29.34</v>
      </c>
      <c r="F215" s="1">
        <v>-1.75</v>
      </c>
      <c r="G215" s="4">
        <v>11412103</v>
      </c>
    </row>
    <row r="216" spans="1:7" x14ac:dyDescent="0.15">
      <c r="A216" s="17">
        <v>44379</v>
      </c>
      <c r="B216" s="1">
        <v>75.97</v>
      </c>
      <c r="C216" s="5">
        <v>2.91</v>
      </c>
      <c r="D216" s="1">
        <v>3865.42</v>
      </c>
      <c r="E216" s="1">
        <v>29.32</v>
      </c>
      <c r="F216" s="1">
        <v>-2.15</v>
      </c>
      <c r="G216" s="4">
        <v>10399036</v>
      </c>
    </row>
    <row r="217" spans="1:7" x14ac:dyDescent="0.15">
      <c r="A217" s="17">
        <v>44386</v>
      </c>
      <c r="B217" s="1">
        <v>75.58</v>
      </c>
      <c r="C217" s="5">
        <v>2.2200000000000002</v>
      </c>
      <c r="D217" s="1">
        <v>3855.31</v>
      </c>
      <c r="E217" s="1">
        <v>28.83</v>
      </c>
      <c r="F217" s="1">
        <v>-2.65</v>
      </c>
      <c r="G217" s="4">
        <v>11878716</v>
      </c>
    </row>
    <row r="218" spans="1:7" x14ac:dyDescent="0.15">
      <c r="A218" s="17">
        <v>44393</v>
      </c>
      <c r="B218" s="1">
        <v>73.3</v>
      </c>
      <c r="C218" s="5">
        <v>2.19</v>
      </c>
      <c r="D218" s="1">
        <v>3770.15</v>
      </c>
      <c r="E218" s="1">
        <v>28.32</v>
      </c>
      <c r="F218" s="1">
        <v>-2.9</v>
      </c>
      <c r="G218" s="4">
        <v>7029655</v>
      </c>
    </row>
    <row r="219" spans="1:7" x14ac:dyDescent="0.15">
      <c r="A219" s="17">
        <v>44400</v>
      </c>
      <c r="B219" s="1">
        <v>74.19</v>
      </c>
      <c r="C219" s="5">
        <v>4.04</v>
      </c>
      <c r="D219" s="1">
        <v>3734.54</v>
      </c>
      <c r="E219" s="1">
        <v>28.18</v>
      </c>
      <c r="F219" s="1">
        <v>-2.5</v>
      </c>
      <c r="G219" s="4">
        <v>8940924</v>
      </c>
    </row>
    <row r="220" spans="1:7" x14ac:dyDescent="0.15">
      <c r="A220" s="17">
        <v>44407</v>
      </c>
      <c r="B220" s="1">
        <v>76.33</v>
      </c>
      <c r="C220" s="5">
        <v>7.43</v>
      </c>
      <c r="D220" s="1">
        <v>3771.58</v>
      </c>
      <c r="E220" s="1">
        <v>28.77</v>
      </c>
      <c r="F220" s="1">
        <v>-2.4</v>
      </c>
      <c r="G220" s="4">
        <v>14357491</v>
      </c>
    </row>
    <row r="221" spans="1:7" x14ac:dyDescent="0.15">
      <c r="A221" s="17">
        <v>44414</v>
      </c>
      <c r="B221" s="1">
        <v>70.489999999999995</v>
      </c>
      <c r="C221" s="5">
        <v>2.79</v>
      </c>
      <c r="D221" s="1">
        <v>3805.36</v>
      </c>
      <c r="E221" s="1">
        <v>28.9</v>
      </c>
      <c r="F221" s="1">
        <v>-1.95</v>
      </c>
      <c r="G221" s="4">
        <v>11112348</v>
      </c>
    </row>
    <row r="222" spans="1:7" x14ac:dyDescent="0.15">
      <c r="A222" s="17">
        <v>44421</v>
      </c>
      <c r="B222" s="1">
        <v>70.25</v>
      </c>
      <c r="C222" s="5">
        <v>4.54</v>
      </c>
      <c r="D222" s="1">
        <v>3873</v>
      </c>
      <c r="E222" s="1">
        <v>29.27</v>
      </c>
      <c r="F222" s="1">
        <v>-2.25</v>
      </c>
      <c r="G222" s="4">
        <v>11887963</v>
      </c>
    </row>
    <row r="223" spans="1:7" x14ac:dyDescent="0.15">
      <c r="A223" s="17">
        <v>44428</v>
      </c>
      <c r="B223" s="1">
        <v>65</v>
      </c>
      <c r="C223" s="5">
        <v>0.52</v>
      </c>
      <c r="D223" s="1">
        <v>3832.7</v>
      </c>
      <c r="E223" s="1">
        <v>28.4</v>
      </c>
      <c r="F223" s="1">
        <v>-2.4500000000000002</v>
      </c>
      <c r="G223" s="4">
        <v>13514263</v>
      </c>
    </row>
    <row r="224" spans="1:7" x14ac:dyDescent="0.15">
      <c r="A224" s="17">
        <v>44435</v>
      </c>
      <c r="B224" s="1">
        <v>72.75</v>
      </c>
      <c r="C224" s="5">
        <v>10.029999999999999</v>
      </c>
      <c r="D224" s="1">
        <v>3887.38</v>
      </c>
      <c r="E224" s="1">
        <v>29.12</v>
      </c>
      <c r="F224" s="1">
        <v>-1.9</v>
      </c>
      <c r="G224" s="4">
        <v>11711087</v>
      </c>
    </row>
    <row r="225" spans="1:7" x14ac:dyDescent="0.15">
      <c r="A225" s="17">
        <v>44442</v>
      </c>
      <c r="B225" s="1">
        <v>72.48</v>
      </c>
      <c r="C225" s="5">
        <v>7.23</v>
      </c>
      <c r="D225" s="1">
        <v>4001.7</v>
      </c>
      <c r="E225" s="1">
        <v>30.18</v>
      </c>
      <c r="F225" s="1">
        <v>-1.55</v>
      </c>
      <c r="G225" s="4">
        <v>14124048</v>
      </c>
    </row>
    <row r="226" spans="1:7" x14ac:dyDescent="0.15">
      <c r="A226" s="17">
        <v>44449</v>
      </c>
      <c r="B226" s="1">
        <v>72.95</v>
      </c>
      <c r="C226" s="5">
        <v>4.93</v>
      </c>
      <c r="D226" s="1">
        <v>4002.66</v>
      </c>
      <c r="E226" s="1">
        <v>29.81</v>
      </c>
      <c r="F226" s="1">
        <v>-1</v>
      </c>
      <c r="G226" s="4">
        <v>12440828</v>
      </c>
    </row>
    <row r="227" spans="1:7" x14ac:dyDescent="0.15">
      <c r="A227" s="17">
        <v>44456</v>
      </c>
      <c r="B227" s="1">
        <v>75.489999999999995</v>
      </c>
      <c r="C227" s="5">
        <v>7.39</v>
      </c>
      <c r="D227" s="1">
        <v>4035.17</v>
      </c>
      <c r="E227" s="1">
        <v>30.02</v>
      </c>
      <c r="F227" s="1">
        <v>-2.5</v>
      </c>
      <c r="G227" s="4">
        <v>8639682</v>
      </c>
    </row>
    <row r="228" spans="1:7" x14ac:dyDescent="0.15">
      <c r="A228" s="17">
        <v>44463</v>
      </c>
      <c r="B228" s="1">
        <v>78.069999999999993</v>
      </c>
      <c r="C228" s="5">
        <v>8.2899999999999991</v>
      </c>
      <c r="D228" s="1">
        <v>4038.23</v>
      </c>
      <c r="E228" s="1">
        <v>30.13</v>
      </c>
      <c r="F228" s="1">
        <v>-2.4500000000000002</v>
      </c>
      <c r="G228" s="4">
        <v>12586999</v>
      </c>
    </row>
    <row r="229" spans="1:7" x14ac:dyDescent="0.15">
      <c r="A229" s="17">
        <v>44470</v>
      </c>
      <c r="B229" s="1">
        <v>79.239999999999995</v>
      </c>
      <c r="C229" s="5">
        <v>7.59</v>
      </c>
      <c r="D229" s="1">
        <v>4086.99</v>
      </c>
      <c r="E229" s="1">
        <v>30.42</v>
      </c>
      <c r="F229" s="1">
        <v>-2.0499999999999998</v>
      </c>
      <c r="G229" s="4">
        <v>9833129</v>
      </c>
    </row>
    <row r="230" spans="1:7" x14ac:dyDescent="0.15">
      <c r="A230" s="17">
        <v>44477</v>
      </c>
      <c r="B230" s="1">
        <v>82.58</v>
      </c>
      <c r="C230" s="5">
        <v>8.7899999999999991</v>
      </c>
      <c r="D230" s="1">
        <v>4238</v>
      </c>
      <c r="E230" s="1">
        <v>31.99</v>
      </c>
      <c r="F230" s="1">
        <v>-2.15</v>
      </c>
      <c r="G230" s="4">
        <v>10992809</v>
      </c>
    </row>
    <row r="231" spans="1:7" x14ac:dyDescent="0.15">
      <c r="A231" s="17">
        <v>44484</v>
      </c>
      <c r="B231" s="1">
        <v>84.92</v>
      </c>
      <c r="C231" s="5">
        <v>9.69</v>
      </c>
      <c r="D231" s="1">
        <v>4261.82</v>
      </c>
      <c r="E231" s="1">
        <v>32.64</v>
      </c>
      <c r="F231" s="1">
        <v>-2.15</v>
      </c>
      <c r="G231" s="4">
        <v>7015047</v>
      </c>
    </row>
    <row r="232" spans="1:7" x14ac:dyDescent="0.15">
      <c r="A232" s="17">
        <v>44491</v>
      </c>
      <c r="B232" s="1">
        <v>85.77</v>
      </c>
      <c r="C232" s="5">
        <v>7.09</v>
      </c>
      <c r="D232" s="1">
        <v>4196.96</v>
      </c>
      <c r="E232" s="1">
        <v>32.67</v>
      </c>
      <c r="F232" s="1">
        <v>-1.8</v>
      </c>
      <c r="G232" s="4">
        <v>13472567</v>
      </c>
    </row>
    <row r="233" spans="1:7" x14ac:dyDescent="0.15">
      <c r="A233" s="17">
        <v>44498</v>
      </c>
      <c r="B233" s="1">
        <v>84.38</v>
      </c>
      <c r="C233" s="5">
        <v>3.93</v>
      </c>
      <c r="D233" s="1">
        <v>4150</v>
      </c>
      <c r="E233" s="1">
        <v>32</v>
      </c>
      <c r="F233" s="1">
        <v>-1.4</v>
      </c>
      <c r="G233" s="4">
        <v>12750168</v>
      </c>
    </row>
    <row r="234" spans="1:7" x14ac:dyDescent="0.15">
      <c r="A234" s="17">
        <v>44505</v>
      </c>
      <c r="B234" s="1">
        <v>82.55</v>
      </c>
      <c r="C234" s="5">
        <v>1.86</v>
      </c>
      <c r="D234" s="1">
        <v>4174.76</v>
      </c>
      <c r="E234" s="1">
        <v>31.93</v>
      </c>
      <c r="F234" s="1">
        <v>-1.6</v>
      </c>
      <c r="G234" s="4">
        <v>9529337</v>
      </c>
    </row>
    <row r="235" spans="1:7" x14ac:dyDescent="0.15">
      <c r="A235" s="17">
        <v>44512</v>
      </c>
      <c r="B235" s="1">
        <v>81.95</v>
      </c>
      <c r="C235" s="5">
        <v>1.75</v>
      </c>
      <c r="D235" s="1">
        <v>4121.66</v>
      </c>
      <c r="E235" s="1">
        <v>31.27</v>
      </c>
      <c r="F235" s="1">
        <v>-1.45</v>
      </c>
      <c r="G235" s="4">
        <v>3400765</v>
      </c>
    </row>
    <row r="236" spans="1:7" x14ac:dyDescent="0.15">
      <c r="A236" s="17">
        <v>44519</v>
      </c>
      <c r="B236" s="1">
        <v>78.66</v>
      </c>
      <c r="C236" s="5">
        <v>0.03</v>
      </c>
      <c r="D236" s="1">
        <v>4016.47</v>
      </c>
      <c r="E236" s="1">
        <v>29.92</v>
      </c>
      <c r="F236" s="1">
        <v>-1.65</v>
      </c>
      <c r="G236" s="4">
        <v>10188407.226415094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C9F7-DFAD-4E49-BE31-6CEA76124AC5}">
  <dimension ref="Q6"/>
  <sheetViews>
    <sheetView showGridLines="0" view="pageBreakPreview" zoomScale="90" zoomScaleNormal="100" zoomScaleSheetLayoutView="90" workbookViewId="0">
      <selection activeCell="V60" sqref="V60"/>
    </sheetView>
  </sheetViews>
  <sheetFormatPr baseColWidth="10" defaultColWidth="8.83203125" defaultRowHeight="14" x14ac:dyDescent="0.15"/>
  <sheetData>
    <row r="6" spans="17:17" x14ac:dyDescent="0.15">
      <c r="Q6" t="s">
        <v>56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E55D-8EF1-45B0-89EA-0F3D686F8E12}">
  <dimension ref="A1"/>
  <sheetViews>
    <sheetView showGridLines="0" view="pageBreakPreview" zoomScale="85" zoomScaleNormal="100" zoomScaleSheetLayoutView="85" workbookViewId="0">
      <selection activeCell="R17" sqref="R17"/>
    </sheetView>
  </sheetViews>
  <sheetFormatPr baseColWidth="10" defaultColWidth="8.83203125" defaultRowHeight="14" x14ac:dyDescent="0.15"/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D383-CA26-4977-A168-4868E4D652DD}">
  <dimension ref="A1:V111"/>
  <sheetViews>
    <sheetView workbookViewId="0">
      <selection activeCell="G10" sqref="G10"/>
    </sheetView>
  </sheetViews>
  <sheetFormatPr baseColWidth="10" defaultColWidth="9" defaultRowHeight="14" x14ac:dyDescent="0.15"/>
  <cols>
    <col min="1" max="1" width="18.5" style="1" customWidth="1"/>
    <col min="2" max="2" width="18.83203125" style="1" customWidth="1"/>
    <col min="3" max="3" width="10" style="1" customWidth="1"/>
    <col min="4" max="4" width="10.83203125" style="1" customWidth="1"/>
    <col min="5" max="6" width="10" style="1" customWidth="1"/>
    <col min="7" max="7" width="10.33203125" style="1" customWidth="1"/>
    <col min="8" max="8" width="9.83203125" style="1" customWidth="1"/>
    <col min="9" max="9" width="8.6640625" style="1" customWidth="1"/>
    <col min="10" max="10" width="9.1640625" style="1" customWidth="1"/>
    <col min="11" max="11" width="11.33203125" style="1" customWidth="1"/>
    <col min="12" max="13" width="9" style="1"/>
    <col min="14" max="14" width="17.83203125" style="1" customWidth="1"/>
    <col min="15" max="15" width="18.33203125" style="1" customWidth="1"/>
    <col min="16" max="16" width="14.5" style="1" customWidth="1"/>
    <col min="17" max="17" width="12.6640625" style="1" customWidth="1"/>
    <col min="18" max="18" width="11.83203125" style="1" customWidth="1"/>
    <col min="19" max="19" width="13.33203125" style="1" customWidth="1"/>
    <col min="20" max="20" width="11.83203125" style="1" customWidth="1"/>
    <col min="21" max="21" width="12.6640625" style="1" customWidth="1"/>
    <col min="22" max="22" width="12.5" style="1" customWidth="1"/>
    <col min="23" max="16384" width="9" style="1"/>
  </cols>
  <sheetData>
    <row r="1" spans="1:22" x14ac:dyDescent="0.15">
      <c r="A1" s="6" t="e">
        <f ca="1">_xll.TR("RUB=;LCOc1;=USD","TR.MIDPRICE","SDate=2022-01-01 EDate=#1 Frq=W CH=Fd;IN RH=date",B2,$A$2)</f>
        <v>#NAME?</v>
      </c>
      <c r="B1" s="6" t="str">
        <f ca="1">_xlfn.FORMULATEXT(A1)</f>
        <v>=@TR("RUB=;LCOc1;=USD","TR.MIDPRICE","SDate=2022-01-01 EDate=#1 Frq=W CH=Fd;IN RH=date",B2,$A$2)</v>
      </c>
    </row>
    <row r="2" spans="1:22" x14ac:dyDescent="0.15">
      <c r="A2" s="2">
        <f ca="1">TODAY()</f>
        <v>45987</v>
      </c>
      <c r="C2" s="1" t="s">
        <v>0</v>
      </c>
      <c r="D2" s="1" t="s">
        <v>0</v>
      </c>
      <c r="E2" s="1" t="s">
        <v>0</v>
      </c>
      <c r="H2" s="36" t="s">
        <v>2</v>
      </c>
      <c r="I2" s="36"/>
      <c r="J2" s="36"/>
      <c r="K2" s="36"/>
    </row>
    <row r="3" spans="1:22" x14ac:dyDescent="0.15">
      <c r="B3" s="1" t="s">
        <v>65</v>
      </c>
      <c r="C3" s="3" t="s">
        <v>1</v>
      </c>
      <c r="D3" s="3" t="s">
        <v>3</v>
      </c>
      <c r="E3" s="3" t="s">
        <v>4</v>
      </c>
      <c r="F3" s="1" t="s">
        <v>5</v>
      </c>
      <c r="H3" s="36"/>
      <c r="I3" s="36"/>
      <c r="J3" s="36"/>
      <c r="K3" s="36"/>
    </row>
    <row r="4" spans="1:22" x14ac:dyDescent="0.15">
      <c r="B4" s="2">
        <v>44568</v>
      </c>
      <c r="C4" s="1">
        <v>75.723699999999994</v>
      </c>
      <c r="D4" s="1">
        <v>81.819999999999993</v>
      </c>
      <c r="E4" s="4">
        <v>95.747500000000002</v>
      </c>
      <c r="F4" s="4" cm="1">
        <f t="array" ref="F4:F41">[1]Urals_weekly_range!$G$2:$G$39</f>
        <v>11276639</v>
      </c>
      <c r="H4" s="1" t="str">
        <f>C3</f>
        <v>RUB=</v>
      </c>
      <c r="I4" s="1" t="str">
        <f>D3</f>
        <v>LCOc1</v>
      </c>
      <c r="J4" s="1" t="str">
        <f>E3</f>
        <v>=USD</v>
      </c>
      <c r="K4" s="1" t="str">
        <f>F3</f>
        <v>Loadings</v>
      </c>
      <c r="N4" t="s">
        <v>6</v>
      </c>
      <c r="O4"/>
      <c r="P4"/>
      <c r="Q4"/>
      <c r="R4"/>
      <c r="S4"/>
      <c r="T4"/>
      <c r="U4"/>
      <c r="V4"/>
    </row>
    <row r="5" spans="1:22" ht="15" thickBot="1" x14ac:dyDescent="0.2">
      <c r="B5" s="2">
        <v>44575</v>
      </c>
      <c r="C5" s="1">
        <v>76.235050000000001</v>
      </c>
      <c r="D5" s="1">
        <v>86.394999999999996</v>
      </c>
      <c r="E5" s="1">
        <v>95.165499999999994</v>
      </c>
      <c r="F5" s="1">
        <v>12448625</v>
      </c>
      <c r="H5" s="5">
        <f>(C5/C4)-1</f>
        <v>6.752839599755589E-3</v>
      </c>
      <c r="I5" s="5">
        <f>IFERROR((D5/D4)-1,0)</f>
        <v>5.5915424101686595E-2</v>
      </c>
      <c r="J5" s="5">
        <f>(E5/E4)-1</f>
        <v>-6.0784876889736772E-3</v>
      </c>
      <c r="K5" s="5">
        <f>(F5/F4)-1</f>
        <v>0.10393043530080193</v>
      </c>
      <c r="N5"/>
      <c r="O5"/>
      <c r="P5"/>
      <c r="Q5"/>
      <c r="R5"/>
      <c r="S5"/>
      <c r="T5"/>
      <c r="U5"/>
      <c r="V5"/>
    </row>
    <row r="6" spans="1:22" x14ac:dyDescent="0.15">
      <c r="B6" s="2">
        <v>44582</v>
      </c>
      <c r="C6" s="1">
        <v>77.590199999999996</v>
      </c>
      <c r="D6" s="1">
        <v>87.825000000000003</v>
      </c>
      <c r="E6" s="1">
        <v>95.647999999999996</v>
      </c>
      <c r="F6" s="1">
        <v>11714690</v>
      </c>
      <c r="H6" s="5">
        <f t="shared" ref="H6:H41" si="0">(C6/C5)-1</f>
        <v>1.7775944267105492E-2</v>
      </c>
      <c r="I6" s="5">
        <f t="shared" ref="I6:I41" si="1">IFERROR((D6/D5)-1,0)</f>
        <v>1.6551883789571287E-2</v>
      </c>
      <c r="J6" s="5">
        <f t="shared" ref="J6:J41" si="2">(E6/E5)-1</f>
        <v>5.0701146949261311E-3</v>
      </c>
      <c r="K6" s="5">
        <f t="shared" ref="K6:K41" si="3">(F6/F5)-1</f>
        <v>-5.8957113737460931E-2</v>
      </c>
      <c r="N6" s="9" t="s">
        <v>7</v>
      </c>
      <c r="O6" s="9"/>
      <c r="P6"/>
      <c r="Q6"/>
      <c r="R6"/>
      <c r="S6"/>
      <c r="T6"/>
      <c r="U6"/>
      <c r="V6"/>
    </row>
    <row r="7" spans="1:22" x14ac:dyDescent="0.15">
      <c r="B7" s="2">
        <v>44589</v>
      </c>
      <c r="C7" s="1">
        <v>78.194299999999998</v>
      </c>
      <c r="D7" s="1">
        <v>90.63</v>
      </c>
      <c r="E7" s="1">
        <v>97.228999999999999</v>
      </c>
      <c r="F7" s="1">
        <v>11633576</v>
      </c>
      <c r="H7" s="5">
        <f t="shared" si="0"/>
        <v>7.7857770697846718E-3</v>
      </c>
      <c r="I7" s="5">
        <f t="shared" si="1"/>
        <v>3.1938514090520842E-2</v>
      </c>
      <c r="J7" s="5">
        <f t="shared" si="2"/>
        <v>1.6529357644697207E-2</v>
      </c>
      <c r="K7" s="5">
        <f t="shared" si="3"/>
        <v>-6.9241268868404093E-3</v>
      </c>
      <c r="N7" t="s">
        <v>8</v>
      </c>
      <c r="O7">
        <v>0.18404468926778106</v>
      </c>
      <c r="P7"/>
      <c r="Q7"/>
      <c r="R7"/>
      <c r="S7"/>
      <c r="T7"/>
      <c r="U7"/>
      <c r="V7"/>
    </row>
    <row r="8" spans="1:22" x14ac:dyDescent="0.15">
      <c r="B8" s="2">
        <v>44596</v>
      </c>
      <c r="C8" s="1">
        <v>75.742050000000006</v>
      </c>
      <c r="D8" s="1">
        <v>92.61</v>
      </c>
      <c r="E8" s="1">
        <v>95.489500000000007</v>
      </c>
      <c r="F8" s="1">
        <v>11136761</v>
      </c>
      <c r="H8" s="5">
        <f t="shared" si="0"/>
        <v>-3.1360981554921397E-2</v>
      </c>
      <c r="I8" s="5">
        <f t="shared" si="1"/>
        <v>2.1847070506454846E-2</v>
      </c>
      <c r="J8" s="5">
        <f t="shared" si="2"/>
        <v>-1.7890752758950468E-2</v>
      </c>
      <c r="K8" s="5">
        <f t="shared" si="3"/>
        <v>-4.2705269643659061E-2</v>
      </c>
      <c r="N8" t="s">
        <v>9</v>
      </c>
      <c r="O8">
        <v>3.3872447647674088E-2</v>
      </c>
      <c r="P8"/>
      <c r="Q8"/>
      <c r="R8"/>
      <c r="S8"/>
      <c r="T8"/>
      <c r="U8"/>
      <c r="V8"/>
    </row>
    <row r="9" spans="1:22" x14ac:dyDescent="0.15">
      <c r="B9" s="2">
        <v>44603</v>
      </c>
      <c r="C9" s="1">
        <v>77.286699999999996</v>
      </c>
      <c r="D9" s="1">
        <v>95.08</v>
      </c>
      <c r="E9" s="1">
        <v>96.015500000000003</v>
      </c>
      <c r="F9" s="1">
        <v>8348452</v>
      </c>
      <c r="H9" s="5">
        <f t="shared" si="0"/>
        <v>2.0393559456074906E-2</v>
      </c>
      <c r="I9" s="5">
        <f t="shared" si="1"/>
        <v>2.6670985854659213E-2</v>
      </c>
      <c r="J9" s="5">
        <f t="shared" si="2"/>
        <v>5.5084590452352256E-3</v>
      </c>
      <c r="K9" s="5">
        <f t="shared" si="3"/>
        <v>-0.25036983374250377</v>
      </c>
      <c r="N9" t="s">
        <v>10</v>
      </c>
      <c r="O9">
        <v>-5.3957329838900996E-2</v>
      </c>
      <c r="P9"/>
      <c r="Q9"/>
      <c r="R9"/>
      <c r="S9"/>
      <c r="T9"/>
      <c r="U9"/>
      <c r="V9"/>
    </row>
    <row r="10" spans="1:22" x14ac:dyDescent="0.15">
      <c r="B10" s="2">
        <v>44610</v>
      </c>
      <c r="C10" s="1">
        <v>77.351550000000003</v>
      </c>
      <c r="D10" s="1">
        <v>93.685000000000002</v>
      </c>
      <c r="E10" s="1">
        <v>96.102500000000006</v>
      </c>
      <c r="F10" s="1">
        <v>13885461</v>
      </c>
      <c r="H10" s="5">
        <f t="shared" si="0"/>
        <v>8.3908356806539075E-4</v>
      </c>
      <c r="I10" s="5">
        <f t="shared" si="1"/>
        <v>-1.4671855279764334E-2</v>
      </c>
      <c r="J10" s="5">
        <f t="shared" si="2"/>
        <v>9.061037020063889E-4</v>
      </c>
      <c r="K10" s="5">
        <f t="shared" si="3"/>
        <v>0.66323780744022964</v>
      </c>
      <c r="N10" t="s">
        <v>11</v>
      </c>
      <c r="O10">
        <v>0.22467728825334102</v>
      </c>
      <c r="P10"/>
      <c r="Q10"/>
      <c r="R10"/>
      <c r="S10"/>
      <c r="T10"/>
      <c r="U10"/>
      <c r="V10"/>
    </row>
    <row r="11" spans="1:22" ht="15" thickBot="1" x14ac:dyDescent="0.2">
      <c r="B11" s="2">
        <v>44617</v>
      </c>
      <c r="C11" s="1">
        <v>83.900800000000004</v>
      </c>
      <c r="D11" s="1">
        <v>98.49</v>
      </c>
      <c r="E11" s="1">
        <v>96.57</v>
      </c>
      <c r="F11" s="1">
        <v>12269524</v>
      </c>
      <c r="H11" s="5">
        <f t="shared" si="0"/>
        <v>8.4668633013817995E-2</v>
      </c>
      <c r="I11" s="5">
        <f t="shared" si="1"/>
        <v>5.1288893632918775E-2</v>
      </c>
      <c r="J11" s="5">
        <f t="shared" si="2"/>
        <v>4.864597695169115E-3</v>
      </c>
      <c r="K11" s="5">
        <f t="shared" si="3"/>
        <v>-0.11637618657385596</v>
      </c>
      <c r="N11" s="7" t="s">
        <v>12</v>
      </c>
      <c r="O11" s="7">
        <v>37</v>
      </c>
      <c r="P11"/>
      <c r="Q11"/>
      <c r="R11"/>
      <c r="S11"/>
      <c r="T11"/>
      <c r="U11"/>
      <c r="V11"/>
    </row>
    <row r="12" spans="1:22" x14ac:dyDescent="0.15">
      <c r="B12" s="2">
        <v>44624</v>
      </c>
      <c r="C12" s="1">
        <v>122.53749999999999</v>
      </c>
      <c r="D12" s="1">
        <v>118.035</v>
      </c>
      <c r="E12" s="1">
        <v>98.5535</v>
      </c>
      <c r="F12" s="1">
        <v>12889479</v>
      </c>
      <c r="H12" s="5">
        <f t="shared" si="0"/>
        <v>0.46050454822838383</v>
      </c>
      <c r="I12" s="5">
        <f t="shared" si="1"/>
        <v>0.19844654279622298</v>
      </c>
      <c r="J12" s="5">
        <f t="shared" si="2"/>
        <v>2.0539505022263649E-2</v>
      </c>
      <c r="K12" s="5">
        <f t="shared" si="3"/>
        <v>5.0528040044585332E-2</v>
      </c>
      <c r="N12"/>
      <c r="O12"/>
      <c r="P12"/>
      <c r="Q12"/>
      <c r="R12"/>
      <c r="S12"/>
      <c r="T12"/>
      <c r="U12"/>
      <c r="V12"/>
    </row>
    <row r="13" spans="1:22" ht="15" thickBot="1" x14ac:dyDescent="0.2">
      <c r="B13" s="2">
        <v>44631</v>
      </c>
      <c r="C13" s="1">
        <v>134</v>
      </c>
      <c r="D13" s="1">
        <v>112.33</v>
      </c>
      <c r="E13" s="1">
        <v>99.12</v>
      </c>
      <c r="F13" s="1">
        <v>12617548</v>
      </c>
      <c r="H13" s="5">
        <f t="shared" si="0"/>
        <v>9.3542793022544091E-2</v>
      </c>
      <c r="I13" s="5">
        <f t="shared" si="1"/>
        <v>-4.8333121531749068E-2</v>
      </c>
      <c r="J13" s="5">
        <f t="shared" si="2"/>
        <v>5.7481469455675782E-3</v>
      </c>
      <c r="K13" s="5">
        <f t="shared" si="3"/>
        <v>-2.1097128906451545E-2</v>
      </c>
      <c r="N13" t="s">
        <v>13</v>
      </c>
      <c r="O13"/>
      <c r="P13"/>
      <c r="Q13"/>
      <c r="R13"/>
      <c r="S13"/>
      <c r="T13"/>
      <c r="U13"/>
      <c r="V13"/>
    </row>
    <row r="14" spans="1:22" x14ac:dyDescent="0.15">
      <c r="B14" s="2">
        <v>44638</v>
      </c>
      <c r="C14" s="1">
        <v>106.5</v>
      </c>
      <c r="D14" s="1">
        <v>108.19499999999999</v>
      </c>
      <c r="E14" s="1">
        <v>98.200500000000005</v>
      </c>
      <c r="F14" s="1">
        <v>9368614</v>
      </c>
      <c r="H14" s="5">
        <f t="shared" si="0"/>
        <v>-0.20522388059701491</v>
      </c>
      <c r="I14" s="5">
        <f t="shared" si="1"/>
        <v>-3.6811181340692611E-2</v>
      </c>
      <c r="J14" s="5">
        <f t="shared" si="2"/>
        <v>-9.2766343825665398E-3</v>
      </c>
      <c r="K14" s="5">
        <f t="shared" si="3"/>
        <v>-0.25749329425970879</v>
      </c>
      <c r="N14" s="8"/>
      <c r="O14" s="8" t="s">
        <v>18</v>
      </c>
      <c r="P14" s="8" t="s">
        <v>19</v>
      </c>
      <c r="Q14" s="8" t="s">
        <v>20</v>
      </c>
      <c r="R14" s="8" t="s">
        <v>21</v>
      </c>
      <c r="S14" s="8" t="s">
        <v>22</v>
      </c>
      <c r="T14"/>
      <c r="U14"/>
      <c r="V14"/>
    </row>
    <row r="15" spans="1:22" x14ac:dyDescent="0.15">
      <c r="B15" s="2">
        <v>44645</v>
      </c>
      <c r="C15" s="1">
        <v>104</v>
      </c>
      <c r="D15" s="1">
        <v>119.74</v>
      </c>
      <c r="E15" s="1">
        <v>98.799000000000007</v>
      </c>
      <c r="F15" s="1">
        <v>10111447</v>
      </c>
      <c r="H15" s="5">
        <f t="shared" si="0"/>
        <v>-2.3474178403755874E-2</v>
      </c>
      <c r="I15" s="5">
        <f t="shared" si="1"/>
        <v>0.10670548546605674</v>
      </c>
      <c r="J15" s="5">
        <f t="shared" si="2"/>
        <v>6.0946736523745937E-3</v>
      </c>
      <c r="K15" s="5">
        <f t="shared" si="3"/>
        <v>7.9289529913389556E-2</v>
      </c>
      <c r="N15" t="s">
        <v>14</v>
      </c>
      <c r="O15">
        <v>3</v>
      </c>
      <c r="P15">
        <v>5.8404243030127923E-2</v>
      </c>
      <c r="Q15">
        <v>1.9468081010042642E-2</v>
      </c>
      <c r="R15">
        <v>0.38566017832450444</v>
      </c>
      <c r="S15">
        <v>0.76402634486087484</v>
      </c>
      <c r="T15"/>
      <c r="U15"/>
      <c r="V15"/>
    </row>
    <row r="16" spans="1:22" x14ac:dyDescent="0.15">
      <c r="B16" s="2">
        <v>44652</v>
      </c>
      <c r="C16" s="1">
        <v>85.75</v>
      </c>
      <c r="D16" s="1">
        <v>104.565</v>
      </c>
      <c r="E16" s="1">
        <v>98.534499999999994</v>
      </c>
      <c r="F16" s="1">
        <v>13475102</v>
      </c>
      <c r="H16" s="5">
        <f t="shared" si="0"/>
        <v>-0.17548076923076927</v>
      </c>
      <c r="I16" s="5">
        <f t="shared" si="1"/>
        <v>-0.12673292132954739</v>
      </c>
      <c r="J16" s="5">
        <f t="shared" si="2"/>
        <v>-2.6771526027592474E-3</v>
      </c>
      <c r="K16" s="5">
        <f t="shared" si="3"/>
        <v>0.33265812499437519</v>
      </c>
      <c r="N16" t="s">
        <v>15</v>
      </c>
      <c r="O16">
        <v>33</v>
      </c>
      <c r="P16">
        <v>1.6658361672768713</v>
      </c>
      <c r="Q16">
        <v>5.0479883856874887E-2</v>
      </c>
      <c r="R16"/>
      <c r="S16"/>
      <c r="T16"/>
      <c r="U16"/>
      <c r="V16"/>
    </row>
    <row r="17" spans="2:22" ht="15" thickBot="1" x14ac:dyDescent="0.2">
      <c r="B17" s="2">
        <v>44659</v>
      </c>
      <c r="C17" s="1">
        <v>80.25</v>
      </c>
      <c r="D17" s="1">
        <v>102.7</v>
      </c>
      <c r="E17" s="1">
        <v>99.838499999999996</v>
      </c>
      <c r="F17" s="1">
        <v>13869672</v>
      </c>
      <c r="H17" s="5">
        <f t="shared" si="0"/>
        <v>-6.4139941690962154E-2</v>
      </c>
      <c r="I17" s="5">
        <f t="shared" si="1"/>
        <v>-1.7835795916415598E-2</v>
      </c>
      <c r="J17" s="5">
        <f t="shared" si="2"/>
        <v>1.3233943441129714E-2</v>
      </c>
      <c r="K17" s="5">
        <f t="shared" si="3"/>
        <v>2.9281411005274816E-2</v>
      </c>
      <c r="N17" s="7" t="s">
        <v>16</v>
      </c>
      <c r="O17" s="7">
        <v>36</v>
      </c>
      <c r="P17" s="7">
        <v>1.7242404103069993</v>
      </c>
      <c r="Q17" s="7"/>
      <c r="R17" s="7"/>
      <c r="S17" s="7"/>
      <c r="T17"/>
      <c r="U17"/>
      <c r="V17"/>
    </row>
    <row r="18" spans="2:22" ht="15" thickBot="1" x14ac:dyDescent="0.2">
      <c r="B18" s="2">
        <v>44666</v>
      </c>
      <c r="C18" s="1">
        <v>80.75</v>
      </c>
      <c r="D18" s="1" t="s">
        <v>34</v>
      </c>
      <c r="E18" s="1">
        <v>100.515</v>
      </c>
      <c r="F18" s="1">
        <v>11381923</v>
      </c>
      <c r="H18" s="5">
        <f t="shared" si="0"/>
        <v>6.230529595015577E-3</v>
      </c>
      <c r="I18" s="5">
        <f t="shared" si="1"/>
        <v>0</v>
      </c>
      <c r="J18" s="5">
        <f t="shared" si="2"/>
        <v>6.7759431481844157E-3</v>
      </c>
      <c r="K18" s="5">
        <f t="shared" si="3"/>
        <v>-0.17936610180831958</v>
      </c>
      <c r="N18"/>
      <c r="O18"/>
      <c r="P18"/>
      <c r="Q18"/>
      <c r="R18"/>
      <c r="S18"/>
      <c r="T18"/>
      <c r="U18"/>
      <c r="V18"/>
    </row>
    <row r="19" spans="2:22" x14ac:dyDescent="0.15">
      <c r="B19" s="2">
        <v>44673</v>
      </c>
      <c r="C19" s="1">
        <v>77.375</v>
      </c>
      <c r="D19" s="1">
        <v>105.97499999999999</v>
      </c>
      <c r="E19" s="1">
        <v>101.14</v>
      </c>
      <c r="F19" s="1">
        <v>18029690</v>
      </c>
      <c r="H19" s="5">
        <f t="shared" si="0"/>
        <v>-4.1795665634674961E-2</v>
      </c>
      <c r="I19" s="5">
        <f t="shared" si="1"/>
        <v>0</v>
      </c>
      <c r="J19" s="5">
        <f t="shared" si="2"/>
        <v>6.2179774163060308E-3</v>
      </c>
      <c r="K19" s="5">
        <f t="shared" si="3"/>
        <v>0.58406360682636849</v>
      </c>
      <c r="N19" s="8"/>
      <c r="O19" s="8" t="s">
        <v>23</v>
      </c>
      <c r="P19" s="8" t="s">
        <v>11</v>
      </c>
      <c r="Q19" s="8" t="s">
        <v>24</v>
      </c>
      <c r="R19" s="8" t="s">
        <v>25</v>
      </c>
      <c r="S19" s="8" t="s">
        <v>26</v>
      </c>
      <c r="T19" s="8" t="s">
        <v>27</v>
      </c>
      <c r="U19" s="8" t="s">
        <v>28</v>
      </c>
      <c r="V19" s="8" t="s">
        <v>29</v>
      </c>
    </row>
    <row r="20" spans="2:22" x14ac:dyDescent="0.15">
      <c r="B20" s="2">
        <v>44680</v>
      </c>
      <c r="C20" s="1">
        <v>73.349999999999994</v>
      </c>
      <c r="D20" s="1">
        <v>109.34</v>
      </c>
      <c r="E20" s="1">
        <v>103.22499999999999</v>
      </c>
      <c r="F20" s="1">
        <v>14753646</v>
      </c>
      <c r="H20" s="5">
        <f t="shared" si="0"/>
        <v>-5.2019386106623711E-2</v>
      </c>
      <c r="I20" s="5">
        <f t="shared" si="1"/>
        <v>3.1752771880160457E-2</v>
      </c>
      <c r="J20" s="5">
        <f t="shared" si="2"/>
        <v>2.0614989123986405E-2</v>
      </c>
      <c r="K20" s="5">
        <f t="shared" si="3"/>
        <v>-0.18170273587621311</v>
      </c>
      <c r="N20" t="s">
        <v>17</v>
      </c>
      <c r="O20">
        <v>2.9154970249424487E-2</v>
      </c>
      <c r="P20">
        <v>4.0101030681988642E-2</v>
      </c>
      <c r="Q20">
        <v>0.72703792779369703</v>
      </c>
      <c r="R20">
        <v>0.4723292161833087</v>
      </c>
      <c r="S20">
        <v>-5.2431190116566731E-2</v>
      </c>
      <c r="T20">
        <v>0.1107411306154157</v>
      </c>
      <c r="U20">
        <v>-5.2431190116566731E-2</v>
      </c>
      <c r="V20">
        <v>0.1107411306154157</v>
      </c>
    </row>
    <row r="21" spans="2:22" x14ac:dyDescent="0.15">
      <c r="B21" s="2">
        <v>44687</v>
      </c>
      <c r="C21" s="1">
        <v>69</v>
      </c>
      <c r="D21" s="1">
        <v>113.01</v>
      </c>
      <c r="E21" s="1">
        <v>103.62</v>
      </c>
      <c r="F21" s="1">
        <v>13608902</v>
      </c>
      <c r="H21" s="5">
        <f t="shared" si="0"/>
        <v>-5.9304703476482534E-2</v>
      </c>
      <c r="I21" s="5">
        <f t="shared" si="1"/>
        <v>3.3565026522772934E-2</v>
      </c>
      <c r="J21" s="5">
        <f t="shared" si="2"/>
        <v>3.8265923952531811E-3</v>
      </c>
      <c r="K21" s="5">
        <f t="shared" si="3"/>
        <v>-7.7590583371730637E-2</v>
      </c>
      <c r="N21" t="s">
        <v>1</v>
      </c>
      <c r="O21">
        <v>0.29507813112039993</v>
      </c>
      <c r="P21">
        <v>0.44464654942904475</v>
      </c>
      <c r="Q21">
        <v>0.66362402114510854</v>
      </c>
      <c r="R21">
        <v>0.51154088384340124</v>
      </c>
      <c r="S21">
        <v>-0.60956207565105558</v>
      </c>
      <c r="T21">
        <v>1.1997183378918554</v>
      </c>
      <c r="U21">
        <v>-0.60956207565105558</v>
      </c>
      <c r="V21">
        <v>1.1997183378918554</v>
      </c>
    </row>
    <row r="22" spans="2:22" x14ac:dyDescent="0.15">
      <c r="B22" s="2">
        <v>44694</v>
      </c>
      <c r="C22" s="1">
        <v>66.5</v>
      </c>
      <c r="D22" s="1">
        <v>111.405</v>
      </c>
      <c r="E22" s="1">
        <v>104.45</v>
      </c>
      <c r="F22" s="1">
        <v>14800953</v>
      </c>
      <c r="H22" s="5">
        <f t="shared" si="0"/>
        <v>-3.6231884057971064E-2</v>
      </c>
      <c r="I22" s="5">
        <f t="shared" si="1"/>
        <v>-1.4202282983806769E-2</v>
      </c>
      <c r="J22" s="5">
        <f t="shared" si="2"/>
        <v>8.0100366724571437E-3</v>
      </c>
      <c r="K22" s="5">
        <f t="shared" si="3"/>
        <v>8.7593473742407779E-2</v>
      </c>
      <c r="N22" t="s">
        <v>3</v>
      </c>
      <c r="O22">
        <v>-0.82179063676290365</v>
      </c>
      <c r="P22">
        <v>0.76439853625490295</v>
      </c>
      <c r="Q22">
        <v>-1.0750813846258624</v>
      </c>
      <c r="R22">
        <v>0.29013619518841421</v>
      </c>
      <c r="S22">
        <v>-2.3769711521213872</v>
      </c>
      <c r="T22">
        <v>0.73338987859558002</v>
      </c>
      <c r="U22">
        <v>-2.3769711521213872</v>
      </c>
      <c r="V22">
        <v>0.73338987859558002</v>
      </c>
    </row>
    <row r="23" spans="2:22" ht="15" thickBot="1" x14ac:dyDescent="0.2">
      <c r="B23" s="2">
        <v>44701</v>
      </c>
      <c r="C23" s="1">
        <v>62</v>
      </c>
      <c r="D23" s="1">
        <v>112.8</v>
      </c>
      <c r="E23" s="1">
        <v>103.02500000000001</v>
      </c>
      <c r="F23" s="1">
        <v>15116294</v>
      </c>
      <c r="H23" s="5">
        <f t="shared" si="0"/>
        <v>-6.7669172932330879E-2</v>
      </c>
      <c r="I23" s="5">
        <f t="shared" si="1"/>
        <v>1.2521879628382804E-2</v>
      </c>
      <c r="J23" s="5">
        <f t="shared" si="2"/>
        <v>-1.3642891335567175E-2</v>
      </c>
      <c r="K23" s="5">
        <f t="shared" si="3"/>
        <v>2.1305452425935067E-2</v>
      </c>
      <c r="N23" s="7" t="s">
        <v>4</v>
      </c>
      <c r="O23" s="7">
        <v>-0.7188841484698909</v>
      </c>
      <c r="P23" s="7">
        <v>3.3595916339339547</v>
      </c>
      <c r="Q23" s="7">
        <v>-0.21397962216857433</v>
      </c>
      <c r="R23" s="7">
        <v>0.83187961428573365</v>
      </c>
      <c r="S23" s="7">
        <v>-7.5540247208913431</v>
      </c>
      <c r="T23" s="7">
        <v>6.1162564239515618</v>
      </c>
      <c r="U23" s="7">
        <v>-7.5540247208913431</v>
      </c>
      <c r="V23" s="7">
        <v>6.1162564239515618</v>
      </c>
    </row>
    <row r="24" spans="2:22" customFormat="1" x14ac:dyDescent="0.15">
      <c r="B24" s="20">
        <v>44708</v>
      </c>
      <c r="C24">
        <v>66.5</v>
      </c>
      <c r="D24">
        <v>119.315</v>
      </c>
      <c r="E24">
        <v>101.68</v>
      </c>
      <c r="F24" s="1">
        <v>14962291</v>
      </c>
      <c r="G24" s="1"/>
      <c r="H24" s="5">
        <f t="shared" si="0"/>
        <v>7.2580645161290258E-2</v>
      </c>
      <c r="I24" s="5">
        <f t="shared" si="1"/>
        <v>5.7757092198581494E-2</v>
      </c>
      <c r="J24" s="5">
        <f t="shared" si="2"/>
        <v>-1.3055083717544269E-2</v>
      </c>
      <c r="K24" s="5">
        <f t="shared" si="3"/>
        <v>-1.0187880706739372E-2</v>
      </c>
    </row>
    <row r="25" spans="2:22" x14ac:dyDescent="0.15">
      <c r="B25" s="2">
        <v>44715</v>
      </c>
      <c r="C25" s="1">
        <v>63.36</v>
      </c>
      <c r="D25" s="1">
        <v>121.07</v>
      </c>
      <c r="E25" s="1">
        <v>102.16500000000001</v>
      </c>
      <c r="F25" s="1">
        <v>15679692</v>
      </c>
      <c r="H25" s="5">
        <f t="shared" si="0"/>
        <v>-4.7218045112781937E-2</v>
      </c>
      <c r="I25" s="5">
        <f t="shared" si="1"/>
        <v>1.4708963667602548E-2</v>
      </c>
      <c r="J25" s="5">
        <f t="shared" si="2"/>
        <v>4.76986624704967E-3</v>
      </c>
      <c r="K25" s="5">
        <f t="shared" si="3"/>
        <v>4.7947269572554019E-2</v>
      </c>
      <c r="N25"/>
      <c r="O25"/>
      <c r="P25"/>
      <c r="Q25"/>
      <c r="R25"/>
      <c r="S25"/>
      <c r="T25"/>
      <c r="U25"/>
      <c r="V25"/>
    </row>
    <row r="26" spans="2:22" x14ac:dyDescent="0.15">
      <c r="B26" s="2">
        <v>44722</v>
      </c>
      <c r="C26" s="1">
        <v>58.25</v>
      </c>
      <c r="D26" s="1">
        <v>121.80500000000001</v>
      </c>
      <c r="E26" s="1">
        <v>104.19499999999999</v>
      </c>
      <c r="F26" s="1">
        <v>13757549</v>
      </c>
      <c r="H26" s="5">
        <f t="shared" si="0"/>
        <v>-8.0650252525252486E-2</v>
      </c>
      <c r="I26" s="5">
        <f t="shared" si="1"/>
        <v>6.0708680928389658E-3</v>
      </c>
      <c r="J26" s="5">
        <f t="shared" si="2"/>
        <v>1.9869818430969355E-2</v>
      </c>
      <c r="K26" s="5">
        <f t="shared" si="3"/>
        <v>-0.12258805848992438</v>
      </c>
      <c r="N26"/>
      <c r="O26"/>
      <c r="P26"/>
      <c r="Q26"/>
      <c r="R26"/>
      <c r="S26"/>
      <c r="T26"/>
      <c r="U26"/>
      <c r="V26"/>
    </row>
    <row r="27" spans="2:22" x14ac:dyDescent="0.15">
      <c r="B27" s="2">
        <v>44729</v>
      </c>
      <c r="C27" s="1">
        <v>56.5</v>
      </c>
      <c r="D27" s="1">
        <v>113.65</v>
      </c>
      <c r="E27" s="1">
        <v>104.62</v>
      </c>
      <c r="F27" s="1">
        <v>13754387</v>
      </c>
      <c r="H27" s="5">
        <f t="shared" si="0"/>
        <v>-3.0042918454935674E-2</v>
      </c>
      <c r="I27" s="5">
        <f t="shared" si="1"/>
        <v>-6.6951274578219255E-2</v>
      </c>
      <c r="J27" s="5">
        <f t="shared" si="2"/>
        <v>4.078890541772795E-3</v>
      </c>
      <c r="K27" s="5">
        <f t="shared" si="3"/>
        <v>-2.2983745142390877E-4</v>
      </c>
      <c r="N27" t="s">
        <v>30</v>
      </c>
      <c r="O27"/>
      <c r="P27"/>
      <c r="Q27"/>
      <c r="R27"/>
      <c r="S27"/>
      <c r="T27"/>
      <c r="U27"/>
      <c r="V27"/>
    </row>
    <row r="28" spans="2:22" ht="15" thickBot="1" x14ac:dyDescent="0.2">
      <c r="B28" s="2">
        <v>44736</v>
      </c>
      <c r="C28" s="1">
        <v>53.4</v>
      </c>
      <c r="D28" s="1">
        <v>113.02</v>
      </c>
      <c r="E28" s="1">
        <v>104.12</v>
      </c>
      <c r="F28" s="1">
        <v>10501721</v>
      </c>
      <c r="H28" s="5">
        <f t="shared" si="0"/>
        <v>-5.4867256637168182E-2</v>
      </c>
      <c r="I28" s="5">
        <f t="shared" si="1"/>
        <v>-5.5433347998240512E-3</v>
      </c>
      <c r="J28" s="5">
        <f t="shared" si="2"/>
        <v>-4.7792009176065298E-3</v>
      </c>
      <c r="K28" s="5">
        <f t="shared" si="3"/>
        <v>-0.23648207659127229</v>
      </c>
      <c r="N28"/>
      <c r="O28"/>
      <c r="P28"/>
      <c r="Q28"/>
      <c r="R28"/>
      <c r="S28"/>
      <c r="T28"/>
      <c r="U28"/>
      <c r="V28"/>
    </row>
    <row r="29" spans="2:22" x14ac:dyDescent="0.15">
      <c r="B29" s="2">
        <v>44743</v>
      </c>
      <c r="C29" s="1">
        <v>54</v>
      </c>
      <c r="D29" s="1">
        <v>111.545</v>
      </c>
      <c r="E29" s="1">
        <v>105.095</v>
      </c>
      <c r="F29" s="1">
        <v>11964931</v>
      </c>
      <c r="H29" s="5">
        <f t="shared" si="0"/>
        <v>1.1235955056179803E-2</v>
      </c>
      <c r="I29" s="5">
        <f t="shared" si="1"/>
        <v>-1.3050787471243996E-2</v>
      </c>
      <c r="J29" s="5">
        <f t="shared" si="2"/>
        <v>9.3641951594314321E-3</v>
      </c>
      <c r="K29" s="5">
        <f t="shared" si="3"/>
        <v>0.13933049640149453</v>
      </c>
      <c r="N29" s="8" t="s">
        <v>31</v>
      </c>
      <c r="O29" s="8" t="s">
        <v>32</v>
      </c>
      <c r="P29" s="8" t="s">
        <v>33</v>
      </c>
      <c r="Q29"/>
      <c r="R29"/>
      <c r="S29"/>
      <c r="T29"/>
      <c r="U29"/>
      <c r="V29"/>
    </row>
    <row r="30" spans="2:22" x14ac:dyDescent="0.15">
      <c r="B30" s="2">
        <v>44750</v>
      </c>
      <c r="C30" s="1">
        <v>64.900000000000006</v>
      </c>
      <c r="D30" s="1">
        <v>107.095</v>
      </c>
      <c r="E30" s="1">
        <v>106.91500000000001</v>
      </c>
      <c r="F30" s="1">
        <v>14193425</v>
      </c>
      <c r="H30" s="5">
        <f t="shared" si="0"/>
        <v>0.20185185185185195</v>
      </c>
      <c r="I30" s="5">
        <f t="shared" si="1"/>
        <v>-3.9894213097852904E-2</v>
      </c>
      <c r="J30" s="5">
        <f t="shared" si="2"/>
        <v>1.7317664969789259E-2</v>
      </c>
      <c r="K30" s="5">
        <f t="shared" si="3"/>
        <v>0.18625213969056742</v>
      </c>
      <c r="N30">
        <v>1</v>
      </c>
      <c r="O30">
        <v>-1.0433457992844081E-2</v>
      </c>
      <c r="P30">
        <v>0.114363893293646</v>
      </c>
      <c r="Q30"/>
      <c r="R30"/>
      <c r="S30"/>
      <c r="T30"/>
      <c r="U30"/>
      <c r="V30"/>
    </row>
    <row r="31" spans="2:22" x14ac:dyDescent="0.15">
      <c r="B31" s="2">
        <v>44757</v>
      </c>
      <c r="C31" s="1">
        <v>57</v>
      </c>
      <c r="D31" s="1">
        <v>100.89</v>
      </c>
      <c r="E31" s="1">
        <v>108</v>
      </c>
      <c r="F31" s="1">
        <v>10502149</v>
      </c>
      <c r="H31" s="5">
        <f t="shared" si="0"/>
        <v>-0.12172573189522351</v>
      </c>
      <c r="I31" s="5">
        <f t="shared" si="1"/>
        <v>-5.7939212848405641E-2</v>
      </c>
      <c r="J31" s="5">
        <f t="shared" si="2"/>
        <v>1.0148248608707888E-2</v>
      </c>
      <c r="K31" s="5">
        <f t="shared" si="3"/>
        <v>-0.26006943355814405</v>
      </c>
      <c r="N31">
        <v>2</v>
      </c>
      <c r="O31">
        <v>1.715325445849834E-2</v>
      </c>
      <c r="P31">
        <v>-7.6110368195959274E-2</v>
      </c>
      <c r="Q31"/>
      <c r="R31"/>
      <c r="S31"/>
      <c r="T31"/>
      <c r="U31"/>
      <c r="V31"/>
    </row>
    <row r="32" spans="2:22" x14ac:dyDescent="0.15">
      <c r="B32" s="2">
        <v>44764</v>
      </c>
      <c r="C32" s="1">
        <v>58.125</v>
      </c>
      <c r="D32" s="1">
        <v>103.405</v>
      </c>
      <c r="E32" s="1">
        <v>106.55500000000001</v>
      </c>
      <c r="F32" s="1">
        <v>10685282</v>
      </c>
      <c r="H32" s="5">
        <f t="shared" si="0"/>
        <v>1.9736842105263053E-2</v>
      </c>
      <c r="I32" s="5">
        <f t="shared" si="1"/>
        <v>2.4928139557934381E-2</v>
      </c>
      <c r="J32" s="5">
        <f t="shared" si="2"/>
        <v>-1.3379629629629575E-2</v>
      </c>
      <c r="K32" s="5">
        <f t="shared" si="3"/>
        <v>1.7437669185611515E-2</v>
      </c>
      <c r="N32">
        <v>3</v>
      </c>
      <c r="O32">
        <v>-6.6770822303759119E-3</v>
      </c>
      <c r="P32">
        <v>-2.4704465646449743E-4</v>
      </c>
      <c r="Q32"/>
      <c r="R32"/>
      <c r="S32"/>
      <c r="T32"/>
      <c r="U32"/>
      <c r="V32"/>
    </row>
    <row r="33" spans="2:22" x14ac:dyDescent="0.15">
      <c r="B33" s="2">
        <v>44771</v>
      </c>
      <c r="C33" s="1">
        <v>62.25</v>
      </c>
      <c r="D33" s="1">
        <v>109.94</v>
      </c>
      <c r="E33" s="1">
        <v>105.875</v>
      </c>
      <c r="F33" s="1">
        <v>13640297</v>
      </c>
      <c r="H33" s="5">
        <f t="shared" si="0"/>
        <v>7.0967741935483941E-2</v>
      </c>
      <c r="I33" s="5">
        <f t="shared" si="1"/>
        <v>6.3198104540399314E-2</v>
      </c>
      <c r="J33" s="5">
        <f t="shared" si="2"/>
        <v>-6.381680822110658E-3</v>
      </c>
      <c r="K33" s="5">
        <f t="shared" si="3"/>
        <v>0.27655002460393652</v>
      </c>
      <c r="N33">
        <v>4</v>
      </c>
      <c r="O33">
        <v>1.4808691001796827E-2</v>
      </c>
      <c r="P33">
        <v>-5.7513960645455886E-2</v>
      </c>
      <c r="Q33"/>
      <c r="R33"/>
      <c r="S33"/>
      <c r="T33"/>
      <c r="U33"/>
      <c r="V33"/>
    </row>
    <row r="34" spans="2:22" x14ac:dyDescent="0.15">
      <c r="B34" s="2">
        <v>44778</v>
      </c>
      <c r="C34" s="1">
        <v>60.524999999999999</v>
      </c>
      <c r="D34" s="1">
        <v>94.46</v>
      </c>
      <c r="E34" s="1">
        <v>106.55</v>
      </c>
      <c r="F34" s="1">
        <v>12574621</v>
      </c>
      <c r="H34" s="5">
        <f t="shared" si="0"/>
        <v>-2.7710843373494054E-2</v>
      </c>
      <c r="I34" s="5">
        <f t="shared" si="1"/>
        <v>-0.14080407494997271</v>
      </c>
      <c r="J34" s="5">
        <f t="shared" si="2"/>
        <v>6.3754427390789736E-3</v>
      </c>
      <c r="K34" s="5">
        <f t="shared" si="3"/>
        <v>-7.8127037849688996E-2</v>
      </c>
      <c r="N34">
        <v>5</v>
      </c>
      <c r="O34">
        <v>9.2947533219058485E-3</v>
      </c>
      <c r="P34">
        <v>-0.25966458706440959</v>
      </c>
      <c r="Q34"/>
      <c r="R34"/>
      <c r="S34"/>
      <c r="T34"/>
      <c r="U34"/>
      <c r="V34"/>
    </row>
    <row r="35" spans="2:22" x14ac:dyDescent="0.15">
      <c r="B35" s="2">
        <v>44785</v>
      </c>
      <c r="C35" s="1">
        <v>61.5</v>
      </c>
      <c r="D35" s="1">
        <v>98.125</v>
      </c>
      <c r="E35" s="1">
        <v>105.66500000000001</v>
      </c>
      <c r="F35" s="1">
        <v>12732493</v>
      </c>
      <c r="H35" s="5">
        <f t="shared" si="0"/>
        <v>1.6109045848822889E-2</v>
      </c>
      <c r="I35" s="5">
        <f t="shared" si="1"/>
        <v>3.879949184840159E-2</v>
      </c>
      <c r="J35" s="5">
        <f t="shared" si="2"/>
        <v>-8.3059596433598948E-3</v>
      </c>
      <c r="K35" s="5">
        <f t="shared" si="3"/>
        <v>1.2554811791146703E-2</v>
      </c>
      <c r="N35">
        <v>6</v>
      </c>
      <c r="O35">
        <v>4.0808375165151484E-2</v>
      </c>
      <c r="P35">
        <v>0.62242943227507819</v>
      </c>
      <c r="Q35"/>
      <c r="R35"/>
      <c r="S35"/>
      <c r="T35"/>
      <c r="U35"/>
      <c r="V35"/>
    </row>
    <row r="36" spans="2:22" x14ac:dyDescent="0.15">
      <c r="B36" s="2">
        <v>44792</v>
      </c>
      <c r="C36" s="1">
        <v>59.5</v>
      </c>
      <c r="D36" s="1">
        <v>95.864999999999995</v>
      </c>
      <c r="E36" s="1">
        <v>108.13</v>
      </c>
      <c r="F36" s="1">
        <v>11714650</v>
      </c>
      <c r="H36" s="5">
        <f t="shared" si="0"/>
        <v>-3.2520325203251987E-2</v>
      </c>
      <c r="I36" s="5">
        <f t="shared" si="1"/>
        <v>-2.3031847133758054E-2</v>
      </c>
      <c r="J36" s="5">
        <f t="shared" si="2"/>
        <v>2.3328443666303711E-2</v>
      </c>
      <c r="K36" s="5">
        <f t="shared" si="3"/>
        <v>-7.9940589796515082E-2</v>
      </c>
      <c r="N36">
        <v>7</v>
      </c>
      <c r="O36">
        <v>8.4930175144594978E-3</v>
      </c>
      <c r="P36">
        <v>-0.12486920408831545</v>
      </c>
      <c r="Q36"/>
      <c r="R36"/>
      <c r="S36"/>
      <c r="T36"/>
      <c r="U36"/>
      <c r="V36"/>
    </row>
    <row r="37" spans="2:22" x14ac:dyDescent="0.15">
      <c r="B37" s="2">
        <v>44799</v>
      </c>
      <c r="C37" s="1">
        <v>60.3</v>
      </c>
      <c r="D37" s="1">
        <v>100.67</v>
      </c>
      <c r="E37" s="1">
        <v>108.825</v>
      </c>
      <c r="F37" s="1">
        <v>13761849</v>
      </c>
      <c r="H37" s="5">
        <f t="shared" si="0"/>
        <v>1.3445378151260456E-2</v>
      </c>
      <c r="I37" s="5">
        <f t="shared" si="1"/>
        <v>5.0122568194857386E-2</v>
      </c>
      <c r="J37" s="5">
        <f t="shared" si="2"/>
        <v>6.4274484416906308E-3</v>
      </c>
      <c r="K37" s="5">
        <f t="shared" si="3"/>
        <v>0.1747554557754607</v>
      </c>
      <c r="N37">
        <v>8</v>
      </c>
      <c r="O37">
        <v>-1.2807243632727871E-2</v>
      </c>
      <c r="P37">
        <v>6.3335283677313198E-2</v>
      </c>
      <c r="Q37"/>
      <c r="R37"/>
      <c r="S37"/>
      <c r="T37"/>
      <c r="U37"/>
      <c r="V37"/>
    </row>
    <row r="38" spans="2:22" x14ac:dyDescent="0.15">
      <c r="B38" s="2">
        <v>44806</v>
      </c>
      <c r="C38" s="1">
        <v>60.274999999999999</v>
      </c>
      <c r="D38" s="1">
        <v>93.105000000000004</v>
      </c>
      <c r="E38" s="1">
        <v>109.625</v>
      </c>
      <c r="F38" s="1">
        <v>13615591</v>
      </c>
      <c r="H38" s="5">
        <f t="shared" si="0"/>
        <v>-4.1459369817575809E-4</v>
      </c>
      <c r="I38" s="5">
        <f t="shared" si="1"/>
        <v>-7.5146518327207645E-2</v>
      </c>
      <c r="J38" s="5">
        <f t="shared" si="2"/>
        <v>7.3512520101080003E-3</v>
      </c>
      <c r="K38" s="5">
        <f t="shared" si="3"/>
        <v>-1.0627787007399969E-2</v>
      </c>
      <c r="N38">
        <v>9</v>
      </c>
      <c r="O38">
        <v>9.2344857792369894E-2</v>
      </c>
      <c r="P38">
        <v>-0.11344198669882144</v>
      </c>
      <c r="Q38"/>
      <c r="R38"/>
      <c r="S38"/>
      <c r="T38"/>
      <c r="U38"/>
      <c r="V38"/>
    </row>
    <row r="39" spans="2:22" x14ac:dyDescent="0.15">
      <c r="B39" s="2">
        <v>44813</v>
      </c>
      <c r="C39" s="1">
        <v>61.5</v>
      </c>
      <c r="D39" s="1">
        <v>92.3</v>
      </c>
      <c r="E39" s="1">
        <v>109</v>
      </c>
      <c r="F39" s="1">
        <v>14051578</v>
      </c>
      <c r="H39" s="5">
        <f t="shared" si="0"/>
        <v>2.03235172127747E-2</v>
      </c>
      <c r="I39" s="5">
        <f t="shared" si="1"/>
        <v>-8.6461521937598595E-3</v>
      </c>
      <c r="J39" s="5">
        <f t="shared" si="2"/>
        <v>-5.7012542759407037E-3</v>
      </c>
      <c r="K39" s="5">
        <f t="shared" si="3"/>
        <v>3.2021158684922391E-2</v>
      </c>
      <c r="N39">
        <v>10</v>
      </c>
      <c r="O39">
        <v>5.5178006643215776E-3</v>
      </c>
      <c r="P39">
        <v>-0.26301109492403035</v>
      </c>
      <c r="Q39"/>
      <c r="R39"/>
      <c r="S39"/>
      <c r="T39"/>
      <c r="U39"/>
      <c r="V39"/>
    </row>
    <row r="40" spans="2:22" x14ac:dyDescent="0.15">
      <c r="B40" s="2">
        <v>44820</v>
      </c>
      <c r="C40" s="1">
        <v>60.5</v>
      </c>
      <c r="D40" s="1">
        <v>91.655000000000001</v>
      </c>
      <c r="E40" s="1">
        <v>109.63500000000001</v>
      </c>
      <c r="F40" s="1">
        <v>8642378</v>
      </c>
      <c r="H40" s="5">
        <f t="shared" si="0"/>
        <v>-1.6260162601625994E-2</v>
      </c>
      <c r="I40" s="5">
        <f t="shared" si="1"/>
        <v>-6.9880823401949899E-3</v>
      </c>
      <c r="J40" s="5">
        <f t="shared" si="2"/>
        <v>5.8256880733944527E-3</v>
      </c>
      <c r="K40" s="5">
        <f t="shared" si="3"/>
        <v>-0.38495320596732974</v>
      </c>
      <c r="N40">
        <v>11</v>
      </c>
      <c r="O40">
        <v>-6.9842679569577376E-2</v>
      </c>
      <c r="P40">
        <v>0.14913220948296693</v>
      </c>
      <c r="Q40"/>
      <c r="R40"/>
      <c r="S40"/>
      <c r="T40"/>
      <c r="U40"/>
      <c r="V40"/>
    </row>
    <row r="41" spans="2:22" x14ac:dyDescent="0.15">
      <c r="B41" s="2">
        <v>44827</v>
      </c>
      <c r="C41" s="1">
        <v>57.875</v>
      </c>
      <c r="D41" s="1">
        <v>86.73</v>
      </c>
      <c r="E41" s="1">
        <v>113.01</v>
      </c>
      <c r="F41" s="1">
        <v>11863126</v>
      </c>
      <c r="H41" s="5">
        <f t="shared" si="0"/>
        <v>-4.3388429752066138E-2</v>
      </c>
      <c r="I41" s="5">
        <f t="shared" si="1"/>
        <v>-5.3734111614205382E-2</v>
      </c>
      <c r="J41" s="5">
        <f t="shared" si="2"/>
        <v>3.0783964974688827E-2</v>
      </c>
      <c r="K41" s="5">
        <f t="shared" si="3"/>
        <v>0.37266918896627765</v>
      </c>
      <c r="N41">
        <v>12</v>
      </c>
      <c r="O41">
        <v>8.344692350462915E-2</v>
      </c>
      <c r="P41">
        <v>0.24921120148974604</v>
      </c>
      <c r="Q41"/>
      <c r="R41"/>
      <c r="S41"/>
      <c r="T41"/>
      <c r="U41"/>
      <c r="V41"/>
    </row>
    <row r="42" spans="2:22" x14ac:dyDescent="0.15">
      <c r="B42" s="2"/>
      <c r="H42" s="5"/>
      <c r="I42" s="5"/>
      <c r="J42" s="5"/>
      <c r="N42">
        <v>13</v>
      </c>
      <c r="O42">
        <v>1.5372294046833088E-2</v>
      </c>
      <c r="P42">
        <v>1.3909116958441728E-2</v>
      </c>
      <c r="Q42"/>
      <c r="R42"/>
      <c r="S42"/>
      <c r="T42"/>
      <c r="U42"/>
      <c r="V42"/>
    </row>
    <row r="43" spans="2:22" x14ac:dyDescent="0.15">
      <c r="B43" s="2"/>
      <c r="N43">
        <v>14</v>
      </c>
      <c r="O43">
        <v>-1.6993855904031567E-2</v>
      </c>
      <c r="P43">
        <v>-0.162372245904288</v>
      </c>
      <c r="Q43"/>
      <c r="R43"/>
      <c r="S43"/>
      <c r="T43"/>
      <c r="U43"/>
      <c r="V43"/>
    </row>
    <row r="44" spans="2:22" x14ac:dyDescent="0.15">
      <c r="B44" s="2"/>
      <c r="N44">
        <v>15</v>
      </c>
      <c r="O44">
        <v>-2.7108732509445847E-2</v>
      </c>
      <c r="P44">
        <v>0.61117233933581439</v>
      </c>
      <c r="Q44"/>
      <c r="R44"/>
      <c r="S44"/>
      <c r="T44"/>
      <c r="U44"/>
      <c r="V44"/>
    </row>
    <row r="45" spans="2:22" x14ac:dyDescent="0.15">
      <c r="B45" s="2"/>
      <c r="N45">
        <v>16</v>
      </c>
      <c r="O45">
        <v>-1.8678851953781727E-2</v>
      </c>
      <c r="P45">
        <v>-0.16302388392243139</v>
      </c>
      <c r="Q45"/>
      <c r="R45"/>
      <c r="S45"/>
      <c r="T45"/>
      <c r="U45"/>
      <c r="V45"/>
    </row>
    <row r="46" spans="2:22" x14ac:dyDescent="0.15">
      <c r="B46" s="2"/>
      <c r="N46">
        <v>17</v>
      </c>
      <c r="O46">
        <v>2.4376748398884936E-2</v>
      </c>
      <c r="P46">
        <v>-0.10196733177061557</v>
      </c>
      <c r="Q46"/>
      <c r="R46"/>
      <c r="S46"/>
      <c r="T46"/>
      <c r="U46"/>
      <c r="V46"/>
    </row>
    <row r="47" spans="2:22" x14ac:dyDescent="0.15">
      <c r="B47" s="2"/>
      <c r="N47">
        <v>18</v>
      </c>
      <c r="O47">
        <v>8.7045720532484636E-3</v>
      </c>
      <c r="P47">
        <v>7.888890168915931E-2</v>
      </c>
      <c r="Q47"/>
      <c r="R47"/>
      <c r="S47"/>
      <c r="T47"/>
      <c r="U47"/>
      <c r="V47"/>
    </row>
    <row r="48" spans="2:22" x14ac:dyDescent="0.15">
      <c r="B48" s="2"/>
      <c r="N48">
        <v>19</v>
      </c>
      <c r="O48">
        <v>1.2492786545174842E-2</v>
      </c>
      <c r="P48">
        <v>8.8126658807602259E-3</v>
      </c>
      <c r="Q48"/>
      <c r="R48"/>
      <c r="S48"/>
      <c r="T48"/>
      <c r="U48"/>
      <c r="V48"/>
    </row>
    <row r="49" spans="2:22" x14ac:dyDescent="0.15">
      <c r="B49" s="2"/>
      <c r="N49">
        <v>20</v>
      </c>
      <c r="O49">
        <v>-2.9471211146103043E-4</v>
      </c>
      <c r="P49">
        <v>-9.8931685952783413E-3</v>
      </c>
      <c r="Q49"/>
      <c r="R49"/>
      <c r="S49"/>
      <c r="T49"/>
      <c r="U49"/>
      <c r="V49"/>
    </row>
    <row r="50" spans="2:22" x14ac:dyDescent="0.15">
      <c r="B50" s="2"/>
      <c r="N50">
        <v>21</v>
      </c>
      <c r="O50">
        <v>-1.3916235598831808E-2</v>
      </c>
      <c r="P50">
        <v>6.1863505171385828E-2</v>
      </c>
      <c r="Q50"/>
      <c r="R50"/>
      <c r="S50"/>
      <c r="T50"/>
      <c r="U50"/>
      <c r="V50"/>
    </row>
    <row r="51" spans="2:22" x14ac:dyDescent="0.15">
      <c r="B51" s="2"/>
      <c r="N51">
        <v>22</v>
      </c>
      <c r="O51">
        <v>7.2377642832238076E-2</v>
      </c>
      <c r="P51">
        <v>-0.19496570132216245</v>
      </c>
      <c r="Q51"/>
      <c r="R51"/>
      <c r="S51"/>
      <c r="T51"/>
      <c r="U51"/>
      <c r="V51"/>
    </row>
    <row r="52" spans="2:22" x14ac:dyDescent="0.15">
      <c r="B52" s="2"/>
      <c r="N52">
        <v>23</v>
      </c>
      <c r="O52">
        <v>2.0955995118183003E-2</v>
      </c>
      <c r="P52">
        <v>-2.1185832569606912E-2</v>
      </c>
      <c r="Q52"/>
      <c r="R52"/>
      <c r="S52"/>
      <c r="T52"/>
      <c r="U52"/>
      <c r="V52"/>
    </row>
    <row r="53" spans="2:22" x14ac:dyDescent="0.15">
      <c r="B53" s="2"/>
      <c r="N53">
        <v>24</v>
      </c>
      <c r="O53">
        <v>3.6463698351712016E-2</v>
      </c>
      <c r="P53">
        <v>-0.27294577494298433</v>
      </c>
      <c r="Q53"/>
      <c r="R53"/>
      <c r="S53"/>
      <c r="T53"/>
      <c r="U53"/>
      <c r="V53"/>
    </row>
    <row r="54" spans="2:22" x14ac:dyDescent="0.15">
      <c r="B54" s="2"/>
      <c r="N54">
        <v>25</v>
      </c>
      <c r="O54">
        <v>0.1090523334066065</v>
      </c>
      <c r="P54">
        <v>3.027816299488803E-2</v>
      </c>
      <c r="Q54"/>
      <c r="R54"/>
      <c r="S54"/>
      <c r="T54"/>
      <c r="U54"/>
      <c r="V54"/>
    </row>
    <row r="55" spans="2:22" x14ac:dyDescent="0.15">
      <c r="B55" s="2"/>
      <c r="N55">
        <v>26</v>
      </c>
      <c r="O55">
        <v>3.3554856333220029E-2</v>
      </c>
      <c r="P55">
        <v>0.15269728335734739</v>
      </c>
      <c r="Q55"/>
      <c r="R55"/>
      <c r="S55"/>
      <c r="T55"/>
      <c r="U55"/>
      <c r="V55"/>
    </row>
    <row r="56" spans="2:22" x14ac:dyDescent="0.15">
      <c r="B56" s="2"/>
      <c r="N56">
        <v>27</v>
      </c>
      <c r="O56">
        <v>2.4111572704573286E-2</v>
      </c>
      <c r="P56">
        <v>-0.28418100626271736</v>
      </c>
      <c r="Q56"/>
      <c r="R56"/>
      <c r="S56"/>
      <c r="T56"/>
      <c r="U56"/>
      <c r="V56"/>
    </row>
    <row r="57" spans="2:22" x14ac:dyDescent="0.15">
      <c r="B57" s="2"/>
      <c r="N57">
        <v>28</v>
      </c>
      <c r="O57">
        <v>2.7480775207282737E-3</v>
      </c>
      <c r="P57">
        <v>1.4689591664883241E-2</v>
      </c>
      <c r="Q57"/>
      <c r="R57"/>
      <c r="S57"/>
      <c r="T57"/>
      <c r="U57"/>
      <c r="V57"/>
    </row>
    <row r="58" spans="2:22" x14ac:dyDescent="0.15">
      <c r="B58" s="2"/>
      <c r="N58">
        <v>29</v>
      </c>
      <c r="O58">
        <v>0.1321063720623521</v>
      </c>
      <c r="P58">
        <v>0.14444365254158442</v>
      </c>
      <c r="Q58"/>
      <c r="R58"/>
      <c r="S58"/>
      <c r="T58"/>
      <c r="U58"/>
      <c r="V58"/>
    </row>
    <row r="59" spans="2:22" x14ac:dyDescent="0.15">
      <c r="B59" s="2"/>
      <c r="N59">
        <v>30</v>
      </c>
      <c r="O59">
        <v>7.9943610058950017E-3</v>
      </c>
      <c r="P59">
        <v>-8.6121398855583994E-2</v>
      </c>
      <c r="Q59"/>
      <c r="R59"/>
      <c r="S59"/>
      <c r="T59"/>
      <c r="U59"/>
      <c r="V59"/>
    </row>
    <row r="60" spans="2:22" x14ac:dyDescent="0.15">
      <c r="B60" s="2"/>
      <c r="N60">
        <v>31</v>
      </c>
      <c r="O60">
        <v>2.1715841426719572E-2</v>
      </c>
      <c r="P60">
        <v>-9.1610296355728697E-3</v>
      </c>
      <c r="Q60"/>
      <c r="R60"/>
      <c r="S60"/>
      <c r="T60"/>
      <c r="U60"/>
      <c r="V60"/>
    </row>
    <row r="61" spans="2:22" x14ac:dyDescent="0.15">
      <c r="B61" s="2"/>
      <c r="N61">
        <v>32</v>
      </c>
      <c r="O61">
        <v>-1.2688440726377329E-2</v>
      </c>
      <c r="P61">
        <v>-6.7252149070137754E-2</v>
      </c>
      <c r="Q61"/>
      <c r="R61"/>
      <c r="S61"/>
      <c r="T61"/>
      <c r="U61"/>
      <c r="V61"/>
    </row>
    <row r="62" spans="2:22" x14ac:dyDescent="0.15">
      <c r="B62" s="2"/>
      <c r="N62">
        <v>33</v>
      </c>
      <c r="O62">
        <v>8.5502639320949606E-2</v>
      </c>
      <c r="P62">
        <v>8.9252816454511094E-2</v>
      </c>
      <c r="Q62"/>
      <c r="R62"/>
      <c r="S62"/>
      <c r="T62"/>
      <c r="U62"/>
      <c r="V62"/>
    </row>
    <row r="63" spans="2:22" x14ac:dyDescent="0.15">
      <c r="B63" s="2"/>
      <c r="N63">
        <v>34</v>
      </c>
      <c r="O63">
        <v>4.6355863968592169E-2</v>
      </c>
      <c r="P63">
        <v>-5.6983650975992138E-2</v>
      </c>
      <c r="Q63"/>
      <c r="R63"/>
      <c r="S63"/>
      <c r="T63"/>
      <c r="U63"/>
      <c r="V63"/>
    </row>
    <row r="64" spans="2:22" x14ac:dyDescent="0.15">
      <c r="B64" s="2"/>
      <c r="N64">
        <v>35</v>
      </c>
      <c r="O64">
        <v>2.5911697683429939E-2</v>
      </c>
      <c r="P64">
        <v>6.1094610014924521E-3</v>
      </c>
      <c r="Q64"/>
      <c r="R64"/>
      <c r="S64"/>
      <c r="T64"/>
      <c r="U64"/>
      <c r="V64"/>
    </row>
    <row r="65" spans="2:22" x14ac:dyDescent="0.15">
      <c r="B65" s="2"/>
      <c r="N65">
        <v>36</v>
      </c>
      <c r="O65">
        <v>3.8380078837906714E-2</v>
      </c>
      <c r="P65">
        <v>-0.42333328480523646</v>
      </c>
      <c r="Q65"/>
      <c r="R65"/>
      <c r="S65"/>
      <c r="T65"/>
      <c r="U65"/>
      <c r="V65"/>
    </row>
    <row r="66" spans="2:22" ht="15" thickBot="1" x14ac:dyDescent="0.2">
      <c r="B66" s="2"/>
      <c r="N66" s="7">
        <v>37</v>
      </c>
      <c r="O66" s="7">
        <v>3.5014001329231971E-2</v>
      </c>
      <c r="P66" s="7">
        <v>0.33765518763704566</v>
      </c>
      <c r="Q66"/>
      <c r="R66"/>
      <c r="S66"/>
      <c r="T66"/>
      <c r="U66"/>
      <c r="V66"/>
    </row>
    <row r="67" spans="2:22" x14ac:dyDescent="0.15">
      <c r="B67" s="2"/>
    </row>
    <row r="68" spans="2:22" x14ac:dyDescent="0.15">
      <c r="B68" s="2"/>
    </row>
    <row r="69" spans="2:22" x14ac:dyDescent="0.15">
      <c r="B69" s="2"/>
    </row>
    <row r="70" spans="2:22" x14ac:dyDescent="0.15">
      <c r="B70" s="2"/>
    </row>
    <row r="71" spans="2:22" x14ac:dyDescent="0.15">
      <c r="B71" s="2"/>
    </row>
    <row r="72" spans="2:22" x14ac:dyDescent="0.15">
      <c r="B72" s="2"/>
    </row>
    <row r="73" spans="2:22" x14ac:dyDescent="0.15">
      <c r="B73" s="2"/>
    </row>
    <row r="74" spans="2:22" x14ac:dyDescent="0.15">
      <c r="B74" s="2"/>
    </row>
    <row r="75" spans="2:22" x14ac:dyDescent="0.15">
      <c r="B75" s="2"/>
    </row>
    <row r="76" spans="2:22" x14ac:dyDescent="0.15">
      <c r="B76" s="2"/>
    </row>
    <row r="77" spans="2:22" x14ac:dyDescent="0.15">
      <c r="B77" s="2"/>
    </row>
    <row r="78" spans="2:22" x14ac:dyDescent="0.15">
      <c r="B78" s="2"/>
    </row>
    <row r="79" spans="2:22" x14ac:dyDescent="0.15">
      <c r="B79" s="2"/>
    </row>
    <row r="80" spans="2:22" x14ac:dyDescent="0.15">
      <c r="B80" s="2"/>
    </row>
    <row r="81" spans="2:2" x14ac:dyDescent="0.15">
      <c r="B81" s="2"/>
    </row>
    <row r="82" spans="2:2" x14ac:dyDescent="0.15">
      <c r="B82" s="2"/>
    </row>
    <row r="83" spans="2:2" x14ac:dyDescent="0.15">
      <c r="B83" s="2"/>
    </row>
    <row r="84" spans="2:2" x14ac:dyDescent="0.15">
      <c r="B84" s="2"/>
    </row>
    <row r="85" spans="2:2" x14ac:dyDescent="0.15">
      <c r="B85" s="2"/>
    </row>
    <row r="86" spans="2:2" x14ac:dyDescent="0.15">
      <c r="B86" s="2"/>
    </row>
    <row r="87" spans="2:2" x14ac:dyDescent="0.15">
      <c r="B87" s="2"/>
    </row>
    <row r="88" spans="2:2" x14ac:dyDescent="0.15">
      <c r="B88" s="2"/>
    </row>
    <row r="89" spans="2:2" x14ac:dyDescent="0.15">
      <c r="B89" s="2"/>
    </row>
    <row r="90" spans="2:2" x14ac:dyDescent="0.15">
      <c r="B90" s="2"/>
    </row>
    <row r="91" spans="2:2" x14ac:dyDescent="0.15">
      <c r="B91" s="2"/>
    </row>
    <row r="92" spans="2:2" x14ac:dyDescent="0.15">
      <c r="B92" s="2"/>
    </row>
    <row r="93" spans="2:2" x14ac:dyDescent="0.15">
      <c r="B93" s="2"/>
    </row>
    <row r="94" spans="2:2" x14ac:dyDescent="0.15">
      <c r="B94" s="2"/>
    </row>
    <row r="95" spans="2:2" x14ac:dyDescent="0.15">
      <c r="B95" s="2"/>
    </row>
    <row r="96" spans="2:2" x14ac:dyDescent="0.15">
      <c r="B96" s="2"/>
    </row>
    <row r="97" spans="2:2" x14ac:dyDescent="0.15">
      <c r="B97" s="2"/>
    </row>
    <row r="98" spans="2:2" x14ac:dyDescent="0.15">
      <c r="B98" s="2"/>
    </row>
    <row r="99" spans="2:2" x14ac:dyDescent="0.15">
      <c r="B99" s="2"/>
    </row>
    <row r="100" spans="2:2" x14ac:dyDescent="0.15">
      <c r="B100" s="2"/>
    </row>
    <row r="101" spans="2:2" x14ac:dyDescent="0.15">
      <c r="B101" s="2"/>
    </row>
    <row r="102" spans="2:2" x14ac:dyDescent="0.15">
      <c r="B102" s="2"/>
    </row>
    <row r="103" spans="2:2" x14ac:dyDescent="0.15">
      <c r="B103" s="2"/>
    </row>
    <row r="104" spans="2:2" x14ac:dyDescent="0.15">
      <c r="B104" s="2"/>
    </row>
    <row r="105" spans="2:2" x14ac:dyDescent="0.15">
      <c r="B105" s="2"/>
    </row>
    <row r="106" spans="2:2" x14ac:dyDescent="0.15">
      <c r="B106" s="2"/>
    </row>
    <row r="107" spans="2:2" x14ac:dyDescent="0.15">
      <c r="B107" s="2"/>
    </row>
    <row r="108" spans="2:2" x14ac:dyDescent="0.15">
      <c r="B108" s="2"/>
    </row>
    <row r="109" spans="2:2" x14ac:dyDescent="0.15">
      <c r="B109" s="2"/>
    </row>
    <row r="110" spans="2:2" x14ac:dyDescent="0.15">
      <c r="B110" s="2"/>
    </row>
    <row r="111" spans="2:2" x14ac:dyDescent="0.15">
      <c r="B111" s="2"/>
    </row>
  </sheetData>
  <autoFilter ref="C3:E42" xr:uid="{03DAD383-CA26-4977-A168-4868E4D652DD}"/>
  <mergeCells count="1">
    <mergeCell ref="H2:K3"/>
  </mergeCells>
  <conditionalFormatting sqref="H5:H4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{D91C0129-39BD-485E-BBCC-8F52C84727F4}</x14:id>
        </ext>
      </extLst>
    </cfRule>
  </conditionalFormatting>
  <conditionalFormatting sqref="I5:I4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{A1EB85FD-5628-420E-B376-31FE4E66FDE4}</x14:id>
        </ext>
      </extLst>
    </cfRule>
  </conditionalFormatting>
  <conditionalFormatting sqref="J5:J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{25574EEB-A3B9-4551-BFC8-DCC8E20A4464}</x14:id>
        </ext>
      </extLst>
    </cfRule>
  </conditionalFormatting>
  <conditionalFormatting sqref="K5:K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{6F4E25B4-9001-4844-AED5-B4C37B3CC3F5}</x14:id>
        </ext>
      </extLst>
    </cfRule>
  </conditionalFormatting>
  <conditionalFormatting sqref="R20:R23">
    <cfRule type="cellIs" dxfId="5" priority="5" operator="greaterThan">
      <formula>0.05</formula>
    </cfRule>
  </conditionalFormatting>
  <pageMargins left="0.7" right="0.7" top="0.75" bottom="0.75" header="0.3" footer="0.3"/>
  <ignoredErrors>
    <ignoredError sqref="I5:I4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1C0129-39BD-485E-BBCC-8F52C84727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H5:H41</xm:sqref>
        </x14:conditionalFormatting>
        <x14:conditionalFormatting xmlns:xm="http://schemas.microsoft.com/office/excel/2006/main">
          <x14:cfRule type="dataBar" id="{A1EB85FD-5628-420E-B376-31FE4E66FD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I5:I41</xm:sqref>
        </x14:conditionalFormatting>
        <x14:conditionalFormatting xmlns:xm="http://schemas.microsoft.com/office/excel/2006/main">
          <x14:cfRule type="dataBar" id="{25574EEB-A3B9-4551-BFC8-DCC8E20A44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J5:J41</xm:sqref>
        </x14:conditionalFormatting>
        <x14:conditionalFormatting xmlns:xm="http://schemas.microsoft.com/office/excel/2006/main">
          <x14:cfRule type="dataBar" id="{6F4E25B4-9001-4844-AED5-B4C37B3CC3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K5:K41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D2C0-4FD8-4777-8D40-26775E3C965B}">
  <dimension ref="A2:F264"/>
  <sheetViews>
    <sheetView workbookViewId="0">
      <selection activeCell="G26" sqref="G26"/>
    </sheetView>
  </sheetViews>
  <sheetFormatPr baseColWidth="10" defaultColWidth="15" defaultRowHeight="14" x14ac:dyDescent="0.15"/>
  <cols>
    <col min="1" max="1" width="16.6640625" customWidth="1"/>
  </cols>
  <sheetData>
    <row r="2" spans="1:6" x14ac:dyDescent="0.15">
      <c r="A2" s="10" t="s">
        <v>35</v>
      </c>
      <c r="B2" s="10">
        <v>2017</v>
      </c>
      <c r="C2" s="10"/>
      <c r="D2" s="10"/>
      <c r="E2" s="10"/>
      <c r="F2" s="10"/>
    </row>
    <row r="3" spans="1:6" x14ac:dyDescent="0.15">
      <c r="A3" s="14">
        <v>42737</v>
      </c>
      <c r="B3" s="11" cm="1">
        <f t="array" ref="B3:B54">'[1]Urals weekly loadings 2017'!F4:F55</f>
        <v>15769001</v>
      </c>
      <c r="F3" s="11"/>
    </row>
    <row r="4" spans="1:6" x14ac:dyDescent="0.15">
      <c r="A4" s="14">
        <f>A3+7</f>
        <v>42744</v>
      </c>
      <c r="B4" s="11">
        <v>13918639</v>
      </c>
      <c r="F4" s="11"/>
    </row>
    <row r="5" spans="1:6" x14ac:dyDescent="0.15">
      <c r="A5" s="14">
        <f t="shared" ref="A5:A68" si="0">A4+7</f>
        <v>42751</v>
      </c>
      <c r="B5" s="11">
        <v>14805846</v>
      </c>
      <c r="F5" s="11"/>
    </row>
    <row r="6" spans="1:6" x14ac:dyDescent="0.15">
      <c r="A6" s="14">
        <f t="shared" si="0"/>
        <v>42758</v>
      </c>
      <c r="B6" s="11">
        <v>13775694</v>
      </c>
      <c r="F6" s="11"/>
    </row>
    <row r="7" spans="1:6" x14ac:dyDescent="0.15">
      <c r="A7" s="14">
        <f t="shared" si="0"/>
        <v>42765</v>
      </c>
      <c r="B7" s="11">
        <v>13326052</v>
      </c>
      <c r="F7" s="11"/>
    </row>
    <row r="8" spans="1:6" x14ac:dyDescent="0.15">
      <c r="A8" s="14">
        <f t="shared" si="0"/>
        <v>42772</v>
      </c>
      <c r="B8" s="11">
        <v>15387914</v>
      </c>
      <c r="F8" s="11"/>
    </row>
    <row r="9" spans="1:6" x14ac:dyDescent="0.15">
      <c r="A9" s="14">
        <f t="shared" si="0"/>
        <v>42779</v>
      </c>
      <c r="B9" s="11">
        <v>14753986</v>
      </c>
      <c r="F9" s="11"/>
    </row>
    <row r="10" spans="1:6" x14ac:dyDescent="0.15">
      <c r="A10" s="14">
        <f t="shared" si="0"/>
        <v>42786</v>
      </c>
      <c r="B10" s="11">
        <v>17321594</v>
      </c>
      <c r="F10" s="11"/>
    </row>
    <row r="11" spans="1:6" x14ac:dyDescent="0.15">
      <c r="A11" s="14">
        <f t="shared" si="0"/>
        <v>42793</v>
      </c>
      <c r="B11" s="11">
        <v>19164475</v>
      </c>
      <c r="F11" s="11"/>
    </row>
    <row r="12" spans="1:6" x14ac:dyDescent="0.15">
      <c r="A12" s="14">
        <f t="shared" si="0"/>
        <v>42800</v>
      </c>
      <c r="B12" s="11">
        <v>14544394</v>
      </c>
      <c r="F12" s="11"/>
    </row>
    <row r="13" spans="1:6" x14ac:dyDescent="0.15">
      <c r="A13" s="14">
        <f t="shared" si="0"/>
        <v>42807</v>
      </c>
      <c r="B13" s="11">
        <v>13618943</v>
      </c>
      <c r="F13" s="11"/>
    </row>
    <row r="14" spans="1:6" x14ac:dyDescent="0.15">
      <c r="A14" s="14">
        <f t="shared" si="0"/>
        <v>42814</v>
      </c>
      <c r="B14" s="11">
        <v>17771786</v>
      </c>
      <c r="F14" s="11"/>
    </row>
    <row r="15" spans="1:6" x14ac:dyDescent="0.15">
      <c r="A15" s="14">
        <f t="shared" si="0"/>
        <v>42821</v>
      </c>
      <c r="B15" s="11">
        <v>16000044</v>
      </c>
      <c r="F15" s="11"/>
    </row>
    <row r="16" spans="1:6" x14ac:dyDescent="0.15">
      <c r="A16" s="14">
        <f t="shared" si="0"/>
        <v>42828</v>
      </c>
      <c r="B16" s="11">
        <v>16787282</v>
      </c>
      <c r="F16" s="11"/>
    </row>
    <row r="17" spans="1:6" x14ac:dyDescent="0.15">
      <c r="A17" s="14">
        <f t="shared" si="0"/>
        <v>42835</v>
      </c>
      <c r="B17" s="11">
        <v>15824721</v>
      </c>
      <c r="F17" s="11"/>
    </row>
    <row r="18" spans="1:6" x14ac:dyDescent="0.15">
      <c r="A18" s="14">
        <f t="shared" si="0"/>
        <v>42842</v>
      </c>
      <c r="B18" s="11">
        <v>19364895</v>
      </c>
      <c r="F18" s="11"/>
    </row>
    <row r="19" spans="1:6" x14ac:dyDescent="0.15">
      <c r="A19" s="14">
        <f t="shared" si="0"/>
        <v>42849</v>
      </c>
      <c r="B19" s="11">
        <v>15026917</v>
      </c>
      <c r="F19" s="11"/>
    </row>
    <row r="20" spans="1:6" x14ac:dyDescent="0.15">
      <c r="A20" s="14">
        <f t="shared" si="0"/>
        <v>42856</v>
      </c>
      <c r="B20" s="11">
        <v>16171206</v>
      </c>
      <c r="F20" s="11"/>
    </row>
    <row r="21" spans="1:6" x14ac:dyDescent="0.15">
      <c r="A21" s="14">
        <f t="shared" si="0"/>
        <v>42863</v>
      </c>
      <c r="B21" s="11">
        <v>12292495</v>
      </c>
      <c r="F21" s="11"/>
    </row>
    <row r="22" spans="1:6" x14ac:dyDescent="0.15">
      <c r="A22" s="14">
        <f t="shared" si="0"/>
        <v>42870</v>
      </c>
      <c r="B22" s="11">
        <v>15716132</v>
      </c>
      <c r="F22" s="11"/>
    </row>
    <row r="23" spans="1:6" x14ac:dyDescent="0.15">
      <c r="A23" s="14">
        <f t="shared" si="0"/>
        <v>42877</v>
      </c>
      <c r="B23" s="11">
        <v>17181025</v>
      </c>
      <c r="F23" s="11"/>
    </row>
    <row r="24" spans="1:6" x14ac:dyDescent="0.15">
      <c r="A24" s="14">
        <f t="shared" si="0"/>
        <v>42884</v>
      </c>
      <c r="B24" s="11">
        <v>14797229</v>
      </c>
      <c r="F24" s="11"/>
    </row>
    <row r="25" spans="1:6" x14ac:dyDescent="0.15">
      <c r="A25" s="14">
        <f t="shared" si="0"/>
        <v>42891</v>
      </c>
      <c r="B25" s="11">
        <v>11127747</v>
      </c>
      <c r="F25" s="11"/>
    </row>
    <row r="26" spans="1:6" x14ac:dyDescent="0.15">
      <c r="A26" s="14">
        <f t="shared" si="0"/>
        <v>42898</v>
      </c>
      <c r="B26" s="11">
        <v>11772141</v>
      </c>
      <c r="F26" s="11"/>
    </row>
    <row r="27" spans="1:6" x14ac:dyDescent="0.15">
      <c r="A27" s="14">
        <f t="shared" si="0"/>
        <v>42905</v>
      </c>
      <c r="B27" s="11">
        <v>17090410</v>
      </c>
      <c r="F27" s="11"/>
    </row>
    <row r="28" spans="1:6" x14ac:dyDescent="0.15">
      <c r="A28" s="14">
        <f t="shared" si="0"/>
        <v>42912</v>
      </c>
      <c r="B28" s="11">
        <v>13176643</v>
      </c>
      <c r="F28" s="11"/>
    </row>
    <row r="29" spans="1:6" x14ac:dyDescent="0.15">
      <c r="A29" s="14">
        <f t="shared" si="0"/>
        <v>42919</v>
      </c>
      <c r="B29" s="11">
        <v>11891712</v>
      </c>
      <c r="F29" s="11"/>
    </row>
    <row r="30" spans="1:6" x14ac:dyDescent="0.15">
      <c r="A30" s="14">
        <f t="shared" si="0"/>
        <v>42926</v>
      </c>
      <c r="B30" s="11">
        <v>11141171</v>
      </c>
      <c r="F30" s="11"/>
    </row>
    <row r="31" spans="1:6" x14ac:dyDescent="0.15">
      <c r="A31" s="14">
        <f t="shared" si="0"/>
        <v>42933</v>
      </c>
      <c r="B31" s="11">
        <v>12773066</v>
      </c>
      <c r="F31" s="11"/>
    </row>
    <row r="32" spans="1:6" x14ac:dyDescent="0.15">
      <c r="A32" s="14">
        <f t="shared" si="0"/>
        <v>42940</v>
      </c>
      <c r="B32" s="11">
        <v>16733085</v>
      </c>
      <c r="F32" s="11"/>
    </row>
    <row r="33" spans="1:6" x14ac:dyDescent="0.15">
      <c r="A33" s="14">
        <f t="shared" si="0"/>
        <v>42947</v>
      </c>
      <c r="B33" s="11">
        <v>13382407</v>
      </c>
      <c r="F33" s="11"/>
    </row>
    <row r="34" spans="1:6" x14ac:dyDescent="0.15">
      <c r="A34" s="14">
        <f t="shared" si="0"/>
        <v>42954</v>
      </c>
      <c r="B34" s="11">
        <v>10139359</v>
      </c>
      <c r="F34" s="11"/>
    </row>
    <row r="35" spans="1:6" x14ac:dyDescent="0.15">
      <c r="A35" s="14">
        <f t="shared" si="0"/>
        <v>42961</v>
      </c>
      <c r="B35" s="11">
        <v>15254483</v>
      </c>
      <c r="F35" s="11"/>
    </row>
    <row r="36" spans="1:6" x14ac:dyDescent="0.15">
      <c r="A36" s="14">
        <f t="shared" si="0"/>
        <v>42968</v>
      </c>
      <c r="B36" s="11">
        <v>15313857</v>
      </c>
      <c r="F36" s="11"/>
    </row>
    <row r="37" spans="1:6" x14ac:dyDescent="0.15">
      <c r="A37" s="14">
        <f t="shared" si="0"/>
        <v>42975</v>
      </c>
      <c r="B37" s="11">
        <v>13031411</v>
      </c>
      <c r="F37" s="11"/>
    </row>
    <row r="38" spans="1:6" x14ac:dyDescent="0.15">
      <c r="A38" s="14">
        <f t="shared" si="0"/>
        <v>42982</v>
      </c>
      <c r="B38" s="11">
        <v>16454237</v>
      </c>
      <c r="F38" s="11"/>
    </row>
    <row r="39" spans="1:6" x14ac:dyDescent="0.15">
      <c r="A39" s="14">
        <f t="shared" si="0"/>
        <v>42989</v>
      </c>
      <c r="B39" s="11">
        <v>14075355</v>
      </c>
      <c r="F39" s="11"/>
    </row>
    <row r="40" spans="1:6" x14ac:dyDescent="0.15">
      <c r="A40" s="14">
        <f t="shared" si="0"/>
        <v>42996</v>
      </c>
      <c r="B40" s="11">
        <v>13132104</v>
      </c>
      <c r="F40" s="11"/>
    </row>
    <row r="41" spans="1:6" x14ac:dyDescent="0.15">
      <c r="A41" s="14">
        <f t="shared" si="0"/>
        <v>43003</v>
      </c>
      <c r="B41" s="11">
        <v>15375432</v>
      </c>
      <c r="F41" s="11"/>
    </row>
    <row r="42" spans="1:6" x14ac:dyDescent="0.15">
      <c r="A42" s="14">
        <f t="shared" si="0"/>
        <v>43010</v>
      </c>
      <c r="B42" s="11">
        <v>14956929</v>
      </c>
      <c r="F42" s="11"/>
    </row>
    <row r="43" spans="1:6" x14ac:dyDescent="0.15">
      <c r="A43" s="14">
        <f t="shared" si="0"/>
        <v>43017</v>
      </c>
      <c r="B43" s="11">
        <v>16931079</v>
      </c>
      <c r="F43" s="11"/>
    </row>
    <row r="44" spans="1:6" x14ac:dyDescent="0.15">
      <c r="A44" s="14">
        <f t="shared" si="0"/>
        <v>43024</v>
      </c>
      <c r="B44" s="11">
        <v>14802135</v>
      </c>
      <c r="F44" s="11"/>
    </row>
    <row r="45" spans="1:6" x14ac:dyDescent="0.15">
      <c r="A45" s="14">
        <f t="shared" si="0"/>
        <v>43031</v>
      </c>
      <c r="B45" s="11">
        <v>13529937</v>
      </c>
      <c r="F45" s="11"/>
    </row>
    <row r="46" spans="1:6" x14ac:dyDescent="0.15">
      <c r="A46" s="14">
        <f t="shared" si="0"/>
        <v>43038</v>
      </c>
      <c r="B46" s="11">
        <v>15532368</v>
      </c>
      <c r="F46" s="11"/>
    </row>
    <row r="47" spans="1:6" x14ac:dyDescent="0.15">
      <c r="A47" s="14">
        <f t="shared" si="0"/>
        <v>43045</v>
      </c>
      <c r="B47" s="11">
        <v>13050065</v>
      </c>
      <c r="F47" s="11"/>
    </row>
    <row r="48" spans="1:6" x14ac:dyDescent="0.15">
      <c r="A48" s="14">
        <f t="shared" si="0"/>
        <v>43052</v>
      </c>
      <c r="B48" s="11">
        <v>12317332</v>
      </c>
      <c r="F48" s="11"/>
    </row>
    <row r="49" spans="1:6" x14ac:dyDescent="0.15">
      <c r="A49" s="14">
        <f t="shared" si="0"/>
        <v>43059</v>
      </c>
      <c r="B49" s="11">
        <v>14674661</v>
      </c>
      <c r="F49" s="11"/>
    </row>
    <row r="50" spans="1:6" x14ac:dyDescent="0.15">
      <c r="A50" s="14">
        <f t="shared" si="0"/>
        <v>43066</v>
      </c>
      <c r="B50" s="11">
        <v>11131437</v>
      </c>
      <c r="F50" s="11"/>
    </row>
    <row r="51" spans="1:6" x14ac:dyDescent="0.15">
      <c r="A51" s="14">
        <f t="shared" si="0"/>
        <v>43073</v>
      </c>
      <c r="B51" s="11">
        <v>12499903</v>
      </c>
      <c r="F51" s="11"/>
    </row>
    <row r="52" spans="1:6" x14ac:dyDescent="0.15">
      <c r="A52" s="14">
        <f t="shared" si="0"/>
        <v>43080</v>
      </c>
      <c r="B52" s="11">
        <v>9237218</v>
      </c>
      <c r="F52" s="11"/>
    </row>
    <row r="53" spans="1:6" x14ac:dyDescent="0.15">
      <c r="A53" s="14">
        <f t="shared" si="0"/>
        <v>43087</v>
      </c>
      <c r="B53" s="11">
        <v>18291858</v>
      </c>
      <c r="F53" s="11"/>
    </row>
    <row r="54" spans="1:6" s="13" customFormat="1" x14ac:dyDescent="0.15">
      <c r="A54" s="15">
        <f t="shared" si="0"/>
        <v>43094</v>
      </c>
      <c r="B54" s="12">
        <v>14537122.076923076</v>
      </c>
      <c r="F54" s="12"/>
    </row>
    <row r="55" spans="1:6" x14ac:dyDescent="0.15">
      <c r="A55" s="14">
        <f t="shared" si="0"/>
        <v>43101</v>
      </c>
      <c r="B55" s="11" cm="1">
        <f t="array" ref="B55:B106">'[1]Urals weekly loadings 2018'!F4:F55</f>
        <v>11719757</v>
      </c>
    </row>
    <row r="56" spans="1:6" x14ac:dyDescent="0.15">
      <c r="A56" s="14">
        <f t="shared" si="0"/>
        <v>43108</v>
      </c>
      <c r="B56" s="11">
        <v>8962554</v>
      </c>
    </row>
    <row r="57" spans="1:6" x14ac:dyDescent="0.15">
      <c r="A57" s="14">
        <f t="shared" si="0"/>
        <v>43115</v>
      </c>
      <c r="B57" s="11">
        <v>14081845</v>
      </c>
    </row>
    <row r="58" spans="1:6" x14ac:dyDescent="0.15">
      <c r="A58" s="14">
        <f t="shared" si="0"/>
        <v>43122</v>
      </c>
      <c r="B58" s="11">
        <v>13774279</v>
      </c>
    </row>
    <row r="59" spans="1:6" x14ac:dyDescent="0.15">
      <c r="A59" s="14">
        <f t="shared" si="0"/>
        <v>43129</v>
      </c>
      <c r="B59" s="11">
        <v>13335076</v>
      </c>
    </row>
    <row r="60" spans="1:6" x14ac:dyDescent="0.15">
      <c r="A60" s="14">
        <f t="shared" si="0"/>
        <v>43136</v>
      </c>
      <c r="B60" s="11">
        <v>9087010</v>
      </c>
    </row>
    <row r="61" spans="1:6" x14ac:dyDescent="0.15">
      <c r="A61" s="14">
        <f t="shared" si="0"/>
        <v>43143</v>
      </c>
      <c r="B61" s="11">
        <v>16106975</v>
      </c>
    </row>
    <row r="62" spans="1:6" x14ac:dyDescent="0.15">
      <c r="A62" s="14">
        <f t="shared" si="0"/>
        <v>43150</v>
      </c>
      <c r="B62" s="11">
        <v>11278141</v>
      </c>
    </row>
    <row r="63" spans="1:6" x14ac:dyDescent="0.15">
      <c r="A63" s="14">
        <f t="shared" si="0"/>
        <v>43157</v>
      </c>
      <c r="B63" s="11">
        <v>12592434</v>
      </c>
    </row>
    <row r="64" spans="1:6" x14ac:dyDescent="0.15">
      <c r="A64" s="14">
        <f t="shared" si="0"/>
        <v>43164</v>
      </c>
      <c r="B64" s="11">
        <v>13182709</v>
      </c>
    </row>
    <row r="65" spans="1:2" x14ac:dyDescent="0.15">
      <c r="A65" s="14">
        <f t="shared" si="0"/>
        <v>43171</v>
      </c>
      <c r="B65" s="11">
        <v>12167924</v>
      </c>
    </row>
    <row r="66" spans="1:2" x14ac:dyDescent="0.15">
      <c r="A66" s="14">
        <f t="shared" si="0"/>
        <v>43178</v>
      </c>
      <c r="B66" s="11">
        <v>13440643</v>
      </c>
    </row>
    <row r="67" spans="1:2" x14ac:dyDescent="0.15">
      <c r="A67" s="14">
        <f t="shared" si="0"/>
        <v>43185</v>
      </c>
      <c r="B67" s="11">
        <v>11263647</v>
      </c>
    </row>
    <row r="68" spans="1:2" x14ac:dyDescent="0.15">
      <c r="A68" s="14">
        <f t="shared" si="0"/>
        <v>43192</v>
      </c>
      <c r="B68" s="11">
        <v>11993206</v>
      </c>
    </row>
    <row r="69" spans="1:2" x14ac:dyDescent="0.15">
      <c r="A69" s="14">
        <f t="shared" ref="A69:A132" si="1">A68+7</f>
        <v>43199</v>
      </c>
      <c r="B69" s="11">
        <v>14103084</v>
      </c>
    </row>
    <row r="70" spans="1:2" x14ac:dyDescent="0.15">
      <c r="A70" s="14">
        <f t="shared" si="1"/>
        <v>43206</v>
      </c>
      <c r="B70" s="11">
        <v>14144989</v>
      </c>
    </row>
    <row r="71" spans="1:2" x14ac:dyDescent="0.15">
      <c r="A71" s="14">
        <f t="shared" si="1"/>
        <v>43213</v>
      </c>
      <c r="B71" s="11">
        <v>12723430</v>
      </c>
    </row>
    <row r="72" spans="1:2" x14ac:dyDescent="0.15">
      <c r="A72" s="14">
        <f t="shared" si="1"/>
        <v>43220</v>
      </c>
      <c r="B72" s="11">
        <v>12269347</v>
      </c>
    </row>
    <row r="73" spans="1:2" x14ac:dyDescent="0.15">
      <c r="A73" s="14">
        <f t="shared" si="1"/>
        <v>43227</v>
      </c>
      <c r="B73" s="11">
        <v>12173889</v>
      </c>
    </row>
    <row r="74" spans="1:2" x14ac:dyDescent="0.15">
      <c r="A74" s="14">
        <f t="shared" si="1"/>
        <v>43234</v>
      </c>
      <c r="B74" s="11">
        <v>14133569</v>
      </c>
    </row>
    <row r="75" spans="1:2" x14ac:dyDescent="0.15">
      <c r="A75" s="14">
        <f t="shared" si="1"/>
        <v>43241</v>
      </c>
      <c r="B75" s="11">
        <v>11336916</v>
      </c>
    </row>
    <row r="76" spans="1:2" x14ac:dyDescent="0.15">
      <c r="A76" s="14">
        <f t="shared" si="1"/>
        <v>43248</v>
      </c>
      <c r="B76" s="11">
        <v>11556346</v>
      </c>
    </row>
    <row r="77" spans="1:2" x14ac:dyDescent="0.15">
      <c r="A77" s="14">
        <f t="shared" si="1"/>
        <v>43255</v>
      </c>
      <c r="B77" s="11">
        <v>10262924</v>
      </c>
    </row>
    <row r="78" spans="1:2" x14ac:dyDescent="0.15">
      <c r="A78" s="14">
        <f t="shared" si="1"/>
        <v>43262</v>
      </c>
      <c r="B78" s="11">
        <v>11823928</v>
      </c>
    </row>
    <row r="79" spans="1:2" x14ac:dyDescent="0.15">
      <c r="A79" s="14">
        <f t="shared" si="1"/>
        <v>43269</v>
      </c>
      <c r="B79" s="11">
        <v>12705100</v>
      </c>
    </row>
    <row r="80" spans="1:2" x14ac:dyDescent="0.15">
      <c r="A80" s="14">
        <f t="shared" si="1"/>
        <v>43276</v>
      </c>
      <c r="B80" s="11">
        <v>12154550</v>
      </c>
    </row>
    <row r="81" spans="1:2" x14ac:dyDescent="0.15">
      <c r="A81" s="14">
        <f t="shared" si="1"/>
        <v>43283</v>
      </c>
      <c r="B81" s="11">
        <v>11872963</v>
      </c>
    </row>
    <row r="82" spans="1:2" x14ac:dyDescent="0.15">
      <c r="A82" s="14">
        <f t="shared" si="1"/>
        <v>43290</v>
      </c>
      <c r="B82" s="11">
        <v>8501131</v>
      </c>
    </row>
    <row r="83" spans="1:2" x14ac:dyDescent="0.15">
      <c r="A83" s="14">
        <f t="shared" si="1"/>
        <v>43297</v>
      </c>
      <c r="B83" s="11">
        <v>12932098</v>
      </c>
    </row>
    <row r="84" spans="1:2" x14ac:dyDescent="0.15">
      <c r="A84" s="14">
        <f t="shared" si="1"/>
        <v>43304</v>
      </c>
      <c r="B84" s="11">
        <v>14682023</v>
      </c>
    </row>
    <row r="85" spans="1:2" x14ac:dyDescent="0.15">
      <c r="A85" s="14">
        <f t="shared" si="1"/>
        <v>43311</v>
      </c>
      <c r="B85" s="11">
        <v>10249712</v>
      </c>
    </row>
    <row r="86" spans="1:2" x14ac:dyDescent="0.15">
      <c r="A86" s="14">
        <f t="shared" si="1"/>
        <v>43318</v>
      </c>
      <c r="B86" s="11">
        <v>13625865</v>
      </c>
    </row>
    <row r="87" spans="1:2" x14ac:dyDescent="0.15">
      <c r="A87" s="14">
        <f t="shared" si="1"/>
        <v>43325</v>
      </c>
      <c r="B87" s="11">
        <v>12178792</v>
      </c>
    </row>
    <row r="88" spans="1:2" x14ac:dyDescent="0.15">
      <c r="A88" s="14">
        <f t="shared" si="1"/>
        <v>43332</v>
      </c>
      <c r="B88" s="11">
        <v>14978577</v>
      </c>
    </row>
    <row r="89" spans="1:2" x14ac:dyDescent="0.15">
      <c r="A89" s="14">
        <f t="shared" si="1"/>
        <v>43339</v>
      </c>
      <c r="B89" s="11">
        <v>10403537</v>
      </c>
    </row>
    <row r="90" spans="1:2" x14ac:dyDescent="0.15">
      <c r="A90" s="14">
        <f t="shared" si="1"/>
        <v>43346</v>
      </c>
      <c r="B90" s="11">
        <v>12594950</v>
      </c>
    </row>
    <row r="91" spans="1:2" x14ac:dyDescent="0.15">
      <c r="A91" s="14">
        <f t="shared" si="1"/>
        <v>43353</v>
      </c>
      <c r="B91" s="11">
        <v>10299989</v>
      </c>
    </row>
    <row r="92" spans="1:2" x14ac:dyDescent="0.15">
      <c r="A92" s="14">
        <f t="shared" si="1"/>
        <v>43360</v>
      </c>
      <c r="B92" s="11">
        <v>14163373</v>
      </c>
    </row>
    <row r="93" spans="1:2" x14ac:dyDescent="0.15">
      <c r="A93" s="14">
        <f t="shared" si="1"/>
        <v>43367</v>
      </c>
      <c r="B93" s="11">
        <v>11867818</v>
      </c>
    </row>
    <row r="94" spans="1:2" x14ac:dyDescent="0.15">
      <c r="A94" s="14">
        <f t="shared" si="1"/>
        <v>43374</v>
      </c>
      <c r="B94" s="11">
        <v>11431820</v>
      </c>
    </row>
    <row r="95" spans="1:2" x14ac:dyDescent="0.15">
      <c r="A95" s="14">
        <f t="shared" si="1"/>
        <v>43381</v>
      </c>
      <c r="B95" s="11">
        <v>15115835</v>
      </c>
    </row>
    <row r="96" spans="1:2" x14ac:dyDescent="0.15">
      <c r="A96" s="14">
        <f t="shared" si="1"/>
        <v>43388</v>
      </c>
      <c r="B96" s="11">
        <v>17228527</v>
      </c>
    </row>
    <row r="97" spans="1:2" x14ac:dyDescent="0.15">
      <c r="A97" s="14">
        <f t="shared" si="1"/>
        <v>43395</v>
      </c>
      <c r="B97" s="11">
        <v>13278771</v>
      </c>
    </row>
    <row r="98" spans="1:2" x14ac:dyDescent="0.15">
      <c r="A98" s="14">
        <f t="shared" si="1"/>
        <v>43402</v>
      </c>
      <c r="B98" s="11">
        <v>13535904</v>
      </c>
    </row>
    <row r="99" spans="1:2" x14ac:dyDescent="0.15">
      <c r="A99" s="14">
        <f t="shared" si="1"/>
        <v>43409</v>
      </c>
      <c r="B99" s="11">
        <v>14945416</v>
      </c>
    </row>
    <row r="100" spans="1:2" x14ac:dyDescent="0.15">
      <c r="A100" s="14">
        <f t="shared" si="1"/>
        <v>43416</v>
      </c>
      <c r="B100" s="11">
        <v>11587197</v>
      </c>
    </row>
    <row r="101" spans="1:2" x14ac:dyDescent="0.15">
      <c r="A101" s="14">
        <f t="shared" si="1"/>
        <v>43423</v>
      </c>
      <c r="B101" s="11">
        <v>13159674</v>
      </c>
    </row>
    <row r="102" spans="1:2" x14ac:dyDescent="0.15">
      <c r="A102" s="14">
        <f t="shared" si="1"/>
        <v>43430</v>
      </c>
      <c r="B102" s="11">
        <v>12162211</v>
      </c>
    </row>
    <row r="103" spans="1:2" x14ac:dyDescent="0.15">
      <c r="A103" s="14">
        <f t="shared" si="1"/>
        <v>43437</v>
      </c>
      <c r="B103" s="11">
        <v>12786168</v>
      </c>
    </row>
    <row r="104" spans="1:2" x14ac:dyDescent="0.15">
      <c r="A104" s="14">
        <f t="shared" si="1"/>
        <v>43444</v>
      </c>
      <c r="B104" s="11">
        <v>13047650</v>
      </c>
    </row>
    <row r="105" spans="1:2" x14ac:dyDescent="0.15">
      <c r="A105" s="14">
        <f t="shared" si="1"/>
        <v>43451</v>
      </c>
      <c r="B105" s="11">
        <v>14660001</v>
      </c>
    </row>
    <row r="106" spans="1:2" s="13" customFormat="1" x14ac:dyDescent="0.15">
      <c r="A106" s="15">
        <f t="shared" si="1"/>
        <v>43458</v>
      </c>
      <c r="B106" s="12">
        <v>12628603.403846154</v>
      </c>
    </row>
    <row r="107" spans="1:2" x14ac:dyDescent="0.15">
      <c r="A107" s="14">
        <f t="shared" si="1"/>
        <v>43465</v>
      </c>
      <c r="B107" s="11" cm="1">
        <f t="array" ref="B107:B158">'[1]Urals weekly loadings 2019'!F4:F55</f>
        <v>10899529</v>
      </c>
    </row>
    <row r="108" spans="1:2" x14ac:dyDescent="0.15">
      <c r="A108" s="14">
        <f t="shared" si="1"/>
        <v>43472</v>
      </c>
      <c r="B108" s="11">
        <v>11348034</v>
      </c>
    </row>
    <row r="109" spans="1:2" x14ac:dyDescent="0.15">
      <c r="A109" s="14">
        <f t="shared" si="1"/>
        <v>43479</v>
      </c>
      <c r="B109" s="11">
        <v>12483391</v>
      </c>
    </row>
    <row r="110" spans="1:2" x14ac:dyDescent="0.15">
      <c r="A110" s="14">
        <f t="shared" si="1"/>
        <v>43486</v>
      </c>
      <c r="B110" s="11">
        <v>13469005</v>
      </c>
    </row>
    <row r="111" spans="1:2" x14ac:dyDescent="0.15">
      <c r="A111" s="14">
        <f t="shared" si="1"/>
        <v>43493</v>
      </c>
      <c r="B111" s="11">
        <v>12893212</v>
      </c>
    </row>
    <row r="112" spans="1:2" x14ac:dyDescent="0.15">
      <c r="A112" s="14">
        <f t="shared" si="1"/>
        <v>43500</v>
      </c>
      <c r="B112" s="11">
        <v>11871381</v>
      </c>
    </row>
    <row r="113" spans="1:2" x14ac:dyDescent="0.15">
      <c r="A113" s="14">
        <f t="shared" si="1"/>
        <v>43507</v>
      </c>
      <c r="B113" s="11">
        <v>14983893</v>
      </c>
    </row>
    <row r="114" spans="1:2" x14ac:dyDescent="0.15">
      <c r="A114" s="14">
        <f t="shared" si="1"/>
        <v>43514</v>
      </c>
      <c r="B114" s="11">
        <v>13782133</v>
      </c>
    </row>
    <row r="115" spans="1:2" x14ac:dyDescent="0.15">
      <c r="A115" s="14">
        <f t="shared" si="1"/>
        <v>43521</v>
      </c>
      <c r="B115" s="11">
        <v>12886930</v>
      </c>
    </row>
    <row r="116" spans="1:2" x14ac:dyDescent="0.15">
      <c r="A116" s="14">
        <f t="shared" si="1"/>
        <v>43528</v>
      </c>
      <c r="B116" s="11">
        <v>12451617</v>
      </c>
    </row>
    <row r="117" spans="1:2" x14ac:dyDescent="0.15">
      <c r="A117" s="14">
        <f t="shared" si="1"/>
        <v>43535</v>
      </c>
      <c r="B117" s="11">
        <v>15217567</v>
      </c>
    </row>
    <row r="118" spans="1:2" x14ac:dyDescent="0.15">
      <c r="A118" s="14">
        <f t="shared" si="1"/>
        <v>43542</v>
      </c>
      <c r="B118" s="11">
        <v>13954501</v>
      </c>
    </row>
    <row r="119" spans="1:2" x14ac:dyDescent="0.15">
      <c r="A119" s="14">
        <f t="shared" si="1"/>
        <v>43549</v>
      </c>
      <c r="B119" s="11">
        <v>14945215</v>
      </c>
    </row>
    <row r="120" spans="1:2" x14ac:dyDescent="0.15">
      <c r="A120" s="14">
        <f t="shared" si="1"/>
        <v>43556</v>
      </c>
      <c r="B120" s="11">
        <v>14671770</v>
      </c>
    </row>
    <row r="121" spans="1:2" x14ac:dyDescent="0.15">
      <c r="A121" s="14">
        <f t="shared" si="1"/>
        <v>43563</v>
      </c>
      <c r="B121" s="11">
        <v>13335884</v>
      </c>
    </row>
    <row r="122" spans="1:2" x14ac:dyDescent="0.15">
      <c r="A122" s="14">
        <f t="shared" si="1"/>
        <v>43570</v>
      </c>
      <c r="B122" s="11">
        <v>16389007</v>
      </c>
    </row>
    <row r="123" spans="1:2" x14ac:dyDescent="0.15">
      <c r="A123" s="14">
        <f t="shared" si="1"/>
        <v>43577</v>
      </c>
      <c r="B123" s="11">
        <v>14971592</v>
      </c>
    </row>
    <row r="124" spans="1:2" x14ac:dyDescent="0.15">
      <c r="A124" s="14">
        <f t="shared" si="1"/>
        <v>43584</v>
      </c>
      <c r="B124" s="11">
        <v>16994558</v>
      </c>
    </row>
    <row r="125" spans="1:2" x14ac:dyDescent="0.15">
      <c r="A125" s="14">
        <f t="shared" si="1"/>
        <v>43591</v>
      </c>
      <c r="B125" s="11">
        <v>16997541</v>
      </c>
    </row>
    <row r="126" spans="1:2" x14ac:dyDescent="0.15">
      <c r="A126" s="14">
        <f t="shared" si="1"/>
        <v>43598</v>
      </c>
      <c r="B126" s="11">
        <v>16849869</v>
      </c>
    </row>
    <row r="127" spans="1:2" x14ac:dyDescent="0.15">
      <c r="A127" s="14">
        <f t="shared" si="1"/>
        <v>43605</v>
      </c>
      <c r="B127" s="11">
        <v>16856560</v>
      </c>
    </row>
    <row r="128" spans="1:2" x14ac:dyDescent="0.15">
      <c r="A128" s="14">
        <f t="shared" si="1"/>
        <v>43612</v>
      </c>
      <c r="B128" s="11">
        <v>15680388</v>
      </c>
    </row>
    <row r="129" spans="1:2" x14ac:dyDescent="0.15">
      <c r="A129" s="14">
        <f t="shared" si="1"/>
        <v>43619</v>
      </c>
      <c r="B129" s="11">
        <v>15390143</v>
      </c>
    </row>
    <row r="130" spans="1:2" x14ac:dyDescent="0.15">
      <c r="A130" s="14">
        <f t="shared" si="1"/>
        <v>43626</v>
      </c>
      <c r="B130" s="11">
        <v>17729510</v>
      </c>
    </row>
    <row r="131" spans="1:2" x14ac:dyDescent="0.15">
      <c r="A131" s="14">
        <f t="shared" si="1"/>
        <v>43633</v>
      </c>
      <c r="B131" s="11">
        <v>16126575</v>
      </c>
    </row>
    <row r="132" spans="1:2" x14ac:dyDescent="0.15">
      <c r="A132" s="14">
        <f t="shared" si="1"/>
        <v>43640</v>
      </c>
      <c r="B132" s="11">
        <v>14647157</v>
      </c>
    </row>
    <row r="133" spans="1:2" x14ac:dyDescent="0.15">
      <c r="A133" s="14">
        <f t="shared" ref="A133:A196" si="2">A132+7</f>
        <v>43647</v>
      </c>
      <c r="B133" s="11">
        <v>14802804</v>
      </c>
    </row>
    <row r="134" spans="1:2" x14ac:dyDescent="0.15">
      <c r="A134" s="14">
        <f t="shared" si="2"/>
        <v>43654</v>
      </c>
      <c r="B134" s="11">
        <v>12898243</v>
      </c>
    </row>
    <row r="135" spans="1:2" x14ac:dyDescent="0.15">
      <c r="A135" s="14">
        <f t="shared" si="2"/>
        <v>43661</v>
      </c>
      <c r="B135" s="11">
        <v>15112504</v>
      </c>
    </row>
    <row r="136" spans="1:2" x14ac:dyDescent="0.15">
      <c r="A136" s="14">
        <f t="shared" si="2"/>
        <v>43668</v>
      </c>
      <c r="B136" s="11">
        <v>12014945</v>
      </c>
    </row>
    <row r="137" spans="1:2" x14ac:dyDescent="0.15">
      <c r="A137" s="14">
        <f t="shared" si="2"/>
        <v>43675</v>
      </c>
      <c r="B137" s="11">
        <v>13182809</v>
      </c>
    </row>
    <row r="138" spans="1:2" x14ac:dyDescent="0.15">
      <c r="A138" s="14">
        <f t="shared" si="2"/>
        <v>43682</v>
      </c>
      <c r="B138" s="11">
        <v>11866617</v>
      </c>
    </row>
    <row r="139" spans="1:2" x14ac:dyDescent="0.15">
      <c r="A139" s="14">
        <f t="shared" si="2"/>
        <v>43689</v>
      </c>
      <c r="B139" s="11">
        <v>13980131</v>
      </c>
    </row>
    <row r="140" spans="1:2" x14ac:dyDescent="0.15">
      <c r="A140" s="14">
        <f t="shared" si="2"/>
        <v>43696</v>
      </c>
      <c r="B140" s="11">
        <v>13765048</v>
      </c>
    </row>
    <row r="141" spans="1:2" x14ac:dyDescent="0.15">
      <c r="A141" s="14">
        <f t="shared" si="2"/>
        <v>43703</v>
      </c>
      <c r="B141" s="11">
        <v>14058458</v>
      </c>
    </row>
    <row r="142" spans="1:2" x14ac:dyDescent="0.15">
      <c r="A142" s="14">
        <f t="shared" si="2"/>
        <v>43710</v>
      </c>
      <c r="B142" s="11">
        <v>12305294</v>
      </c>
    </row>
    <row r="143" spans="1:2" x14ac:dyDescent="0.15">
      <c r="A143" s="14">
        <f t="shared" si="2"/>
        <v>43717</v>
      </c>
      <c r="B143" s="11">
        <v>16413849</v>
      </c>
    </row>
    <row r="144" spans="1:2" x14ac:dyDescent="0.15">
      <c r="A144" s="14">
        <f t="shared" si="2"/>
        <v>43724</v>
      </c>
      <c r="B144" s="11">
        <v>15368207</v>
      </c>
    </row>
    <row r="145" spans="1:2" x14ac:dyDescent="0.15">
      <c r="A145" s="14">
        <f t="shared" si="2"/>
        <v>43731</v>
      </c>
      <c r="B145" s="11">
        <v>14949161</v>
      </c>
    </row>
    <row r="146" spans="1:2" x14ac:dyDescent="0.15">
      <c r="A146" s="14">
        <f t="shared" si="2"/>
        <v>43738</v>
      </c>
      <c r="B146" s="11">
        <v>13163153</v>
      </c>
    </row>
    <row r="147" spans="1:2" x14ac:dyDescent="0.15">
      <c r="A147" s="14">
        <f t="shared" si="2"/>
        <v>43745</v>
      </c>
      <c r="B147" s="11">
        <v>18023241</v>
      </c>
    </row>
    <row r="148" spans="1:2" x14ac:dyDescent="0.15">
      <c r="A148" s="14">
        <f t="shared" si="2"/>
        <v>43752</v>
      </c>
      <c r="B148" s="11">
        <v>15123148</v>
      </c>
    </row>
    <row r="149" spans="1:2" x14ac:dyDescent="0.15">
      <c r="A149" s="14">
        <f t="shared" si="2"/>
        <v>43759</v>
      </c>
      <c r="B149" s="11">
        <v>14196672</v>
      </c>
    </row>
    <row r="150" spans="1:2" x14ac:dyDescent="0.15">
      <c r="A150" s="14">
        <f t="shared" si="2"/>
        <v>43766</v>
      </c>
      <c r="B150" s="11">
        <v>13023830</v>
      </c>
    </row>
    <row r="151" spans="1:2" x14ac:dyDescent="0.15">
      <c r="A151" s="14">
        <f t="shared" si="2"/>
        <v>43773</v>
      </c>
      <c r="B151" s="11">
        <v>10243935</v>
      </c>
    </row>
    <row r="152" spans="1:2" x14ac:dyDescent="0.15">
      <c r="A152" s="14">
        <f t="shared" si="2"/>
        <v>43780</v>
      </c>
      <c r="B152" s="11">
        <v>8236559</v>
      </c>
    </row>
    <row r="153" spans="1:2" x14ac:dyDescent="0.15">
      <c r="A153" s="14">
        <f t="shared" si="2"/>
        <v>43787</v>
      </c>
      <c r="B153" s="11">
        <v>11728656</v>
      </c>
    </row>
    <row r="154" spans="1:2" x14ac:dyDescent="0.15">
      <c r="A154" s="14">
        <f t="shared" si="2"/>
        <v>43794</v>
      </c>
      <c r="B154" s="11">
        <v>11860171</v>
      </c>
    </row>
    <row r="155" spans="1:2" x14ac:dyDescent="0.15">
      <c r="A155" s="14">
        <f t="shared" si="2"/>
        <v>43801</v>
      </c>
      <c r="B155" s="11">
        <v>11664488</v>
      </c>
    </row>
    <row r="156" spans="1:2" x14ac:dyDescent="0.15">
      <c r="A156" s="14">
        <f t="shared" si="2"/>
        <v>43808</v>
      </c>
      <c r="B156" s="11">
        <v>8073516</v>
      </c>
    </row>
    <row r="157" spans="1:2" x14ac:dyDescent="0.15">
      <c r="A157" s="14">
        <f t="shared" si="2"/>
        <v>43815</v>
      </c>
      <c r="B157" s="11">
        <v>14527054</v>
      </c>
    </row>
    <row r="158" spans="1:2" s="13" customFormat="1" x14ac:dyDescent="0.15">
      <c r="A158" s="15">
        <f t="shared" si="2"/>
        <v>43822</v>
      </c>
      <c r="B158" s="12">
        <v>13941599.903846154</v>
      </c>
    </row>
    <row r="159" spans="1:2" x14ac:dyDescent="0.15">
      <c r="A159" s="14">
        <f t="shared" si="2"/>
        <v>43829</v>
      </c>
      <c r="B159" s="11" cm="1">
        <f t="array" ref="B159:B211">'[1]Urals weekly loadings 2020'!F4:F56</f>
        <v>12737889</v>
      </c>
    </row>
    <row r="160" spans="1:2" x14ac:dyDescent="0.15">
      <c r="A160" s="14">
        <f t="shared" si="2"/>
        <v>43836</v>
      </c>
      <c r="B160" s="11">
        <v>13488404</v>
      </c>
    </row>
    <row r="161" spans="1:2" x14ac:dyDescent="0.15">
      <c r="A161" s="14">
        <f t="shared" si="2"/>
        <v>43843</v>
      </c>
      <c r="B161" s="11">
        <v>13337613</v>
      </c>
    </row>
    <row r="162" spans="1:2" x14ac:dyDescent="0.15">
      <c r="A162" s="14">
        <f t="shared" si="2"/>
        <v>43850</v>
      </c>
      <c r="B162" s="11">
        <v>14365312</v>
      </c>
    </row>
    <row r="163" spans="1:2" x14ac:dyDescent="0.15">
      <c r="A163" s="14">
        <f t="shared" si="2"/>
        <v>43857</v>
      </c>
      <c r="B163" s="11">
        <v>12606085</v>
      </c>
    </row>
    <row r="164" spans="1:2" x14ac:dyDescent="0.15">
      <c r="A164" s="14">
        <f t="shared" si="2"/>
        <v>43864</v>
      </c>
      <c r="B164" s="11">
        <v>15536455</v>
      </c>
    </row>
    <row r="165" spans="1:2" x14ac:dyDescent="0.15">
      <c r="A165" s="14">
        <f t="shared" si="2"/>
        <v>43871</v>
      </c>
      <c r="B165" s="11">
        <v>13043148</v>
      </c>
    </row>
    <row r="166" spans="1:2" x14ac:dyDescent="0.15">
      <c r="A166" s="14">
        <f t="shared" si="2"/>
        <v>43878</v>
      </c>
      <c r="B166" s="11">
        <v>13577420</v>
      </c>
    </row>
    <row r="167" spans="1:2" x14ac:dyDescent="0.15">
      <c r="A167" s="14">
        <f t="shared" si="2"/>
        <v>43885</v>
      </c>
      <c r="B167" s="11">
        <v>15439292</v>
      </c>
    </row>
    <row r="168" spans="1:2" x14ac:dyDescent="0.15">
      <c r="A168" s="14">
        <f t="shared" si="2"/>
        <v>43892</v>
      </c>
      <c r="B168" s="11">
        <v>14063671</v>
      </c>
    </row>
    <row r="169" spans="1:2" x14ac:dyDescent="0.15">
      <c r="A169" s="14">
        <f t="shared" si="2"/>
        <v>43899</v>
      </c>
      <c r="B169" s="11">
        <v>9377612</v>
      </c>
    </row>
    <row r="170" spans="1:2" x14ac:dyDescent="0.15">
      <c r="A170" s="14">
        <f t="shared" si="2"/>
        <v>43906</v>
      </c>
      <c r="B170" s="11">
        <v>11726893</v>
      </c>
    </row>
    <row r="171" spans="1:2" x14ac:dyDescent="0.15">
      <c r="A171" s="14">
        <f t="shared" si="2"/>
        <v>43913</v>
      </c>
      <c r="B171" s="11">
        <v>16403442</v>
      </c>
    </row>
    <row r="172" spans="1:2" x14ac:dyDescent="0.15">
      <c r="A172" s="14">
        <f t="shared" si="2"/>
        <v>43920</v>
      </c>
      <c r="B172" s="11">
        <v>14940721</v>
      </c>
    </row>
    <row r="173" spans="1:2" x14ac:dyDescent="0.15">
      <c r="A173" s="14">
        <f t="shared" si="2"/>
        <v>43927</v>
      </c>
      <c r="B173" s="11">
        <v>14500632</v>
      </c>
    </row>
    <row r="174" spans="1:2" x14ac:dyDescent="0.15">
      <c r="A174" s="14">
        <f t="shared" si="2"/>
        <v>43934</v>
      </c>
      <c r="B174" s="11">
        <v>14197637</v>
      </c>
    </row>
    <row r="175" spans="1:2" x14ac:dyDescent="0.15">
      <c r="A175" s="14">
        <f t="shared" si="2"/>
        <v>43941</v>
      </c>
      <c r="B175" s="11">
        <v>15461780</v>
      </c>
    </row>
    <row r="176" spans="1:2" x14ac:dyDescent="0.15">
      <c r="A176" s="14">
        <f t="shared" si="2"/>
        <v>43948</v>
      </c>
      <c r="B176" s="11">
        <v>7917559</v>
      </c>
    </row>
    <row r="177" spans="1:2" x14ac:dyDescent="0.15">
      <c r="A177" s="14">
        <f t="shared" si="2"/>
        <v>43955</v>
      </c>
      <c r="B177" s="11">
        <v>8199491</v>
      </c>
    </row>
    <row r="178" spans="1:2" x14ac:dyDescent="0.15">
      <c r="A178" s="14">
        <f t="shared" si="2"/>
        <v>43962</v>
      </c>
      <c r="B178" s="11">
        <v>10697260</v>
      </c>
    </row>
    <row r="179" spans="1:2" x14ac:dyDescent="0.15">
      <c r="A179" s="14">
        <f t="shared" si="2"/>
        <v>43969</v>
      </c>
      <c r="B179" s="11">
        <v>11448124</v>
      </c>
    </row>
    <row r="180" spans="1:2" x14ac:dyDescent="0.15">
      <c r="A180" s="14">
        <f t="shared" si="2"/>
        <v>43976</v>
      </c>
      <c r="B180" s="11">
        <v>8943021</v>
      </c>
    </row>
    <row r="181" spans="1:2" x14ac:dyDescent="0.15">
      <c r="A181" s="14">
        <f t="shared" si="2"/>
        <v>43983</v>
      </c>
      <c r="B181" s="11">
        <v>7034657</v>
      </c>
    </row>
    <row r="182" spans="1:2" x14ac:dyDescent="0.15">
      <c r="A182" s="14">
        <f t="shared" si="2"/>
        <v>43990</v>
      </c>
      <c r="B182" s="11">
        <v>7764517</v>
      </c>
    </row>
    <row r="183" spans="1:2" x14ac:dyDescent="0.15">
      <c r="A183" s="14">
        <f t="shared" si="2"/>
        <v>43997</v>
      </c>
      <c r="B183" s="11">
        <v>10565229</v>
      </c>
    </row>
    <row r="184" spans="1:2" x14ac:dyDescent="0.15">
      <c r="A184" s="14">
        <f t="shared" si="2"/>
        <v>44004</v>
      </c>
      <c r="B184" s="11">
        <v>10259376</v>
      </c>
    </row>
    <row r="185" spans="1:2" x14ac:dyDescent="0.15">
      <c r="A185" s="14">
        <f t="shared" si="2"/>
        <v>44011</v>
      </c>
      <c r="B185" s="11">
        <v>5126581</v>
      </c>
    </row>
    <row r="186" spans="1:2" x14ac:dyDescent="0.15">
      <c r="A186" s="14">
        <f t="shared" si="2"/>
        <v>44018</v>
      </c>
      <c r="B186" s="11">
        <v>3518702</v>
      </c>
    </row>
    <row r="187" spans="1:2" x14ac:dyDescent="0.15">
      <c r="A187" s="14">
        <f t="shared" si="2"/>
        <v>44025</v>
      </c>
      <c r="B187" s="11">
        <v>6015094</v>
      </c>
    </row>
    <row r="188" spans="1:2" x14ac:dyDescent="0.15">
      <c r="A188" s="14">
        <f t="shared" si="2"/>
        <v>44032</v>
      </c>
      <c r="B188" s="11">
        <v>6823030</v>
      </c>
    </row>
    <row r="189" spans="1:2" x14ac:dyDescent="0.15">
      <c r="A189" s="14">
        <f t="shared" si="2"/>
        <v>44039</v>
      </c>
      <c r="B189" s="11">
        <v>5421290</v>
      </c>
    </row>
    <row r="190" spans="1:2" x14ac:dyDescent="0.15">
      <c r="A190" s="14">
        <f t="shared" si="2"/>
        <v>44046</v>
      </c>
      <c r="B190" s="11">
        <v>8094331</v>
      </c>
    </row>
    <row r="191" spans="1:2" x14ac:dyDescent="0.15">
      <c r="A191" s="14">
        <f t="shared" si="2"/>
        <v>44053</v>
      </c>
      <c r="B191" s="11">
        <v>7471269</v>
      </c>
    </row>
    <row r="192" spans="1:2" x14ac:dyDescent="0.15">
      <c r="A192" s="14">
        <f t="shared" si="2"/>
        <v>44060</v>
      </c>
      <c r="B192" s="11">
        <v>10106319</v>
      </c>
    </row>
    <row r="193" spans="1:2" x14ac:dyDescent="0.15">
      <c r="A193" s="14">
        <f t="shared" si="2"/>
        <v>44067</v>
      </c>
      <c r="B193" s="11">
        <v>8785475</v>
      </c>
    </row>
    <row r="194" spans="1:2" x14ac:dyDescent="0.15">
      <c r="A194" s="14">
        <f t="shared" si="2"/>
        <v>44074</v>
      </c>
      <c r="B194" s="11">
        <v>5125048</v>
      </c>
    </row>
    <row r="195" spans="1:2" x14ac:dyDescent="0.15">
      <c r="A195" s="14">
        <f t="shared" si="2"/>
        <v>44081</v>
      </c>
      <c r="B195" s="11">
        <v>7475875</v>
      </c>
    </row>
    <row r="196" spans="1:2" x14ac:dyDescent="0.15">
      <c r="A196" s="14">
        <f t="shared" si="2"/>
        <v>44088</v>
      </c>
      <c r="B196" s="11">
        <v>9242883</v>
      </c>
    </row>
    <row r="197" spans="1:2" x14ac:dyDescent="0.15">
      <c r="A197" s="14">
        <f t="shared" ref="A197:A260" si="3">A196+7</f>
        <v>44095</v>
      </c>
      <c r="B197" s="11">
        <v>9239971</v>
      </c>
    </row>
    <row r="198" spans="1:2" x14ac:dyDescent="0.15">
      <c r="A198" s="14">
        <f t="shared" si="3"/>
        <v>44102</v>
      </c>
      <c r="B198" s="11">
        <v>8054896</v>
      </c>
    </row>
    <row r="199" spans="1:2" x14ac:dyDescent="0.15">
      <c r="A199" s="14">
        <f t="shared" si="3"/>
        <v>44109</v>
      </c>
      <c r="B199" s="11">
        <v>6738608</v>
      </c>
    </row>
    <row r="200" spans="1:2" x14ac:dyDescent="0.15">
      <c r="A200" s="14">
        <f t="shared" si="3"/>
        <v>44116</v>
      </c>
      <c r="B200" s="11">
        <v>9377813</v>
      </c>
    </row>
    <row r="201" spans="1:2" x14ac:dyDescent="0.15">
      <c r="A201" s="14">
        <f t="shared" si="3"/>
        <v>44123</v>
      </c>
      <c r="B201" s="11">
        <v>9982943</v>
      </c>
    </row>
    <row r="202" spans="1:2" x14ac:dyDescent="0.15">
      <c r="A202" s="14">
        <f t="shared" si="3"/>
        <v>44130</v>
      </c>
      <c r="B202" s="11">
        <v>7474777</v>
      </c>
    </row>
    <row r="203" spans="1:2" x14ac:dyDescent="0.15">
      <c r="A203" s="14">
        <f t="shared" si="3"/>
        <v>44137</v>
      </c>
      <c r="B203" s="11">
        <v>5418536</v>
      </c>
    </row>
    <row r="204" spans="1:2" x14ac:dyDescent="0.15">
      <c r="A204" s="14">
        <f t="shared" si="3"/>
        <v>44144</v>
      </c>
      <c r="B204" s="11">
        <v>8051938</v>
      </c>
    </row>
    <row r="205" spans="1:2" x14ac:dyDescent="0.15">
      <c r="A205" s="14">
        <f t="shared" si="3"/>
        <v>44151</v>
      </c>
      <c r="B205" s="11">
        <v>9501568</v>
      </c>
    </row>
    <row r="206" spans="1:2" x14ac:dyDescent="0.15">
      <c r="A206" s="14">
        <f t="shared" si="3"/>
        <v>44158</v>
      </c>
      <c r="B206" s="11">
        <v>7760162</v>
      </c>
    </row>
    <row r="207" spans="1:2" x14ac:dyDescent="0.15">
      <c r="A207" s="14">
        <f t="shared" si="3"/>
        <v>44165</v>
      </c>
      <c r="B207" s="11">
        <v>3667003</v>
      </c>
    </row>
    <row r="208" spans="1:2" x14ac:dyDescent="0.15">
      <c r="A208" s="14">
        <f t="shared" si="3"/>
        <v>44172</v>
      </c>
      <c r="B208" s="11">
        <v>7947940</v>
      </c>
    </row>
    <row r="209" spans="1:2" x14ac:dyDescent="0.15">
      <c r="A209" s="14">
        <f t="shared" si="3"/>
        <v>44179</v>
      </c>
      <c r="B209" s="11">
        <v>8507027</v>
      </c>
    </row>
    <row r="210" spans="1:2" x14ac:dyDescent="0.15">
      <c r="A210" s="14">
        <f t="shared" si="3"/>
        <v>44186</v>
      </c>
      <c r="B210" s="11">
        <v>9929663</v>
      </c>
    </row>
    <row r="211" spans="1:2" s="13" customFormat="1" x14ac:dyDescent="0.15">
      <c r="A211" s="15">
        <f t="shared" si="3"/>
        <v>44193</v>
      </c>
      <c r="B211" s="12">
        <v>9821605.0377358496</v>
      </c>
    </row>
    <row r="212" spans="1:2" x14ac:dyDescent="0.15">
      <c r="A212" s="14">
        <f t="shared" si="3"/>
        <v>44200</v>
      </c>
      <c r="B212" s="11">
        <v>9666632</v>
      </c>
    </row>
    <row r="213" spans="1:2" x14ac:dyDescent="0.15">
      <c r="A213" s="14">
        <f t="shared" si="3"/>
        <v>44207</v>
      </c>
      <c r="B213" s="11">
        <v>8943195</v>
      </c>
    </row>
    <row r="214" spans="1:2" x14ac:dyDescent="0.15">
      <c r="A214" s="14">
        <f t="shared" si="3"/>
        <v>44214</v>
      </c>
      <c r="B214" s="11">
        <v>9529745</v>
      </c>
    </row>
    <row r="215" spans="1:2" x14ac:dyDescent="0.15">
      <c r="A215" s="14">
        <f t="shared" si="3"/>
        <v>44221</v>
      </c>
      <c r="B215" s="11">
        <v>8053125</v>
      </c>
    </row>
    <row r="216" spans="1:2" x14ac:dyDescent="0.15">
      <c r="A216" s="14">
        <f t="shared" si="3"/>
        <v>44228</v>
      </c>
      <c r="B216" s="11">
        <v>8055902</v>
      </c>
    </row>
    <row r="217" spans="1:2" x14ac:dyDescent="0.15">
      <c r="A217" s="14">
        <f t="shared" si="3"/>
        <v>44235</v>
      </c>
      <c r="B217" s="11">
        <v>9227898</v>
      </c>
    </row>
    <row r="218" spans="1:2" x14ac:dyDescent="0.15">
      <c r="A218" s="14">
        <f t="shared" si="3"/>
        <v>44242</v>
      </c>
      <c r="B218" s="11">
        <v>10658936</v>
      </c>
    </row>
    <row r="219" spans="1:2" x14ac:dyDescent="0.15">
      <c r="A219" s="14">
        <f t="shared" si="3"/>
        <v>44249</v>
      </c>
      <c r="B219" s="11">
        <v>8204712</v>
      </c>
    </row>
    <row r="220" spans="1:2" x14ac:dyDescent="0.15">
      <c r="A220" s="14">
        <f t="shared" si="3"/>
        <v>44256</v>
      </c>
      <c r="B220" s="11">
        <v>6887310</v>
      </c>
    </row>
    <row r="221" spans="1:2" x14ac:dyDescent="0.15">
      <c r="A221" s="14">
        <f t="shared" si="3"/>
        <v>44263</v>
      </c>
      <c r="B221" s="11">
        <v>6340025</v>
      </c>
    </row>
    <row r="222" spans="1:2" x14ac:dyDescent="0.15">
      <c r="A222" s="14">
        <f t="shared" si="3"/>
        <v>44270</v>
      </c>
      <c r="B222" s="11">
        <v>9971953</v>
      </c>
    </row>
    <row r="223" spans="1:2" x14ac:dyDescent="0.15">
      <c r="A223" s="14">
        <f t="shared" si="3"/>
        <v>44277</v>
      </c>
      <c r="B223" s="11">
        <v>10207291</v>
      </c>
    </row>
    <row r="224" spans="1:2" x14ac:dyDescent="0.15">
      <c r="A224" s="14">
        <f t="shared" si="3"/>
        <v>44284</v>
      </c>
      <c r="B224" s="11">
        <v>7613032</v>
      </c>
    </row>
    <row r="225" spans="1:2" x14ac:dyDescent="0.15">
      <c r="A225" s="14">
        <f t="shared" si="3"/>
        <v>44291</v>
      </c>
      <c r="B225" s="11">
        <v>8787257</v>
      </c>
    </row>
    <row r="226" spans="1:2" x14ac:dyDescent="0.15">
      <c r="A226" s="14">
        <f t="shared" si="3"/>
        <v>44298</v>
      </c>
      <c r="B226" s="11">
        <v>11693113</v>
      </c>
    </row>
    <row r="227" spans="1:2" x14ac:dyDescent="0.15">
      <c r="A227" s="14">
        <f t="shared" si="3"/>
        <v>44305</v>
      </c>
      <c r="B227" s="11">
        <v>13080248</v>
      </c>
    </row>
    <row r="228" spans="1:2" x14ac:dyDescent="0.15">
      <c r="A228" s="14">
        <f t="shared" si="3"/>
        <v>44312</v>
      </c>
      <c r="B228" s="11">
        <v>10251084</v>
      </c>
    </row>
    <row r="229" spans="1:2" x14ac:dyDescent="0.15">
      <c r="A229" s="14">
        <f t="shared" si="3"/>
        <v>44319</v>
      </c>
      <c r="B229" s="11">
        <v>9518774</v>
      </c>
    </row>
    <row r="230" spans="1:2" x14ac:dyDescent="0.15">
      <c r="A230" s="14">
        <f t="shared" si="3"/>
        <v>44326</v>
      </c>
      <c r="B230" s="11">
        <v>10717485</v>
      </c>
    </row>
    <row r="231" spans="1:2" x14ac:dyDescent="0.15">
      <c r="A231" s="14">
        <f t="shared" si="3"/>
        <v>44333</v>
      </c>
      <c r="B231" s="11">
        <v>12428806</v>
      </c>
    </row>
    <row r="232" spans="1:2" x14ac:dyDescent="0.15">
      <c r="A232" s="14">
        <f t="shared" si="3"/>
        <v>44340</v>
      </c>
      <c r="B232" s="11">
        <v>10251318</v>
      </c>
    </row>
    <row r="233" spans="1:2" x14ac:dyDescent="0.15">
      <c r="A233" s="14">
        <f t="shared" si="3"/>
        <v>44347</v>
      </c>
      <c r="B233" s="11">
        <v>12774133</v>
      </c>
    </row>
    <row r="234" spans="1:2" x14ac:dyDescent="0.15">
      <c r="A234" s="14">
        <f t="shared" si="3"/>
        <v>44354</v>
      </c>
      <c r="B234" s="11">
        <v>10546948</v>
      </c>
    </row>
    <row r="235" spans="1:2" x14ac:dyDescent="0.15">
      <c r="A235" s="14">
        <f t="shared" si="3"/>
        <v>44361</v>
      </c>
      <c r="B235" s="11">
        <v>14941897</v>
      </c>
    </row>
    <row r="236" spans="1:2" x14ac:dyDescent="0.15">
      <c r="A236" s="14">
        <f t="shared" si="3"/>
        <v>44368</v>
      </c>
      <c r="B236" s="11">
        <v>13919661</v>
      </c>
    </row>
    <row r="237" spans="1:2" x14ac:dyDescent="0.15">
      <c r="A237" s="14">
        <f t="shared" si="3"/>
        <v>44375</v>
      </c>
      <c r="B237" s="11">
        <v>6699006</v>
      </c>
    </row>
    <row r="238" spans="1:2" x14ac:dyDescent="0.15">
      <c r="A238" s="14">
        <f t="shared" si="3"/>
        <v>44382</v>
      </c>
      <c r="B238" s="11">
        <v>8441176</v>
      </c>
    </row>
    <row r="239" spans="1:2" x14ac:dyDescent="0.15">
      <c r="A239" s="14">
        <f t="shared" si="3"/>
        <v>44389</v>
      </c>
      <c r="B239" s="11">
        <v>10821805</v>
      </c>
    </row>
    <row r="240" spans="1:2" x14ac:dyDescent="0.15">
      <c r="A240" s="14">
        <f t="shared" si="3"/>
        <v>44396</v>
      </c>
      <c r="B240" s="11">
        <v>10999329</v>
      </c>
    </row>
    <row r="241" spans="1:2" x14ac:dyDescent="0.15">
      <c r="A241" s="14">
        <f t="shared" si="3"/>
        <v>44403</v>
      </c>
      <c r="B241" s="11">
        <v>7621125</v>
      </c>
    </row>
    <row r="242" spans="1:2" x14ac:dyDescent="0.15">
      <c r="A242" s="14">
        <f t="shared" si="3"/>
        <v>44410</v>
      </c>
      <c r="B242" s="11">
        <v>8198857</v>
      </c>
    </row>
    <row r="243" spans="1:2" x14ac:dyDescent="0.15">
      <c r="A243" s="14">
        <f t="shared" si="3"/>
        <v>44417</v>
      </c>
      <c r="B243" s="11">
        <v>11412103</v>
      </c>
    </row>
    <row r="244" spans="1:2" x14ac:dyDescent="0.15">
      <c r="A244" s="14">
        <f t="shared" si="3"/>
        <v>44424</v>
      </c>
      <c r="B244" s="11">
        <v>10399036</v>
      </c>
    </row>
    <row r="245" spans="1:2" x14ac:dyDescent="0.15">
      <c r="A245" s="14">
        <f t="shared" si="3"/>
        <v>44431</v>
      </c>
      <c r="B245" s="11">
        <v>11878716</v>
      </c>
    </row>
    <row r="246" spans="1:2" x14ac:dyDescent="0.15">
      <c r="A246" s="14">
        <f t="shared" si="3"/>
        <v>44438</v>
      </c>
      <c r="B246" s="11">
        <v>7029655</v>
      </c>
    </row>
    <row r="247" spans="1:2" x14ac:dyDescent="0.15">
      <c r="A247" s="14">
        <f t="shared" si="3"/>
        <v>44445</v>
      </c>
      <c r="B247" s="11">
        <v>8940924</v>
      </c>
    </row>
    <row r="248" spans="1:2" x14ac:dyDescent="0.15">
      <c r="A248" s="14">
        <f t="shared" si="3"/>
        <v>44452</v>
      </c>
      <c r="B248" s="11">
        <v>14357491</v>
      </c>
    </row>
    <row r="249" spans="1:2" x14ac:dyDescent="0.15">
      <c r="A249" s="14">
        <f t="shared" si="3"/>
        <v>44459</v>
      </c>
      <c r="B249" s="11">
        <v>11112348</v>
      </c>
    </row>
    <row r="250" spans="1:2" x14ac:dyDescent="0.15">
      <c r="A250" s="14">
        <f t="shared" si="3"/>
        <v>44466</v>
      </c>
      <c r="B250" s="11">
        <v>11887963</v>
      </c>
    </row>
    <row r="251" spans="1:2" x14ac:dyDescent="0.15">
      <c r="A251" s="14">
        <f t="shared" si="3"/>
        <v>44473</v>
      </c>
      <c r="B251" s="11">
        <v>13514263</v>
      </c>
    </row>
    <row r="252" spans="1:2" x14ac:dyDescent="0.15">
      <c r="A252" s="14">
        <f t="shared" si="3"/>
        <v>44480</v>
      </c>
      <c r="B252" s="11">
        <v>11711087</v>
      </c>
    </row>
    <row r="253" spans="1:2" x14ac:dyDescent="0.15">
      <c r="A253" s="14">
        <f t="shared" si="3"/>
        <v>44487</v>
      </c>
      <c r="B253" s="11">
        <v>14124048</v>
      </c>
    </row>
    <row r="254" spans="1:2" x14ac:dyDescent="0.15">
      <c r="A254" s="14">
        <f t="shared" si="3"/>
        <v>44494</v>
      </c>
      <c r="B254" s="11">
        <v>12440828</v>
      </c>
    </row>
    <row r="255" spans="1:2" x14ac:dyDescent="0.15">
      <c r="A255" s="14">
        <f t="shared" si="3"/>
        <v>44501</v>
      </c>
      <c r="B255" s="11">
        <v>8639682</v>
      </c>
    </row>
    <row r="256" spans="1:2" x14ac:dyDescent="0.15">
      <c r="A256" s="14">
        <f t="shared" si="3"/>
        <v>44508</v>
      </c>
      <c r="B256" s="11">
        <v>12586999</v>
      </c>
    </row>
    <row r="257" spans="1:2" x14ac:dyDescent="0.15">
      <c r="A257" s="14">
        <f t="shared" si="3"/>
        <v>44515</v>
      </c>
      <c r="B257" s="11">
        <v>9833129</v>
      </c>
    </row>
    <row r="258" spans="1:2" x14ac:dyDescent="0.15">
      <c r="A258" s="14">
        <f t="shared" si="3"/>
        <v>44522</v>
      </c>
      <c r="B258" s="11">
        <v>10992809</v>
      </c>
    </row>
    <row r="259" spans="1:2" x14ac:dyDescent="0.15">
      <c r="A259" s="14">
        <f t="shared" si="3"/>
        <v>44529</v>
      </c>
      <c r="B259" s="11">
        <v>7015047</v>
      </c>
    </row>
    <row r="260" spans="1:2" x14ac:dyDescent="0.15">
      <c r="A260" s="14">
        <f t="shared" si="3"/>
        <v>44536</v>
      </c>
      <c r="B260" s="11">
        <v>13472567</v>
      </c>
    </row>
    <row r="261" spans="1:2" x14ac:dyDescent="0.15">
      <c r="A261" s="14">
        <f t="shared" ref="A261:A264" si="4">A260+7</f>
        <v>44543</v>
      </c>
      <c r="B261" s="11">
        <v>12750168</v>
      </c>
    </row>
    <row r="262" spans="1:2" x14ac:dyDescent="0.15">
      <c r="A262" s="14">
        <f t="shared" si="4"/>
        <v>44550</v>
      </c>
      <c r="B262" s="11">
        <v>9529337</v>
      </c>
    </row>
    <row r="263" spans="1:2" x14ac:dyDescent="0.15">
      <c r="A263" s="14">
        <f t="shared" si="4"/>
        <v>44557</v>
      </c>
      <c r="B263" s="11">
        <v>3400765</v>
      </c>
    </row>
    <row r="264" spans="1:2" x14ac:dyDescent="0.15">
      <c r="A264" s="14">
        <f t="shared" si="4"/>
        <v>44564</v>
      </c>
      <c r="B264" s="11">
        <v>10188407.226415094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C8A8-5501-4F90-8C62-C8B57684A487}">
  <sheetPr filterMode="1"/>
  <dimension ref="A1:T515"/>
  <sheetViews>
    <sheetView zoomScale="80" zoomScaleNormal="80" workbookViewId="0">
      <pane xSplit="2" ySplit="3" topLeftCell="C216" activePane="bottomRight" state="frozen"/>
      <selection pane="topRight" activeCell="C1" sqref="C1"/>
      <selection pane="bottomLeft" activeCell="A4" sqref="A4"/>
      <selection pane="bottomRight" activeCell="B3" sqref="B3:H258"/>
    </sheetView>
  </sheetViews>
  <sheetFormatPr baseColWidth="10" defaultColWidth="9" defaultRowHeight="14" x14ac:dyDescent="0.15"/>
  <cols>
    <col min="1" max="1" width="18.5" style="1" customWidth="1"/>
    <col min="2" max="2" width="14.6640625" style="1" customWidth="1"/>
    <col min="3" max="3" width="10.6640625" style="1" customWidth="1"/>
    <col min="4" max="4" width="17.5" style="1" customWidth="1"/>
    <col min="5" max="7" width="15.1640625" style="1" customWidth="1"/>
    <col min="8" max="8" width="12.33203125" style="1" customWidth="1"/>
    <col min="9" max="9" width="17.33203125" style="1" customWidth="1"/>
    <col min="10" max="10" width="25.33203125" style="1" customWidth="1"/>
    <col min="11" max="11" width="18.5" style="1" customWidth="1"/>
    <col min="12" max="12" width="15.1640625" style="1" customWidth="1"/>
    <col min="13" max="13" width="24.83203125" style="1" customWidth="1"/>
    <col min="14" max="14" width="23.6640625" style="1" customWidth="1"/>
    <col min="15" max="15" width="10.83203125" style="1" customWidth="1"/>
    <col min="16" max="16" width="22.6640625" style="1" customWidth="1"/>
    <col min="17" max="17" width="12" style="1" customWidth="1"/>
    <col min="18" max="18" width="8.6640625" style="1" customWidth="1"/>
    <col min="19" max="19" width="18.5" style="1" customWidth="1"/>
    <col min="20" max="20" width="17" style="1" customWidth="1"/>
    <col min="21" max="16384" width="9" style="1"/>
  </cols>
  <sheetData>
    <row r="1" spans="1:20" x14ac:dyDescent="0.15">
      <c r="A1" s="1" t="e">
        <f ca="1">_xll.TR("LCOc1;NWEMURLCRKMc1;.IMOEX;RSX;BFO-URL-NWE","TR.CLOSEPRICE","SDate=2017-01-02 EDate=#1 Frq=W CH=IN;Fd RH=date",B2,Loadings_timeseries!$A$264)</f>
        <v>#NAME?</v>
      </c>
      <c r="B1" s="1" t="str">
        <f ca="1">_xlfn.FORMULATEXT(A1)</f>
        <v>=@TR("LCOc1;NWEMURLCRKMc1;.IMOEX;RSX;BFO-URL-NWE","TR.CLOSEPRICE","SDate=2017-01-02 EDate=#1 Frq=W CH=IN;Fd RH=date",B2,Loadings_timeseries!$A$264)</v>
      </c>
    </row>
    <row r="2" spans="1:20" x14ac:dyDescent="0.15">
      <c r="A2" s="2">
        <f>Loadings_timeseries!A263</f>
        <v>44557</v>
      </c>
      <c r="I2" s="37" t="s">
        <v>57</v>
      </c>
      <c r="J2" s="37"/>
      <c r="K2" s="37"/>
      <c r="L2" s="37"/>
      <c r="M2" s="37"/>
      <c r="N2" s="37"/>
      <c r="O2" s="37" t="s">
        <v>58</v>
      </c>
      <c r="P2" s="37"/>
      <c r="Q2" s="37"/>
      <c r="R2" s="37"/>
      <c r="S2" s="37"/>
      <c r="T2" s="37"/>
    </row>
    <row r="3" spans="1:20" x14ac:dyDescent="0.15">
      <c r="B3" s="3" t="s">
        <v>65</v>
      </c>
      <c r="C3" s="3" t="s">
        <v>3</v>
      </c>
      <c r="D3" s="3" t="s">
        <v>36</v>
      </c>
      <c r="E3" s="3" t="s">
        <v>37</v>
      </c>
      <c r="F3" s="3" t="s">
        <v>38</v>
      </c>
      <c r="G3" s="3" t="s">
        <v>39</v>
      </c>
      <c r="H3" s="1" t="s">
        <v>40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8" t="s">
        <v>3</v>
      </c>
      <c r="P3" s="18" t="s">
        <v>36</v>
      </c>
      <c r="Q3" s="18" t="s">
        <v>37</v>
      </c>
      <c r="R3" s="18" t="s">
        <v>38</v>
      </c>
      <c r="S3" s="18" t="s">
        <v>39</v>
      </c>
      <c r="T3" s="18" t="s">
        <v>40</v>
      </c>
    </row>
    <row r="4" spans="1:20" x14ac:dyDescent="0.15">
      <c r="B4" s="17">
        <v>42741</v>
      </c>
      <c r="C4" s="1">
        <v>56.75</v>
      </c>
      <c r="D4" s="5">
        <v>-0.54527568000000004</v>
      </c>
      <c r="E4" s="1">
        <v>2213.9299999999998</v>
      </c>
      <c r="F4" s="1">
        <v>21.52</v>
      </c>
      <c r="G4" s="1">
        <v>-2.5</v>
      </c>
      <c r="H4" s="4">
        <v>13918639</v>
      </c>
      <c r="I4" s="4"/>
      <c r="J4" s="4"/>
      <c r="K4" s="4"/>
      <c r="L4" s="4"/>
      <c r="M4" s="4"/>
    </row>
    <row r="5" spans="1:20" x14ac:dyDescent="0.15">
      <c r="B5" s="17">
        <v>42748</v>
      </c>
      <c r="C5" s="1">
        <v>55.59</v>
      </c>
      <c r="D5" s="5">
        <v>1.238237963</v>
      </c>
      <c r="E5" s="1">
        <v>2195.19</v>
      </c>
      <c r="F5" s="1">
        <v>21.45</v>
      </c>
      <c r="G5" s="1">
        <v>-2.0499999999999998</v>
      </c>
      <c r="H5" s="4">
        <v>14805846</v>
      </c>
      <c r="I5" s="4"/>
      <c r="J5" s="4"/>
      <c r="K5" s="4"/>
      <c r="L5" s="4"/>
      <c r="M5" s="4"/>
      <c r="O5" s="5">
        <f>IFERROR(C5/C4-1,0)</f>
        <v>-2.0440528634361188E-2</v>
      </c>
      <c r="P5" s="5">
        <f>IFERROR(D5/D4-1,0)</f>
        <v>-3.2708475885078898</v>
      </c>
      <c r="Q5" s="5">
        <f>IFERROR(E5/E4-1,0)</f>
        <v>-8.4645856011706933E-3</v>
      </c>
      <c r="R5" s="5">
        <f>IFERROR(F5/F4-1,0)</f>
        <v>-3.2527881040892437E-3</v>
      </c>
      <c r="S5" s="5">
        <f>IFERROR(G5/G4-1,0)</f>
        <v>-0.18000000000000005</v>
      </c>
      <c r="T5" s="5">
        <f t="shared" ref="T5" si="0">IFERROR(H5/H4-1,0)</f>
        <v>6.374236733922034E-2</v>
      </c>
    </row>
    <row r="6" spans="1:20" x14ac:dyDescent="0.15">
      <c r="B6" s="17">
        <v>42755</v>
      </c>
      <c r="C6" s="1">
        <v>55.49</v>
      </c>
      <c r="D6" s="5">
        <v>0.38649809299999999</v>
      </c>
      <c r="E6" s="1">
        <v>2159.96</v>
      </c>
      <c r="F6" s="1">
        <v>21.08</v>
      </c>
      <c r="G6" s="1">
        <v>-1.5</v>
      </c>
      <c r="H6" s="4">
        <v>13775694</v>
      </c>
      <c r="I6" s="4"/>
      <c r="J6" s="4"/>
      <c r="K6" s="4"/>
      <c r="L6" s="4"/>
      <c r="M6" s="4"/>
      <c r="O6" s="5">
        <f t="shared" ref="O6:O17" si="1">IFERROR(C6/C5-1,0)</f>
        <v>-1.7988846914912537E-3</v>
      </c>
      <c r="P6" s="5">
        <f t="shared" ref="P6:P17" si="2">IFERROR(D6/D5-1,0)</f>
        <v>-0.68786444564856231</v>
      </c>
      <c r="Q6" s="5">
        <f t="shared" ref="Q6:Q17" si="3">IFERROR(E6/E5-1,0)</f>
        <v>-1.6048724711756113E-2</v>
      </c>
      <c r="R6" s="5">
        <f t="shared" ref="R6:R17" si="4">IFERROR(F6/F5-1,0)</f>
        <v>-1.7249417249417309E-2</v>
      </c>
      <c r="S6" s="5">
        <f t="shared" ref="S6:S17" si="5">IFERROR(G6/G5-1,0)</f>
        <v>-0.26829268292682917</v>
      </c>
      <c r="T6" s="5">
        <f t="shared" ref="T6:T17" si="6">IFERROR(H6/H5-1,0)</f>
        <v>-6.9577381799054261E-2</v>
      </c>
    </row>
    <row r="7" spans="1:20" x14ac:dyDescent="0.15">
      <c r="B7" s="17">
        <v>42762</v>
      </c>
      <c r="C7" s="1">
        <v>55.46</v>
      </c>
      <c r="D7" s="5">
        <v>0.34859342100000001</v>
      </c>
      <c r="E7" s="1">
        <v>2266.0500000000002</v>
      </c>
      <c r="F7" s="1">
        <v>22.08</v>
      </c>
      <c r="G7" s="1">
        <v>-1.6</v>
      </c>
      <c r="H7" s="4">
        <v>13326052</v>
      </c>
      <c r="I7" s="4"/>
      <c r="J7" s="4"/>
      <c r="K7" s="4"/>
      <c r="L7" s="4"/>
      <c r="M7" s="4"/>
      <c r="O7" s="5">
        <f t="shared" si="1"/>
        <v>-5.4063795278425086E-4</v>
      </c>
      <c r="P7" s="5">
        <f t="shared" si="2"/>
        <v>-9.8072080267676665E-2</v>
      </c>
      <c r="Q7" s="5">
        <f t="shared" si="3"/>
        <v>4.9116650308339116E-2</v>
      </c>
      <c r="R7" s="5">
        <f t="shared" si="4"/>
        <v>4.743833017077792E-2</v>
      </c>
      <c r="S7" s="5">
        <f t="shared" si="5"/>
        <v>6.6666666666666652E-2</v>
      </c>
      <c r="T7" s="5">
        <f t="shared" si="6"/>
        <v>-3.2640243025142679E-2</v>
      </c>
    </row>
    <row r="8" spans="1:20" x14ac:dyDescent="0.15">
      <c r="B8" s="17">
        <v>42769</v>
      </c>
      <c r="C8" s="1">
        <v>56.72</v>
      </c>
      <c r="D8" s="5">
        <v>0.21963830500000001</v>
      </c>
      <c r="E8" s="1">
        <v>2226.61</v>
      </c>
      <c r="F8" s="1">
        <v>21.8</v>
      </c>
      <c r="G8" s="1">
        <v>-1.75</v>
      </c>
      <c r="H8" s="4">
        <v>15387914</v>
      </c>
      <c r="I8" s="29">
        <f>AVERAGE(C4:C7)</f>
        <v>55.822500000000005</v>
      </c>
      <c r="J8" s="29">
        <f t="shared" ref="J8:N23" si="7">AVERAGE(D4:D7)</f>
        <v>0.35701344925</v>
      </c>
      <c r="K8" s="29">
        <f t="shared" si="7"/>
        <v>2208.7825000000003</v>
      </c>
      <c r="L8" s="29">
        <f t="shared" si="7"/>
        <v>21.532499999999999</v>
      </c>
      <c r="M8" s="29">
        <f t="shared" si="7"/>
        <v>-1.9125000000000001</v>
      </c>
      <c r="N8" s="4">
        <f t="shared" si="7"/>
        <v>13956557.75</v>
      </c>
      <c r="O8" s="5">
        <f t="shared" si="1"/>
        <v>2.2719076812116823E-2</v>
      </c>
      <c r="P8" s="5">
        <f t="shared" si="2"/>
        <v>-0.36992986164245478</v>
      </c>
      <c r="Q8" s="5">
        <f t="shared" si="3"/>
        <v>-1.7404735111758329E-2</v>
      </c>
      <c r="R8" s="5">
        <f t="shared" si="4"/>
        <v>-1.26811594202898E-2</v>
      </c>
      <c r="S8" s="5">
        <f t="shared" si="5"/>
        <v>9.375E-2</v>
      </c>
      <c r="T8" s="5">
        <f t="shared" si="6"/>
        <v>0.15472414485550567</v>
      </c>
    </row>
    <row r="9" spans="1:20" x14ac:dyDescent="0.15">
      <c r="B9" s="17">
        <v>42776</v>
      </c>
      <c r="C9" s="1">
        <v>56.61</v>
      </c>
      <c r="D9" s="5">
        <v>0.97590199099999997</v>
      </c>
      <c r="E9" s="1">
        <v>2162.19</v>
      </c>
      <c r="F9" s="1">
        <v>21.73</v>
      </c>
      <c r="G9" s="1">
        <v>-2.2000000000000002</v>
      </c>
      <c r="H9" s="4">
        <v>14753986</v>
      </c>
      <c r="I9" s="29">
        <f t="shared" ref="I9:I17" si="8">AVERAGE(C5:C8)</f>
        <v>55.815000000000005</v>
      </c>
      <c r="J9" s="29">
        <f t="shared" ref="J9:J17" si="9">AVERAGE(D5:D8)</f>
        <v>0.54824194550000005</v>
      </c>
      <c r="K9" s="29">
        <f t="shared" ref="K9:K17" si="10">AVERAGE(E5:E8)</f>
        <v>2211.9524999999999</v>
      </c>
      <c r="L9" s="29">
        <f t="shared" ref="L9:L17" si="11">AVERAGE(F5:F8)</f>
        <v>21.602499999999999</v>
      </c>
      <c r="M9" s="29">
        <f t="shared" ref="M9:M17" si="12">AVERAGE(G5:G8)</f>
        <v>-1.7250000000000001</v>
      </c>
      <c r="N9" s="4">
        <f t="shared" si="7"/>
        <v>14323876.5</v>
      </c>
      <c r="O9" s="5">
        <f t="shared" si="1"/>
        <v>-1.939351198871675E-3</v>
      </c>
      <c r="P9" s="5">
        <f t="shared" si="2"/>
        <v>3.4432231026368552</v>
      </c>
      <c r="Q9" s="5">
        <f t="shared" si="3"/>
        <v>-2.8931874014757941E-2</v>
      </c>
      <c r="R9" s="5">
        <f t="shared" si="4"/>
        <v>-3.2110091743119407E-3</v>
      </c>
      <c r="S9" s="5">
        <f t="shared" si="5"/>
        <v>0.25714285714285734</v>
      </c>
      <c r="T9" s="5">
        <f t="shared" si="6"/>
        <v>-4.1196487061209153E-2</v>
      </c>
    </row>
    <row r="10" spans="1:20" x14ac:dyDescent="0.15">
      <c r="B10" s="17">
        <v>42783</v>
      </c>
      <c r="C10" s="1">
        <v>55.72</v>
      </c>
      <c r="D10" s="5">
        <v>0.38973630399999998</v>
      </c>
      <c r="E10" s="1">
        <v>2128.21</v>
      </c>
      <c r="F10" s="1">
        <v>21.22</v>
      </c>
      <c r="G10" s="1">
        <v>-1.9</v>
      </c>
      <c r="H10" s="4">
        <v>17321594</v>
      </c>
      <c r="I10" s="29">
        <f t="shared" si="8"/>
        <v>56.070000000000007</v>
      </c>
      <c r="J10" s="29">
        <f t="shared" si="9"/>
        <v>0.48265795249999999</v>
      </c>
      <c r="K10" s="29">
        <f t="shared" si="10"/>
        <v>2203.7025000000003</v>
      </c>
      <c r="L10" s="29">
        <f t="shared" si="11"/>
        <v>21.672499999999999</v>
      </c>
      <c r="M10" s="29">
        <f t="shared" si="12"/>
        <v>-1.7625</v>
      </c>
      <c r="N10" s="4">
        <f t="shared" si="7"/>
        <v>14310911.5</v>
      </c>
      <c r="O10" s="5">
        <f t="shared" si="1"/>
        <v>-1.5721603956898034E-2</v>
      </c>
      <c r="P10" s="5">
        <f t="shared" si="2"/>
        <v>-0.60063991302995512</v>
      </c>
      <c r="Q10" s="5">
        <f t="shared" si="3"/>
        <v>-1.5715547662323859E-2</v>
      </c>
      <c r="R10" s="5">
        <f t="shared" si="4"/>
        <v>-2.3469857340082889E-2</v>
      </c>
      <c r="S10" s="5">
        <f t="shared" si="5"/>
        <v>-0.13636363636363646</v>
      </c>
      <c r="T10" s="5">
        <f t="shared" si="6"/>
        <v>0.17402808976503037</v>
      </c>
    </row>
    <row r="11" spans="1:20" x14ac:dyDescent="0.15">
      <c r="B11" s="17">
        <v>42790</v>
      </c>
      <c r="C11" s="1">
        <v>56.04</v>
      </c>
      <c r="D11" s="5">
        <v>0.54025441900000004</v>
      </c>
      <c r="E11" s="1">
        <v>2093.09</v>
      </c>
      <c r="F11" s="1">
        <v>20.73</v>
      </c>
      <c r="G11" s="1">
        <v>-2.5</v>
      </c>
      <c r="H11" s="4">
        <v>19164475</v>
      </c>
      <c r="I11" s="29">
        <f t="shared" si="8"/>
        <v>56.127500000000005</v>
      </c>
      <c r="J11" s="29">
        <f t="shared" si="9"/>
        <v>0.48346750524999998</v>
      </c>
      <c r="K11" s="29">
        <f t="shared" si="10"/>
        <v>2195.7650000000003</v>
      </c>
      <c r="L11" s="29">
        <f t="shared" si="11"/>
        <v>21.7075</v>
      </c>
      <c r="M11" s="29">
        <f t="shared" si="12"/>
        <v>-1.8625000000000003</v>
      </c>
      <c r="N11" s="4">
        <f t="shared" si="7"/>
        <v>15197386.5</v>
      </c>
      <c r="O11" s="5">
        <f t="shared" si="1"/>
        <v>5.7430007178751463E-3</v>
      </c>
      <c r="P11" s="5">
        <f t="shared" si="2"/>
        <v>0.38620501466037416</v>
      </c>
      <c r="Q11" s="5">
        <f t="shared" si="3"/>
        <v>-1.6502130898736422E-2</v>
      </c>
      <c r="R11" s="5">
        <f t="shared" si="4"/>
        <v>-2.3091423185673809E-2</v>
      </c>
      <c r="S11" s="5">
        <f t="shared" si="5"/>
        <v>0.31578947368421062</v>
      </c>
      <c r="T11" s="5">
        <f t="shared" si="6"/>
        <v>0.10639211379737912</v>
      </c>
    </row>
    <row r="12" spans="1:20" x14ac:dyDescent="0.15">
      <c r="B12" s="17">
        <v>42797</v>
      </c>
      <c r="C12" s="1">
        <v>55.71</v>
      </c>
      <c r="D12" s="5">
        <v>-4.8587384999999997E-2</v>
      </c>
      <c r="E12" s="1">
        <v>2056.89</v>
      </c>
      <c r="F12" s="1">
        <v>20.56</v>
      </c>
      <c r="G12" s="1">
        <v>-2</v>
      </c>
      <c r="H12" s="4">
        <v>14544394</v>
      </c>
      <c r="I12" s="29">
        <f t="shared" si="8"/>
        <v>56.272500000000001</v>
      </c>
      <c r="J12" s="29">
        <f t="shared" si="9"/>
        <v>0.53138275474999996</v>
      </c>
      <c r="K12" s="29">
        <f t="shared" si="10"/>
        <v>2152.5250000000001</v>
      </c>
      <c r="L12" s="29">
        <f t="shared" si="11"/>
        <v>21.37</v>
      </c>
      <c r="M12" s="29">
        <f t="shared" si="12"/>
        <v>-2.0874999999999999</v>
      </c>
      <c r="N12" s="4">
        <f t="shared" si="7"/>
        <v>16656992.25</v>
      </c>
      <c r="O12" s="5">
        <f t="shared" si="1"/>
        <v>-5.8886509635973638E-3</v>
      </c>
      <c r="P12" s="5">
        <f t="shared" si="2"/>
        <v>-1.0899342666922267</v>
      </c>
      <c r="Q12" s="5">
        <f t="shared" si="3"/>
        <v>-1.7295004037093609E-2</v>
      </c>
      <c r="R12" s="5">
        <f t="shared" si="4"/>
        <v>-8.2006753497347873E-3</v>
      </c>
      <c r="S12" s="5">
        <f t="shared" si="5"/>
        <v>-0.19999999999999996</v>
      </c>
      <c r="T12" s="5">
        <f t="shared" si="6"/>
        <v>-0.24107527078096325</v>
      </c>
    </row>
    <row r="13" spans="1:20" x14ac:dyDescent="0.15">
      <c r="B13" s="17">
        <v>42804</v>
      </c>
      <c r="C13" s="1">
        <v>51.27</v>
      </c>
      <c r="D13" s="5">
        <v>0.27804193599999999</v>
      </c>
      <c r="E13" s="1">
        <v>1973.96</v>
      </c>
      <c r="F13" s="1">
        <v>19.5</v>
      </c>
      <c r="G13" s="1">
        <v>-2.0499999999999998</v>
      </c>
      <c r="H13" s="4">
        <v>13618943</v>
      </c>
      <c r="I13" s="29">
        <f t="shared" si="8"/>
        <v>56.02</v>
      </c>
      <c r="J13" s="29">
        <f t="shared" si="9"/>
        <v>0.46432633224999997</v>
      </c>
      <c r="K13" s="29">
        <f t="shared" si="10"/>
        <v>2110.0949999999998</v>
      </c>
      <c r="L13" s="29">
        <f t="shared" si="11"/>
        <v>21.060000000000002</v>
      </c>
      <c r="M13" s="29">
        <f t="shared" si="12"/>
        <v>-2.15</v>
      </c>
      <c r="N13" s="4">
        <f t="shared" si="7"/>
        <v>16446112.25</v>
      </c>
      <c r="O13" s="5">
        <f t="shared" si="1"/>
        <v>-7.9698438341410882E-2</v>
      </c>
      <c r="P13" s="5">
        <f t="shared" si="2"/>
        <v>-6.722512870367483</v>
      </c>
      <c r="Q13" s="5">
        <f t="shared" si="3"/>
        <v>-4.0318150217075188E-2</v>
      </c>
      <c r="R13" s="5">
        <f t="shared" si="4"/>
        <v>-5.1556420233462963E-2</v>
      </c>
      <c r="S13" s="5">
        <f t="shared" si="5"/>
        <v>2.4999999999999911E-2</v>
      </c>
      <c r="T13" s="5">
        <f t="shared" si="6"/>
        <v>-6.3629395628308716E-2</v>
      </c>
    </row>
    <row r="14" spans="1:20" x14ac:dyDescent="0.15">
      <c r="B14" s="17">
        <v>42811</v>
      </c>
      <c r="C14" s="1">
        <v>51.67</v>
      </c>
      <c r="D14" s="5">
        <v>0.86281831899999994</v>
      </c>
      <c r="E14" s="1">
        <v>2036.96</v>
      </c>
      <c r="F14" s="1">
        <v>20.89</v>
      </c>
      <c r="G14" s="1">
        <v>-2.25</v>
      </c>
      <c r="H14" s="4">
        <v>17771786</v>
      </c>
      <c r="I14" s="29">
        <f t="shared" si="8"/>
        <v>54.685000000000002</v>
      </c>
      <c r="J14" s="29">
        <f t="shared" si="9"/>
        <v>0.28986131849999996</v>
      </c>
      <c r="K14" s="29">
        <f t="shared" si="10"/>
        <v>2063.0375000000004</v>
      </c>
      <c r="L14" s="29">
        <f t="shared" si="11"/>
        <v>20.502500000000001</v>
      </c>
      <c r="M14" s="29">
        <f t="shared" si="12"/>
        <v>-2.1124999999999998</v>
      </c>
      <c r="N14" s="4">
        <f t="shared" si="7"/>
        <v>16162351.5</v>
      </c>
      <c r="O14" s="5">
        <f t="shared" si="1"/>
        <v>7.8018334308562753E-3</v>
      </c>
      <c r="P14" s="5">
        <f t="shared" si="2"/>
        <v>2.1031949043830567</v>
      </c>
      <c r="Q14" s="5">
        <f t="shared" si="3"/>
        <v>3.1915540335163861E-2</v>
      </c>
      <c r="R14" s="5">
        <f t="shared" si="4"/>
        <v>7.128205128205134E-2</v>
      </c>
      <c r="S14" s="5">
        <f t="shared" si="5"/>
        <v>9.7560975609756184E-2</v>
      </c>
      <c r="T14" s="5">
        <f t="shared" si="6"/>
        <v>0.30493137389590363</v>
      </c>
    </row>
    <row r="15" spans="1:20" x14ac:dyDescent="0.15">
      <c r="B15" s="17">
        <v>42818</v>
      </c>
      <c r="C15" s="1">
        <v>50.97</v>
      </c>
      <c r="D15" s="5">
        <v>0.75419658899999997</v>
      </c>
      <c r="E15" s="1">
        <v>2039.77</v>
      </c>
      <c r="F15" s="1">
        <v>20.95</v>
      </c>
      <c r="G15" s="1">
        <v>-2.8</v>
      </c>
      <c r="H15" s="4">
        <v>16000044</v>
      </c>
      <c r="I15" s="29">
        <f t="shared" si="8"/>
        <v>53.672499999999999</v>
      </c>
      <c r="J15" s="29">
        <f t="shared" si="9"/>
        <v>0.40813182225</v>
      </c>
      <c r="K15" s="29">
        <f t="shared" si="10"/>
        <v>2040.2249999999999</v>
      </c>
      <c r="L15" s="29">
        <f t="shared" si="11"/>
        <v>20.420000000000002</v>
      </c>
      <c r="M15" s="29">
        <f t="shared" si="12"/>
        <v>-2.2000000000000002</v>
      </c>
      <c r="N15" s="4">
        <f t="shared" si="7"/>
        <v>16274899.5</v>
      </c>
      <c r="O15" s="5">
        <f t="shared" si="1"/>
        <v>-1.3547513063673411E-2</v>
      </c>
      <c r="P15" s="5">
        <f t="shared" si="2"/>
        <v>-0.12589177536922458</v>
      </c>
      <c r="Q15" s="5">
        <f t="shared" si="3"/>
        <v>1.3795067158903773E-3</v>
      </c>
      <c r="R15" s="5">
        <f t="shared" si="4"/>
        <v>2.872187649592961E-3</v>
      </c>
      <c r="S15" s="5">
        <f t="shared" si="5"/>
        <v>0.24444444444444446</v>
      </c>
      <c r="T15" s="5">
        <f t="shared" si="6"/>
        <v>-9.9694088146233595E-2</v>
      </c>
    </row>
    <row r="16" spans="1:20" x14ac:dyDescent="0.15">
      <c r="B16" s="17">
        <v>42825</v>
      </c>
      <c r="C16" s="1">
        <v>52.74</v>
      </c>
      <c r="D16" s="5">
        <v>0.48698550499999999</v>
      </c>
      <c r="E16" s="1">
        <v>1995.9</v>
      </c>
      <c r="F16" s="1">
        <v>20.67</v>
      </c>
      <c r="G16" s="1">
        <v>-2.7</v>
      </c>
      <c r="H16" s="4">
        <v>16787282</v>
      </c>
      <c r="I16" s="29">
        <f t="shared" si="8"/>
        <v>52.405000000000001</v>
      </c>
      <c r="J16" s="29">
        <f t="shared" si="9"/>
        <v>0.46161736474999998</v>
      </c>
      <c r="K16" s="29">
        <f t="shared" si="10"/>
        <v>2026.895</v>
      </c>
      <c r="L16" s="29">
        <f t="shared" si="11"/>
        <v>20.475000000000001</v>
      </c>
      <c r="M16" s="29">
        <f t="shared" si="12"/>
        <v>-2.2749999999999999</v>
      </c>
      <c r="N16" s="4">
        <f t="shared" si="7"/>
        <v>15483791.75</v>
      </c>
      <c r="O16" s="5">
        <f t="shared" si="1"/>
        <v>3.472630959387879E-2</v>
      </c>
      <c r="P16" s="5">
        <f t="shared" si="2"/>
        <v>-0.35429898238375612</v>
      </c>
      <c r="Q16" s="5">
        <f t="shared" si="3"/>
        <v>-2.1507326806453619E-2</v>
      </c>
      <c r="R16" s="5">
        <f t="shared" si="4"/>
        <v>-1.3365155131264794E-2</v>
      </c>
      <c r="S16" s="5">
        <f t="shared" si="5"/>
        <v>-3.5714285714285587E-2</v>
      </c>
      <c r="T16" s="5">
        <f t="shared" si="6"/>
        <v>4.9202239693840744E-2</v>
      </c>
    </row>
    <row r="17" spans="2:20" x14ac:dyDescent="0.15">
      <c r="B17" s="17">
        <v>42832</v>
      </c>
      <c r="C17" s="1">
        <v>55.26</v>
      </c>
      <c r="D17" s="5">
        <v>1.2623428370000001</v>
      </c>
      <c r="E17" s="1">
        <v>2020.23</v>
      </c>
      <c r="F17" s="1">
        <v>20.6</v>
      </c>
      <c r="G17" s="1">
        <v>-2.13</v>
      </c>
      <c r="H17" s="4">
        <v>15824721</v>
      </c>
      <c r="I17" s="29">
        <f t="shared" si="8"/>
        <v>51.662500000000001</v>
      </c>
      <c r="J17" s="29">
        <f t="shared" si="9"/>
        <v>0.59551058724999995</v>
      </c>
      <c r="K17" s="29">
        <f t="shared" si="10"/>
        <v>2011.6475</v>
      </c>
      <c r="L17" s="29">
        <f t="shared" si="11"/>
        <v>20.502500000000001</v>
      </c>
      <c r="M17" s="29">
        <f t="shared" si="12"/>
        <v>-2.4500000000000002</v>
      </c>
      <c r="N17" s="4">
        <f t="shared" si="7"/>
        <v>16044513.75</v>
      </c>
      <c r="O17" s="5">
        <f t="shared" si="1"/>
        <v>4.778156996587013E-2</v>
      </c>
      <c r="P17" s="5">
        <f t="shared" si="2"/>
        <v>1.5921569000292934</v>
      </c>
      <c r="Q17" s="5">
        <f t="shared" si="3"/>
        <v>1.2189989478430752E-2</v>
      </c>
      <c r="R17" s="5">
        <f t="shared" si="4"/>
        <v>-3.3865505563619447E-3</v>
      </c>
      <c r="S17" s="5">
        <f t="shared" si="5"/>
        <v>-0.21111111111111125</v>
      </c>
      <c r="T17" s="5">
        <f t="shared" si="6"/>
        <v>-5.7338704383473105E-2</v>
      </c>
    </row>
    <row r="18" spans="2:20" hidden="1" x14ac:dyDescent="0.15">
      <c r="B18" s="17">
        <v>42838</v>
      </c>
      <c r="C18" s="1">
        <v>55.64</v>
      </c>
      <c r="D18" s="1" t="s">
        <v>34</v>
      </c>
      <c r="E18" s="1" t="s">
        <v>34</v>
      </c>
      <c r="F18" s="1">
        <v>20.059999999999999</v>
      </c>
      <c r="G18" s="1">
        <v>-2.4</v>
      </c>
      <c r="H18" s="4">
        <v>19364895</v>
      </c>
      <c r="I18" s="4"/>
      <c r="J18" s="4"/>
      <c r="K18" s="4"/>
      <c r="L18" s="4"/>
      <c r="M18" s="4"/>
      <c r="P18" s="5"/>
      <c r="Q18" s="5"/>
      <c r="R18" s="5"/>
      <c r="S18" s="5"/>
      <c r="T18" s="5"/>
    </row>
    <row r="19" spans="2:20" x14ac:dyDescent="0.15">
      <c r="B19" s="17">
        <v>42846</v>
      </c>
      <c r="C19" s="1">
        <v>52.05</v>
      </c>
      <c r="D19" s="5">
        <v>1.734635691</v>
      </c>
      <c r="E19" s="1">
        <v>1944.72</v>
      </c>
      <c r="F19" s="1">
        <v>20.14</v>
      </c>
      <c r="G19" s="1">
        <v>-1.9</v>
      </c>
      <c r="H19" s="4">
        <v>15026917</v>
      </c>
      <c r="I19" s="29">
        <f t="shared" ref="I19:I44" si="13">AVERAGE(C15:C18)</f>
        <v>53.652500000000003</v>
      </c>
      <c r="J19" s="29">
        <f t="shared" ref="J19:J44" si="14">AVERAGE(D15:D18)</f>
        <v>0.83450831033333339</v>
      </c>
      <c r="K19" s="29">
        <f t="shared" ref="K19:K44" si="15">AVERAGE(E15:E18)</f>
        <v>2018.6333333333332</v>
      </c>
      <c r="L19" s="29">
        <f t="shared" ref="L19:L44" si="16">AVERAGE(F15:F18)</f>
        <v>20.57</v>
      </c>
      <c r="M19" s="29">
        <f t="shared" ref="M19:N44" si="17">AVERAGE(G15:G18)</f>
        <v>-2.5074999999999998</v>
      </c>
      <c r="N19" s="4">
        <f t="shared" si="7"/>
        <v>16994235.5</v>
      </c>
      <c r="O19" s="5">
        <f t="shared" ref="O19:O44" si="18">IFERROR(C19/C18-1,0)</f>
        <v>-6.4521926671459395E-2</v>
      </c>
      <c r="P19" s="5">
        <f t="shared" ref="P19:P44" si="19">IFERROR(D19/D18-1,0)</f>
        <v>0</v>
      </c>
      <c r="Q19" s="5">
        <f t="shared" ref="Q19:Q44" si="20">IFERROR(E19/E18-1,0)</f>
        <v>0</v>
      </c>
      <c r="R19" s="5">
        <f t="shared" ref="R19:R44" si="21">IFERROR(F19/F18-1,0)</f>
        <v>3.9880358923232162E-3</v>
      </c>
      <c r="S19" s="5">
        <f t="shared" ref="S19:S44" si="22">IFERROR(G19/G18-1,0)</f>
        <v>-0.20833333333333337</v>
      </c>
      <c r="T19" s="5">
        <f t="shared" ref="T19:T44" si="23">IFERROR(H19/H18-1,0)</f>
        <v>-0.22401247205316632</v>
      </c>
    </row>
    <row r="20" spans="2:20" x14ac:dyDescent="0.15">
      <c r="B20" s="17">
        <v>42853</v>
      </c>
      <c r="C20" s="1">
        <v>51.71</v>
      </c>
      <c r="D20" s="5">
        <v>-0.161768775</v>
      </c>
      <c r="E20" s="1">
        <v>2016.71</v>
      </c>
      <c r="F20" s="1">
        <v>20.88</v>
      </c>
      <c r="G20" s="1">
        <v>-1.65</v>
      </c>
      <c r="H20" s="4">
        <v>16171206</v>
      </c>
      <c r="I20" s="29">
        <f t="shared" si="13"/>
        <v>53.922499999999999</v>
      </c>
      <c r="J20" s="29">
        <f t="shared" si="14"/>
        <v>1.1613213443333334</v>
      </c>
      <c r="K20" s="29">
        <f t="shared" si="15"/>
        <v>1986.95</v>
      </c>
      <c r="L20" s="29">
        <f t="shared" si="16"/>
        <v>20.3675</v>
      </c>
      <c r="M20" s="29">
        <f t="shared" si="17"/>
        <v>-2.2825000000000002</v>
      </c>
      <c r="N20" s="4">
        <f t="shared" si="7"/>
        <v>16750953.75</v>
      </c>
      <c r="O20" s="5">
        <f t="shared" si="18"/>
        <v>-6.5321805955811385E-3</v>
      </c>
      <c r="P20" s="5">
        <f t="shared" si="19"/>
        <v>-1.0932580690224021</v>
      </c>
      <c r="Q20" s="5">
        <f t="shared" si="20"/>
        <v>3.7018182566127766E-2</v>
      </c>
      <c r="R20" s="5">
        <f t="shared" si="21"/>
        <v>3.6742800397219444E-2</v>
      </c>
      <c r="S20" s="5">
        <f t="shared" si="22"/>
        <v>-0.13157894736842102</v>
      </c>
      <c r="T20" s="5">
        <f t="shared" si="23"/>
        <v>7.6149285977955339E-2</v>
      </c>
    </row>
    <row r="21" spans="2:20" x14ac:dyDescent="0.15">
      <c r="B21" s="17">
        <v>42860</v>
      </c>
      <c r="C21" s="1">
        <v>49.47</v>
      </c>
      <c r="D21" s="5">
        <v>1.515722521</v>
      </c>
      <c r="E21" s="1">
        <v>2002.41</v>
      </c>
      <c r="F21" s="1">
        <v>20.32</v>
      </c>
      <c r="G21" s="1">
        <v>-1.45</v>
      </c>
      <c r="H21" s="4">
        <v>12292495</v>
      </c>
      <c r="I21" s="29">
        <f t="shared" si="13"/>
        <v>53.664999999999999</v>
      </c>
      <c r="J21" s="29">
        <f t="shared" si="14"/>
        <v>0.9450699176666667</v>
      </c>
      <c r="K21" s="29">
        <f t="shared" si="15"/>
        <v>1993.8866666666665</v>
      </c>
      <c r="L21" s="29">
        <f t="shared" si="16"/>
        <v>20.419999999999998</v>
      </c>
      <c r="M21" s="29">
        <f t="shared" si="17"/>
        <v>-2.02</v>
      </c>
      <c r="N21" s="4">
        <f t="shared" si="7"/>
        <v>16596934.75</v>
      </c>
      <c r="O21" s="5">
        <f t="shared" si="18"/>
        <v>-4.3318507058596079E-2</v>
      </c>
      <c r="P21" s="5">
        <f t="shared" si="19"/>
        <v>-10.369685348733091</v>
      </c>
      <c r="Q21" s="5">
        <f t="shared" si="20"/>
        <v>-7.0907567275413363E-3</v>
      </c>
      <c r="R21" s="5">
        <f t="shared" si="21"/>
        <v>-2.6819923371647403E-2</v>
      </c>
      <c r="S21" s="5">
        <f t="shared" si="22"/>
        <v>-0.12121212121212122</v>
      </c>
      <c r="T21" s="5">
        <f t="shared" si="23"/>
        <v>-0.23985292129727365</v>
      </c>
    </row>
    <row r="22" spans="2:20" x14ac:dyDescent="0.15">
      <c r="B22" s="17">
        <v>42867</v>
      </c>
      <c r="C22" s="1">
        <v>50.91</v>
      </c>
      <c r="D22" s="5">
        <v>1.586672694</v>
      </c>
      <c r="E22" s="1">
        <v>1994.58</v>
      </c>
      <c r="F22" s="1">
        <v>20.46</v>
      </c>
      <c r="G22" s="1">
        <v>-1.35</v>
      </c>
      <c r="H22" s="4">
        <v>15716132</v>
      </c>
      <c r="I22" s="29">
        <f t="shared" si="13"/>
        <v>52.217500000000001</v>
      </c>
      <c r="J22" s="29">
        <f t="shared" si="14"/>
        <v>1.0295298123333334</v>
      </c>
      <c r="K22" s="29">
        <f t="shared" si="15"/>
        <v>1987.9466666666667</v>
      </c>
      <c r="L22" s="29">
        <f t="shared" si="16"/>
        <v>20.350000000000001</v>
      </c>
      <c r="M22" s="29">
        <f t="shared" si="17"/>
        <v>-1.8499999999999999</v>
      </c>
      <c r="N22" s="4">
        <f t="shared" si="7"/>
        <v>15713878.25</v>
      </c>
      <c r="O22" s="5">
        <f t="shared" si="18"/>
        <v>2.9108550636749442E-2</v>
      </c>
      <c r="P22" s="5">
        <f t="shared" si="19"/>
        <v>4.6809473381177025E-2</v>
      </c>
      <c r="Q22" s="5">
        <f t="shared" si="20"/>
        <v>-3.9102881028361125E-3</v>
      </c>
      <c r="R22" s="5">
        <f t="shared" si="21"/>
        <v>6.8897637795275468E-3</v>
      </c>
      <c r="S22" s="5">
        <f t="shared" si="22"/>
        <v>-6.8965517241379226E-2</v>
      </c>
      <c r="T22" s="5">
        <f t="shared" si="23"/>
        <v>0.27851441062209092</v>
      </c>
    </row>
    <row r="23" spans="2:20" x14ac:dyDescent="0.15">
      <c r="B23" s="17">
        <v>42874</v>
      </c>
      <c r="C23" s="1">
        <v>53.8</v>
      </c>
      <c r="D23" s="5">
        <v>1.233227721</v>
      </c>
      <c r="E23" s="1">
        <v>1962.4</v>
      </c>
      <c r="F23" s="1">
        <v>20.260000000000002</v>
      </c>
      <c r="G23" s="1">
        <v>-1.5</v>
      </c>
      <c r="H23" s="4">
        <v>17181025</v>
      </c>
      <c r="I23" s="29">
        <f t="shared" si="13"/>
        <v>51.034999999999997</v>
      </c>
      <c r="J23" s="29">
        <f t="shared" si="14"/>
        <v>1.1688155327500001</v>
      </c>
      <c r="K23" s="29">
        <f t="shared" si="15"/>
        <v>1989.605</v>
      </c>
      <c r="L23" s="29">
        <f t="shared" si="16"/>
        <v>20.45</v>
      </c>
      <c r="M23" s="29">
        <f t="shared" si="17"/>
        <v>-1.5874999999999999</v>
      </c>
      <c r="N23" s="4">
        <f t="shared" si="7"/>
        <v>14801687.5</v>
      </c>
      <c r="O23" s="5">
        <f t="shared" si="18"/>
        <v>5.6766843449224114E-2</v>
      </c>
      <c r="P23" s="5">
        <f t="shared" si="19"/>
        <v>-0.22275859056284986</v>
      </c>
      <c r="Q23" s="5">
        <f t="shared" si="20"/>
        <v>-1.6133722387670524E-2</v>
      </c>
      <c r="R23" s="5">
        <f t="shared" si="21"/>
        <v>-9.7751710654936375E-3</v>
      </c>
      <c r="S23" s="5">
        <f t="shared" si="22"/>
        <v>0.11111111111111094</v>
      </c>
      <c r="T23" s="5">
        <f t="shared" si="23"/>
        <v>9.3209512366019931E-2</v>
      </c>
    </row>
    <row r="24" spans="2:20" x14ac:dyDescent="0.15">
      <c r="B24" s="17">
        <v>42881</v>
      </c>
      <c r="C24" s="1">
        <v>52.23</v>
      </c>
      <c r="D24" s="5">
        <v>1.7037482690000001</v>
      </c>
      <c r="E24" s="1">
        <v>1934.25</v>
      </c>
      <c r="F24" s="1">
        <v>20.309999999999999</v>
      </c>
      <c r="G24" s="1">
        <v>-1.35</v>
      </c>
      <c r="H24" s="4">
        <v>14797229</v>
      </c>
      <c r="I24" s="29">
        <f t="shared" si="13"/>
        <v>51.472499999999997</v>
      </c>
      <c r="J24" s="29">
        <f t="shared" si="14"/>
        <v>1.0434635402499999</v>
      </c>
      <c r="K24" s="29">
        <f t="shared" si="15"/>
        <v>1994.0250000000001</v>
      </c>
      <c r="L24" s="29">
        <f t="shared" si="16"/>
        <v>20.48</v>
      </c>
      <c r="M24" s="29">
        <f t="shared" si="17"/>
        <v>-1.4874999999999998</v>
      </c>
      <c r="N24" s="4">
        <f t="shared" si="17"/>
        <v>15340214.5</v>
      </c>
      <c r="O24" s="5">
        <f t="shared" si="18"/>
        <v>-2.9182156133829018E-2</v>
      </c>
      <c r="P24" s="5">
        <f t="shared" si="19"/>
        <v>0.38153581855787699</v>
      </c>
      <c r="Q24" s="5">
        <f t="shared" si="20"/>
        <v>-1.4344679983693487E-2</v>
      </c>
      <c r="R24" s="5">
        <f t="shared" si="21"/>
        <v>2.4679170779859927E-3</v>
      </c>
      <c r="S24" s="5">
        <f t="shared" si="22"/>
        <v>-9.9999999999999978E-2</v>
      </c>
      <c r="T24" s="5">
        <f t="shared" si="23"/>
        <v>-0.13874585480202728</v>
      </c>
    </row>
    <row r="25" spans="2:20" x14ac:dyDescent="0.15">
      <c r="B25" s="17">
        <v>42888</v>
      </c>
      <c r="C25" s="1">
        <v>49.95</v>
      </c>
      <c r="D25" s="5">
        <v>1.946998335</v>
      </c>
      <c r="E25" s="1">
        <v>1881.87</v>
      </c>
      <c r="F25" s="1">
        <v>19.690000000000001</v>
      </c>
      <c r="G25" s="1">
        <v>-1.35</v>
      </c>
      <c r="H25" s="4">
        <v>11127747</v>
      </c>
      <c r="I25" s="29">
        <f t="shared" si="13"/>
        <v>51.602499999999999</v>
      </c>
      <c r="J25" s="29">
        <f t="shared" si="14"/>
        <v>1.50984280125</v>
      </c>
      <c r="K25" s="29">
        <f t="shared" si="15"/>
        <v>1973.4099999999999</v>
      </c>
      <c r="L25" s="29">
        <f t="shared" si="16"/>
        <v>20.337500000000002</v>
      </c>
      <c r="M25" s="29">
        <f t="shared" si="17"/>
        <v>-1.4125000000000001</v>
      </c>
      <c r="N25" s="4">
        <f t="shared" si="17"/>
        <v>14996720.25</v>
      </c>
      <c r="O25" s="5">
        <f t="shared" si="18"/>
        <v>-4.3653072946582272E-2</v>
      </c>
      <c r="P25" s="5">
        <f t="shared" si="19"/>
        <v>0.14277347799905526</v>
      </c>
      <c r="Q25" s="5">
        <f t="shared" si="20"/>
        <v>-2.7080263668088467E-2</v>
      </c>
      <c r="R25" s="5">
        <f t="shared" si="21"/>
        <v>-3.0526834071885611E-2</v>
      </c>
      <c r="S25" s="5">
        <f t="shared" si="22"/>
        <v>0</v>
      </c>
      <c r="T25" s="5">
        <f t="shared" si="23"/>
        <v>-0.24798440302572866</v>
      </c>
    </row>
    <row r="26" spans="2:20" x14ac:dyDescent="0.15">
      <c r="B26" s="17">
        <v>42895</v>
      </c>
      <c r="C26" s="1">
        <v>48.3</v>
      </c>
      <c r="D26" s="5">
        <v>2.1794009910000001</v>
      </c>
      <c r="E26" s="1">
        <v>1883.34</v>
      </c>
      <c r="F26" s="1">
        <v>19.39</v>
      </c>
      <c r="G26" s="1">
        <v>-1.3</v>
      </c>
      <c r="H26" s="4">
        <v>11772141</v>
      </c>
      <c r="I26" s="29">
        <f t="shared" si="13"/>
        <v>51.722499999999997</v>
      </c>
      <c r="J26" s="29">
        <f t="shared" si="14"/>
        <v>1.6176617547500001</v>
      </c>
      <c r="K26" s="29">
        <f t="shared" si="15"/>
        <v>1943.2749999999999</v>
      </c>
      <c r="L26" s="29">
        <f t="shared" si="16"/>
        <v>20.18</v>
      </c>
      <c r="M26" s="29">
        <f t="shared" si="17"/>
        <v>-1.3875000000000002</v>
      </c>
      <c r="N26" s="4">
        <f t="shared" si="17"/>
        <v>14705533.25</v>
      </c>
      <c r="O26" s="5">
        <f t="shared" si="18"/>
        <v>-3.3033033033033177E-2</v>
      </c>
      <c r="P26" s="5">
        <f t="shared" si="19"/>
        <v>0.11936458897896296</v>
      </c>
      <c r="Q26" s="5">
        <f t="shared" si="20"/>
        <v>7.8113791069522875E-4</v>
      </c>
      <c r="R26" s="5">
        <f t="shared" si="21"/>
        <v>-1.523616048755716E-2</v>
      </c>
      <c r="S26" s="5">
        <f t="shared" si="22"/>
        <v>-3.703703703703709E-2</v>
      </c>
      <c r="T26" s="5">
        <f t="shared" si="23"/>
        <v>5.7908757271350586E-2</v>
      </c>
    </row>
    <row r="27" spans="2:20" x14ac:dyDescent="0.15">
      <c r="B27" s="17">
        <v>42902</v>
      </c>
      <c r="C27" s="1">
        <v>47.29</v>
      </c>
      <c r="D27" s="5">
        <v>2.2776121909999998</v>
      </c>
      <c r="E27" s="1">
        <v>1822.91</v>
      </c>
      <c r="F27" s="1">
        <v>18.75</v>
      </c>
      <c r="G27" s="1">
        <v>-1.1499999999999999</v>
      </c>
      <c r="H27" s="4">
        <v>17090410</v>
      </c>
      <c r="I27" s="29">
        <f t="shared" si="13"/>
        <v>51.070000000000007</v>
      </c>
      <c r="J27" s="29">
        <f t="shared" si="14"/>
        <v>1.765843829</v>
      </c>
      <c r="K27" s="29">
        <f t="shared" si="15"/>
        <v>1915.4650000000001</v>
      </c>
      <c r="L27" s="29">
        <f t="shared" si="16"/>
        <v>19.912500000000001</v>
      </c>
      <c r="M27" s="29">
        <f t="shared" si="17"/>
        <v>-1.375</v>
      </c>
      <c r="N27" s="4">
        <f t="shared" si="17"/>
        <v>13719535.5</v>
      </c>
      <c r="O27" s="5">
        <f t="shared" si="18"/>
        <v>-2.0910973084886098E-2</v>
      </c>
      <c r="P27" s="5">
        <f t="shared" si="19"/>
        <v>4.5063391457363933E-2</v>
      </c>
      <c r="Q27" s="5">
        <f t="shared" si="20"/>
        <v>-3.2086612082788957E-2</v>
      </c>
      <c r="R27" s="5">
        <f t="shared" si="21"/>
        <v>-3.3006704486848948E-2</v>
      </c>
      <c r="S27" s="5">
        <f t="shared" si="22"/>
        <v>-0.11538461538461553</v>
      </c>
      <c r="T27" s="5">
        <f t="shared" si="23"/>
        <v>0.45176735480827146</v>
      </c>
    </row>
    <row r="28" spans="2:20" x14ac:dyDescent="0.15">
      <c r="B28" s="17">
        <v>42909</v>
      </c>
      <c r="C28" s="1">
        <v>45.61</v>
      </c>
      <c r="D28" s="5">
        <v>2.930156931</v>
      </c>
      <c r="E28" s="1">
        <v>1867.46</v>
      </c>
      <c r="F28" s="1">
        <v>18.850000000000001</v>
      </c>
      <c r="G28" s="1">
        <v>-0.9</v>
      </c>
      <c r="H28" s="4">
        <v>13176643</v>
      </c>
      <c r="I28" s="29">
        <f t="shared" si="13"/>
        <v>49.442500000000003</v>
      </c>
      <c r="J28" s="29">
        <f t="shared" si="14"/>
        <v>2.0269399464999998</v>
      </c>
      <c r="K28" s="29">
        <f t="shared" si="15"/>
        <v>1880.5925</v>
      </c>
      <c r="L28" s="29">
        <f t="shared" si="16"/>
        <v>19.535</v>
      </c>
      <c r="M28" s="29">
        <f t="shared" si="17"/>
        <v>-1.2875000000000001</v>
      </c>
      <c r="N28" s="4">
        <f t="shared" si="17"/>
        <v>13696881.75</v>
      </c>
      <c r="O28" s="5">
        <f t="shared" si="18"/>
        <v>-3.552548107422282E-2</v>
      </c>
      <c r="P28" s="5">
        <f t="shared" si="19"/>
        <v>0.28650388445343555</v>
      </c>
      <c r="Q28" s="5">
        <f t="shared" si="20"/>
        <v>2.4438946519575788E-2</v>
      </c>
      <c r="R28" s="5">
        <f t="shared" si="21"/>
        <v>5.3333333333334121E-3</v>
      </c>
      <c r="S28" s="5">
        <f t="shared" si="22"/>
        <v>-0.21739130434782605</v>
      </c>
      <c r="T28" s="5">
        <f t="shared" si="23"/>
        <v>-0.22900369271421805</v>
      </c>
    </row>
    <row r="29" spans="2:20" x14ac:dyDescent="0.15">
      <c r="B29" s="17">
        <v>42916</v>
      </c>
      <c r="C29" s="1">
        <v>47.9</v>
      </c>
      <c r="D29" s="5">
        <v>2.5198099360000001</v>
      </c>
      <c r="E29" s="1">
        <v>1879.5</v>
      </c>
      <c r="F29" s="1">
        <v>19.170000000000002</v>
      </c>
      <c r="G29" s="1">
        <v>-0.95</v>
      </c>
      <c r="H29" s="4">
        <v>11891712</v>
      </c>
      <c r="I29" s="29">
        <f t="shared" si="13"/>
        <v>47.787499999999994</v>
      </c>
      <c r="J29" s="29">
        <f t="shared" si="14"/>
        <v>2.3335421119999999</v>
      </c>
      <c r="K29" s="29">
        <f t="shared" si="15"/>
        <v>1863.895</v>
      </c>
      <c r="L29" s="29">
        <f t="shared" si="16"/>
        <v>19.170000000000002</v>
      </c>
      <c r="M29" s="29">
        <f t="shared" si="17"/>
        <v>-1.175</v>
      </c>
      <c r="N29" s="4">
        <f t="shared" si="17"/>
        <v>13291735.25</v>
      </c>
      <c r="O29" s="5">
        <f t="shared" si="18"/>
        <v>5.0208287656215767E-2</v>
      </c>
      <c r="P29" s="5">
        <f t="shared" si="19"/>
        <v>-0.14004266824710887</v>
      </c>
      <c r="Q29" s="5">
        <f t="shared" si="20"/>
        <v>6.4472599145362075E-3</v>
      </c>
      <c r="R29" s="5">
        <f t="shared" si="21"/>
        <v>1.6976127320954992E-2</v>
      </c>
      <c r="S29" s="5">
        <f t="shared" si="22"/>
        <v>5.555555555555558E-2</v>
      </c>
      <c r="T29" s="5">
        <f t="shared" si="23"/>
        <v>-9.7515808844483409E-2</v>
      </c>
    </row>
    <row r="30" spans="2:20" x14ac:dyDescent="0.15">
      <c r="B30" s="17">
        <v>42923</v>
      </c>
      <c r="C30" s="1">
        <v>46.88</v>
      </c>
      <c r="D30" s="5">
        <v>2.368059127</v>
      </c>
      <c r="E30" s="1">
        <v>1912.48</v>
      </c>
      <c r="F30" s="1">
        <v>19.079999999999998</v>
      </c>
      <c r="G30" s="1">
        <v>-0.7</v>
      </c>
      <c r="H30" s="4">
        <v>11141171</v>
      </c>
      <c r="I30" s="29">
        <f t="shared" si="13"/>
        <v>47.274999999999999</v>
      </c>
      <c r="J30" s="29">
        <f t="shared" si="14"/>
        <v>2.4767450122499999</v>
      </c>
      <c r="K30" s="29">
        <f t="shared" si="15"/>
        <v>1863.3025</v>
      </c>
      <c r="L30" s="29">
        <f t="shared" si="16"/>
        <v>19.04</v>
      </c>
      <c r="M30" s="29">
        <f t="shared" si="17"/>
        <v>-1.075</v>
      </c>
      <c r="N30" s="4">
        <f t="shared" si="17"/>
        <v>13482726.5</v>
      </c>
      <c r="O30" s="5">
        <f t="shared" si="18"/>
        <v>-2.1294363256784909E-2</v>
      </c>
      <c r="P30" s="5">
        <f t="shared" si="19"/>
        <v>-6.0223117161325557E-2</v>
      </c>
      <c r="Q30" s="5">
        <f t="shared" si="20"/>
        <v>1.7547220005320607E-2</v>
      </c>
      <c r="R30" s="5">
        <f t="shared" si="21"/>
        <v>-4.6948356807513525E-3</v>
      </c>
      <c r="S30" s="5">
        <f t="shared" si="22"/>
        <v>-0.26315789473684215</v>
      </c>
      <c r="T30" s="5">
        <f t="shared" si="23"/>
        <v>-6.3114629752217377E-2</v>
      </c>
    </row>
    <row r="31" spans="2:20" x14ac:dyDescent="0.15">
      <c r="B31" s="17">
        <v>42930</v>
      </c>
      <c r="C31" s="1">
        <v>49.09</v>
      </c>
      <c r="D31" s="5">
        <v>3.010124131</v>
      </c>
      <c r="E31" s="1">
        <v>1960.69</v>
      </c>
      <c r="F31" s="1">
        <v>20.21</v>
      </c>
      <c r="G31" s="1">
        <v>-0.85</v>
      </c>
      <c r="H31" s="4">
        <v>12773066</v>
      </c>
      <c r="I31" s="29">
        <f t="shared" si="13"/>
        <v>46.92</v>
      </c>
      <c r="J31" s="29">
        <f t="shared" si="14"/>
        <v>2.5239095462500001</v>
      </c>
      <c r="K31" s="29">
        <f t="shared" si="15"/>
        <v>1870.5875000000001</v>
      </c>
      <c r="L31" s="29">
        <f t="shared" si="16"/>
        <v>18.962499999999999</v>
      </c>
      <c r="M31" s="29">
        <f t="shared" si="17"/>
        <v>-0.92500000000000004</v>
      </c>
      <c r="N31" s="4">
        <f t="shared" si="17"/>
        <v>13324984</v>
      </c>
      <c r="O31" s="5">
        <f t="shared" si="18"/>
        <v>4.7141638225256077E-2</v>
      </c>
      <c r="P31" s="5">
        <f t="shared" si="19"/>
        <v>0.27113554584821808</v>
      </c>
      <c r="Q31" s="5">
        <f t="shared" si="20"/>
        <v>2.5208106751443138E-2</v>
      </c>
      <c r="R31" s="5">
        <f t="shared" si="21"/>
        <v>5.9224318658281039E-2</v>
      </c>
      <c r="S31" s="5">
        <f t="shared" si="22"/>
        <v>0.21428571428571441</v>
      </c>
      <c r="T31" s="5">
        <f t="shared" si="23"/>
        <v>0.14647427994777207</v>
      </c>
    </row>
    <row r="32" spans="2:20" x14ac:dyDescent="0.15">
      <c r="B32" s="17">
        <v>42937</v>
      </c>
      <c r="C32" s="1">
        <v>47.93</v>
      </c>
      <c r="D32" s="5">
        <v>3.352449853</v>
      </c>
      <c r="E32" s="1">
        <v>1925.13</v>
      </c>
      <c r="F32" s="1">
        <v>20</v>
      </c>
      <c r="G32" s="1">
        <v>-0.65</v>
      </c>
      <c r="H32" s="4">
        <v>16733085</v>
      </c>
      <c r="I32" s="29">
        <f t="shared" si="13"/>
        <v>47.37</v>
      </c>
      <c r="J32" s="29">
        <f t="shared" si="14"/>
        <v>2.7070375312500001</v>
      </c>
      <c r="K32" s="29">
        <f t="shared" si="15"/>
        <v>1905.0325000000003</v>
      </c>
      <c r="L32" s="29">
        <f t="shared" si="16"/>
        <v>19.327500000000001</v>
      </c>
      <c r="M32" s="29">
        <f t="shared" si="17"/>
        <v>-0.85</v>
      </c>
      <c r="N32" s="4">
        <f t="shared" si="17"/>
        <v>12245648</v>
      </c>
      <c r="O32" s="5">
        <f t="shared" si="18"/>
        <v>-2.3630067223467166E-2</v>
      </c>
      <c r="P32" s="5">
        <f t="shared" si="19"/>
        <v>0.11372478579023748</v>
      </c>
      <c r="Q32" s="5">
        <f t="shared" si="20"/>
        <v>-1.8136472364320699E-2</v>
      </c>
      <c r="R32" s="5">
        <f t="shared" si="21"/>
        <v>-1.0390895596239513E-2</v>
      </c>
      <c r="S32" s="5">
        <f t="shared" si="22"/>
        <v>-0.23529411764705876</v>
      </c>
      <c r="T32" s="5">
        <f t="shared" si="23"/>
        <v>0.3100288529003139</v>
      </c>
    </row>
    <row r="33" spans="2:20" x14ac:dyDescent="0.15">
      <c r="B33" s="17">
        <v>42944</v>
      </c>
      <c r="C33" s="1">
        <v>52.63</v>
      </c>
      <c r="D33" s="5">
        <v>2.0118133729999998</v>
      </c>
      <c r="E33" s="1">
        <v>1916.75</v>
      </c>
      <c r="F33" s="1">
        <v>19.98</v>
      </c>
      <c r="G33" s="1">
        <v>-0.55000000000000004</v>
      </c>
      <c r="H33" s="4">
        <v>13382407</v>
      </c>
      <c r="I33" s="29">
        <f t="shared" si="13"/>
        <v>47.95</v>
      </c>
      <c r="J33" s="29">
        <f t="shared" si="14"/>
        <v>2.8126107617499998</v>
      </c>
      <c r="K33" s="29">
        <f t="shared" si="15"/>
        <v>1919.45</v>
      </c>
      <c r="L33" s="29">
        <f t="shared" si="16"/>
        <v>19.615000000000002</v>
      </c>
      <c r="M33" s="29">
        <f t="shared" si="17"/>
        <v>-0.78749999999999998</v>
      </c>
      <c r="N33" s="4">
        <f t="shared" si="17"/>
        <v>13134758.5</v>
      </c>
      <c r="O33" s="5">
        <f t="shared" si="18"/>
        <v>9.805967035259755E-2</v>
      </c>
      <c r="P33" s="5">
        <f t="shared" si="19"/>
        <v>-0.39989754919087228</v>
      </c>
      <c r="Q33" s="5">
        <f t="shared" si="20"/>
        <v>-4.3529527876040586E-3</v>
      </c>
      <c r="R33" s="5">
        <f t="shared" si="21"/>
        <v>-1.0000000000000009E-3</v>
      </c>
      <c r="S33" s="5">
        <f t="shared" si="22"/>
        <v>-0.15384615384615385</v>
      </c>
      <c r="T33" s="5">
        <f t="shared" si="23"/>
        <v>-0.20024269284474439</v>
      </c>
    </row>
    <row r="34" spans="2:20" x14ac:dyDescent="0.15">
      <c r="B34" s="17">
        <v>42951</v>
      </c>
      <c r="C34" s="1">
        <v>52.46</v>
      </c>
      <c r="D34" s="5">
        <v>1.6805799589999999</v>
      </c>
      <c r="E34" s="1">
        <v>1953.49</v>
      </c>
      <c r="F34" s="1">
        <v>20.12</v>
      </c>
      <c r="G34" s="1">
        <v>-0.3</v>
      </c>
      <c r="H34" s="4">
        <v>10139359</v>
      </c>
      <c r="I34" s="29">
        <f t="shared" si="13"/>
        <v>49.1325</v>
      </c>
      <c r="J34" s="29">
        <f t="shared" si="14"/>
        <v>2.6856116209999996</v>
      </c>
      <c r="K34" s="29">
        <f t="shared" si="15"/>
        <v>1928.7625</v>
      </c>
      <c r="L34" s="29">
        <f t="shared" si="16"/>
        <v>19.817499999999999</v>
      </c>
      <c r="M34" s="29">
        <f t="shared" si="17"/>
        <v>-0.6875</v>
      </c>
      <c r="N34" s="4">
        <f t="shared" si="17"/>
        <v>13507432.25</v>
      </c>
      <c r="O34" s="5">
        <f t="shared" si="18"/>
        <v>-3.2300969029070981E-3</v>
      </c>
      <c r="P34" s="5">
        <f t="shared" si="19"/>
        <v>-0.16464420529527912</v>
      </c>
      <c r="Q34" s="5">
        <f t="shared" si="20"/>
        <v>1.9167862266858071E-2</v>
      </c>
      <c r="R34" s="5">
        <f t="shared" si="21"/>
        <v>7.0070070070069601E-3</v>
      </c>
      <c r="S34" s="5">
        <f t="shared" si="22"/>
        <v>-0.45454545454545459</v>
      </c>
      <c r="T34" s="5">
        <f t="shared" si="23"/>
        <v>-0.24233667381361212</v>
      </c>
    </row>
    <row r="35" spans="2:20" x14ac:dyDescent="0.15">
      <c r="B35" s="17">
        <v>42958</v>
      </c>
      <c r="C35" s="1">
        <v>52.05</v>
      </c>
      <c r="D35" s="5">
        <v>2.8852017079999999</v>
      </c>
      <c r="E35" s="1">
        <v>1944.83</v>
      </c>
      <c r="F35" s="1">
        <v>19.96</v>
      </c>
      <c r="G35" s="1">
        <v>-0.3</v>
      </c>
      <c r="H35" s="4">
        <v>15254483</v>
      </c>
      <c r="I35" s="29">
        <f t="shared" si="13"/>
        <v>50.527500000000003</v>
      </c>
      <c r="J35" s="29">
        <f t="shared" si="14"/>
        <v>2.5137418289999998</v>
      </c>
      <c r="K35" s="29">
        <f t="shared" si="15"/>
        <v>1939.0149999999999</v>
      </c>
      <c r="L35" s="29">
        <f t="shared" si="16"/>
        <v>20.077500000000001</v>
      </c>
      <c r="M35" s="29">
        <f t="shared" si="17"/>
        <v>-0.58749999999999991</v>
      </c>
      <c r="N35" s="4">
        <f t="shared" si="17"/>
        <v>13256979.25</v>
      </c>
      <c r="O35" s="5">
        <f t="shared" si="18"/>
        <v>-7.815478459778924E-3</v>
      </c>
      <c r="P35" s="5">
        <f t="shared" si="19"/>
        <v>0.71678930987418732</v>
      </c>
      <c r="Q35" s="5">
        <f t="shared" si="20"/>
        <v>-4.4330915438522966E-3</v>
      </c>
      <c r="R35" s="5">
        <f t="shared" si="21"/>
        <v>-7.9522862823061535E-3</v>
      </c>
      <c r="S35" s="5">
        <f t="shared" si="22"/>
        <v>0</v>
      </c>
      <c r="T35" s="5">
        <f t="shared" si="23"/>
        <v>0.50448198944331679</v>
      </c>
    </row>
    <row r="36" spans="2:20" x14ac:dyDescent="0.15">
      <c r="B36" s="17">
        <v>42965</v>
      </c>
      <c r="C36" s="1">
        <v>52.86</v>
      </c>
      <c r="D36" s="5">
        <v>3.1039032660000001</v>
      </c>
      <c r="E36" s="1">
        <v>1930.71</v>
      </c>
      <c r="F36" s="1">
        <v>20.260000000000002</v>
      </c>
      <c r="G36" s="1">
        <v>-0.6</v>
      </c>
      <c r="H36" s="4">
        <v>15313857</v>
      </c>
      <c r="I36" s="29">
        <f t="shared" si="13"/>
        <v>51.267499999999998</v>
      </c>
      <c r="J36" s="29">
        <f t="shared" si="14"/>
        <v>2.48251122325</v>
      </c>
      <c r="K36" s="29">
        <f t="shared" si="15"/>
        <v>1935.05</v>
      </c>
      <c r="L36" s="29">
        <f t="shared" si="16"/>
        <v>20.015000000000001</v>
      </c>
      <c r="M36" s="29">
        <f t="shared" si="17"/>
        <v>-0.45000000000000007</v>
      </c>
      <c r="N36" s="4">
        <f t="shared" si="17"/>
        <v>13877333.5</v>
      </c>
      <c r="O36" s="5">
        <f t="shared" si="18"/>
        <v>1.5561959654178725E-2</v>
      </c>
      <c r="P36" s="5">
        <f t="shared" si="19"/>
        <v>7.5801132861384124E-2</v>
      </c>
      <c r="Q36" s="5">
        <f t="shared" si="20"/>
        <v>-7.2602746769639959E-3</v>
      </c>
      <c r="R36" s="5">
        <f t="shared" si="21"/>
        <v>1.503006012024044E-2</v>
      </c>
      <c r="S36" s="5">
        <f t="shared" si="22"/>
        <v>1</v>
      </c>
      <c r="T36" s="5">
        <f t="shared" si="23"/>
        <v>3.8922328603336886E-3</v>
      </c>
    </row>
    <row r="37" spans="2:20" x14ac:dyDescent="0.15">
      <c r="B37" s="17">
        <v>42972</v>
      </c>
      <c r="C37" s="1">
        <v>52.35</v>
      </c>
      <c r="D37" s="5">
        <v>2.2553008590000001</v>
      </c>
      <c r="E37" s="1">
        <v>1979.14</v>
      </c>
      <c r="F37" s="1">
        <v>20.74</v>
      </c>
      <c r="G37" s="1">
        <v>-1.25</v>
      </c>
      <c r="H37" s="4">
        <v>13031411</v>
      </c>
      <c r="I37" s="29">
        <f t="shared" si="13"/>
        <v>52.5</v>
      </c>
      <c r="J37" s="29">
        <f t="shared" si="14"/>
        <v>2.4203745765</v>
      </c>
      <c r="K37" s="29">
        <f t="shared" si="15"/>
        <v>1936.4449999999999</v>
      </c>
      <c r="L37" s="29">
        <f t="shared" si="16"/>
        <v>20.080000000000002</v>
      </c>
      <c r="M37" s="29">
        <f t="shared" si="17"/>
        <v>-0.4375</v>
      </c>
      <c r="N37" s="4">
        <f t="shared" si="17"/>
        <v>13522526.5</v>
      </c>
      <c r="O37" s="5">
        <f t="shared" si="18"/>
        <v>-9.6481271282633507E-3</v>
      </c>
      <c r="P37" s="5">
        <f t="shared" si="19"/>
        <v>-0.27339847098185954</v>
      </c>
      <c r="Q37" s="5">
        <f t="shared" si="20"/>
        <v>2.5084036442552193E-2</v>
      </c>
      <c r="R37" s="5">
        <f t="shared" si="21"/>
        <v>2.3692003948667217E-2</v>
      </c>
      <c r="S37" s="5">
        <f t="shared" si="22"/>
        <v>1.0833333333333335</v>
      </c>
      <c r="T37" s="5">
        <f t="shared" si="23"/>
        <v>-0.14904448957568295</v>
      </c>
    </row>
    <row r="38" spans="2:20" x14ac:dyDescent="0.15">
      <c r="B38" s="17">
        <v>42979</v>
      </c>
      <c r="C38" s="1">
        <v>52.69</v>
      </c>
      <c r="D38" s="5">
        <v>2.9095993500000001</v>
      </c>
      <c r="E38" s="1">
        <v>2010.98</v>
      </c>
      <c r="F38" s="1">
        <v>21.59</v>
      </c>
      <c r="G38" s="1">
        <v>-1.3</v>
      </c>
      <c r="H38" s="4">
        <v>16454237</v>
      </c>
      <c r="I38" s="29">
        <f t="shared" si="13"/>
        <v>52.43</v>
      </c>
      <c r="J38" s="29">
        <f t="shared" si="14"/>
        <v>2.4812464479999998</v>
      </c>
      <c r="K38" s="29">
        <f t="shared" si="15"/>
        <v>1952.0425</v>
      </c>
      <c r="L38" s="29">
        <f t="shared" si="16"/>
        <v>20.27</v>
      </c>
      <c r="M38" s="29">
        <f t="shared" si="17"/>
        <v>-0.61250000000000004</v>
      </c>
      <c r="N38" s="4">
        <f t="shared" si="17"/>
        <v>13434777.5</v>
      </c>
      <c r="O38" s="5">
        <f t="shared" si="18"/>
        <v>6.4947468958929111E-3</v>
      </c>
      <c r="P38" s="5">
        <f t="shared" si="19"/>
        <v>0.29011583460759005</v>
      </c>
      <c r="Q38" s="5">
        <f t="shared" si="20"/>
        <v>1.6087795709247343E-2</v>
      </c>
      <c r="R38" s="5">
        <f t="shared" si="21"/>
        <v>4.0983606557377206E-2</v>
      </c>
      <c r="S38" s="5">
        <f t="shared" si="22"/>
        <v>4.0000000000000036E-2</v>
      </c>
      <c r="T38" s="5">
        <f t="shared" si="23"/>
        <v>0.26265966133675001</v>
      </c>
    </row>
    <row r="39" spans="2:20" x14ac:dyDescent="0.15">
      <c r="B39" s="17">
        <v>42986</v>
      </c>
      <c r="C39" s="1">
        <v>53.75</v>
      </c>
      <c r="D39" s="5">
        <v>1.9488985000000001</v>
      </c>
      <c r="E39" s="1">
        <v>2032.75</v>
      </c>
      <c r="F39" s="1">
        <v>21.63</v>
      </c>
      <c r="G39" s="1">
        <v>-1.45</v>
      </c>
      <c r="H39" s="4">
        <v>14075355</v>
      </c>
      <c r="I39" s="29">
        <f t="shared" si="13"/>
        <v>52.487499999999997</v>
      </c>
      <c r="J39" s="29">
        <f t="shared" si="14"/>
        <v>2.7885012957500002</v>
      </c>
      <c r="K39" s="29">
        <f t="shared" si="15"/>
        <v>1966.415</v>
      </c>
      <c r="L39" s="29">
        <f t="shared" si="16"/>
        <v>20.637499999999999</v>
      </c>
      <c r="M39" s="29">
        <f t="shared" si="17"/>
        <v>-0.86250000000000004</v>
      </c>
      <c r="N39" s="4">
        <f t="shared" si="17"/>
        <v>15013497</v>
      </c>
      <c r="O39" s="5">
        <f t="shared" si="18"/>
        <v>2.0117669386980452E-2</v>
      </c>
      <c r="P39" s="5">
        <f t="shared" si="19"/>
        <v>-0.33018320890125297</v>
      </c>
      <c r="Q39" s="5">
        <f t="shared" si="20"/>
        <v>1.0825567633691024E-2</v>
      </c>
      <c r="R39" s="5">
        <f t="shared" si="21"/>
        <v>1.8527095877720612E-3</v>
      </c>
      <c r="S39" s="5">
        <f t="shared" si="22"/>
        <v>0.11538461538461542</v>
      </c>
      <c r="T39" s="5">
        <f t="shared" si="23"/>
        <v>-0.14457564942087564</v>
      </c>
    </row>
    <row r="40" spans="2:20" x14ac:dyDescent="0.15">
      <c r="B40" s="17">
        <v>42993</v>
      </c>
      <c r="C40" s="1">
        <v>55.48</v>
      </c>
      <c r="D40" s="5">
        <v>0.78006629699999996</v>
      </c>
      <c r="E40" s="1">
        <v>2053.81</v>
      </c>
      <c r="F40" s="1">
        <v>21.95</v>
      </c>
      <c r="G40" s="1">
        <v>-2.15</v>
      </c>
      <c r="H40" s="4">
        <v>13132104</v>
      </c>
      <c r="I40" s="29">
        <f t="shared" si="13"/>
        <v>52.912500000000001</v>
      </c>
      <c r="J40" s="29">
        <f t="shared" si="14"/>
        <v>2.5544254937500002</v>
      </c>
      <c r="K40" s="29">
        <f t="shared" si="15"/>
        <v>1988.395</v>
      </c>
      <c r="L40" s="29">
        <f t="shared" si="16"/>
        <v>21.055</v>
      </c>
      <c r="M40" s="29">
        <f t="shared" si="17"/>
        <v>-1.1500000000000001</v>
      </c>
      <c r="N40" s="4">
        <f t="shared" si="17"/>
        <v>14718715</v>
      </c>
      <c r="O40" s="5">
        <f t="shared" si="18"/>
        <v>3.218604651162793E-2</v>
      </c>
      <c r="P40" s="5">
        <f t="shared" si="19"/>
        <v>-0.59973990590069215</v>
      </c>
      <c r="Q40" s="5">
        <f t="shared" si="20"/>
        <v>1.0360349280531311E-2</v>
      </c>
      <c r="R40" s="5">
        <f t="shared" si="21"/>
        <v>1.4794267221451607E-2</v>
      </c>
      <c r="S40" s="5">
        <f t="shared" si="22"/>
        <v>0.48275862068965525</v>
      </c>
      <c r="T40" s="5">
        <f t="shared" si="23"/>
        <v>-6.7014366600345099E-2</v>
      </c>
    </row>
    <row r="41" spans="2:20" x14ac:dyDescent="0.15">
      <c r="B41" s="17">
        <v>43000</v>
      </c>
      <c r="C41" s="1">
        <v>56.9</v>
      </c>
      <c r="D41" s="5">
        <v>-0.34264435100000001</v>
      </c>
      <c r="E41" s="1">
        <v>2051.63</v>
      </c>
      <c r="F41" s="1">
        <v>21.83</v>
      </c>
      <c r="G41" s="1">
        <v>-2.0499999999999998</v>
      </c>
      <c r="H41" s="4">
        <v>15375432</v>
      </c>
      <c r="I41" s="29">
        <f t="shared" si="13"/>
        <v>53.567499999999995</v>
      </c>
      <c r="J41" s="29">
        <f t="shared" si="14"/>
        <v>1.9734662515000003</v>
      </c>
      <c r="K41" s="29">
        <f t="shared" si="15"/>
        <v>2019.17</v>
      </c>
      <c r="L41" s="29">
        <f t="shared" si="16"/>
        <v>21.477499999999999</v>
      </c>
      <c r="M41" s="29">
        <f t="shared" si="17"/>
        <v>-1.5375000000000001</v>
      </c>
      <c r="N41" s="4">
        <f t="shared" si="17"/>
        <v>14173276.75</v>
      </c>
      <c r="O41" s="5">
        <f t="shared" si="18"/>
        <v>2.5594808940158753E-2</v>
      </c>
      <c r="P41" s="5">
        <f t="shared" si="19"/>
        <v>-1.4392502949015371</v>
      </c>
      <c r="Q41" s="5">
        <f t="shared" si="20"/>
        <v>-1.0614419055315905E-3</v>
      </c>
      <c r="R41" s="5">
        <f t="shared" si="21"/>
        <v>-5.4669703872437525E-3</v>
      </c>
      <c r="S41" s="5">
        <f t="shared" si="22"/>
        <v>-4.6511627906976827E-2</v>
      </c>
      <c r="T41" s="5">
        <f t="shared" si="23"/>
        <v>0.17082776682243761</v>
      </c>
    </row>
    <row r="42" spans="2:20" x14ac:dyDescent="0.15">
      <c r="B42" s="17">
        <v>43007</v>
      </c>
      <c r="C42" s="1">
        <v>57.51</v>
      </c>
      <c r="D42" s="5">
        <v>1.048073161</v>
      </c>
      <c r="E42" s="1">
        <v>2077.19</v>
      </c>
      <c r="F42" s="1">
        <v>22.29</v>
      </c>
      <c r="G42" s="1">
        <v>-2.0499999999999998</v>
      </c>
      <c r="H42" s="4">
        <v>14956929</v>
      </c>
      <c r="I42" s="29">
        <f t="shared" si="13"/>
        <v>54.704999999999998</v>
      </c>
      <c r="J42" s="29">
        <f t="shared" si="14"/>
        <v>1.3239799490000002</v>
      </c>
      <c r="K42" s="29">
        <f t="shared" si="15"/>
        <v>2037.2925</v>
      </c>
      <c r="L42" s="29">
        <f t="shared" si="16"/>
        <v>21.75</v>
      </c>
      <c r="M42" s="29">
        <f t="shared" si="17"/>
        <v>-1.7375</v>
      </c>
      <c r="N42" s="4">
        <f t="shared" si="17"/>
        <v>14759282</v>
      </c>
      <c r="O42" s="5">
        <f t="shared" si="18"/>
        <v>1.0720562390158062E-2</v>
      </c>
      <c r="P42" s="5">
        <f t="shared" si="19"/>
        <v>-4.0587784621028238</v>
      </c>
      <c r="Q42" s="5">
        <f t="shared" si="20"/>
        <v>1.2458386746148076E-2</v>
      </c>
      <c r="R42" s="5">
        <f t="shared" si="21"/>
        <v>2.1071919377004145E-2</v>
      </c>
      <c r="S42" s="5">
        <f t="shared" si="22"/>
        <v>0</v>
      </c>
      <c r="T42" s="5">
        <f t="shared" si="23"/>
        <v>-2.7218942531175738E-2</v>
      </c>
    </row>
    <row r="43" spans="2:20" x14ac:dyDescent="0.15">
      <c r="B43" s="17">
        <v>43014</v>
      </c>
      <c r="C43" s="1">
        <v>55.68</v>
      </c>
      <c r="D43" s="5">
        <v>3.25</v>
      </c>
      <c r="E43" s="1">
        <v>2093.86</v>
      </c>
      <c r="F43" s="1">
        <v>22.13</v>
      </c>
      <c r="G43" s="1">
        <v>-1</v>
      </c>
      <c r="H43" s="4">
        <v>16931079</v>
      </c>
      <c r="I43" s="29">
        <f t="shared" si="13"/>
        <v>55.91</v>
      </c>
      <c r="J43" s="29">
        <f t="shared" si="14"/>
        <v>0.85859840175000002</v>
      </c>
      <c r="K43" s="29">
        <f t="shared" si="15"/>
        <v>2053.8450000000003</v>
      </c>
      <c r="L43" s="29">
        <f t="shared" si="16"/>
        <v>21.924999999999997</v>
      </c>
      <c r="M43" s="29">
        <f t="shared" si="17"/>
        <v>-1.9249999999999998</v>
      </c>
      <c r="N43" s="4">
        <f t="shared" si="17"/>
        <v>14384955</v>
      </c>
      <c r="O43" s="5">
        <f t="shared" si="18"/>
        <v>-3.1820552947313452E-2</v>
      </c>
      <c r="P43" s="5">
        <f t="shared" si="19"/>
        <v>2.1009285619899583</v>
      </c>
      <c r="Q43" s="5">
        <f t="shared" si="20"/>
        <v>8.0252649011405275E-3</v>
      </c>
      <c r="R43" s="5">
        <f t="shared" si="21"/>
        <v>-7.1781067743382776E-3</v>
      </c>
      <c r="S43" s="5">
        <f t="shared" si="22"/>
        <v>-0.51219512195121952</v>
      </c>
      <c r="T43" s="5">
        <f t="shared" si="23"/>
        <v>0.13198899319506019</v>
      </c>
    </row>
    <row r="44" spans="2:20" x14ac:dyDescent="0.15">
      <c r="B44" s="17">
        <v>43021</v>
      </c>
      <c r="C44" s="1">
        <v>57.2</v>
      </c>
      <c r="D44" s="5">
        <v>3.73</v>
      </c>
      <c r="E44" s="1">
        <v>2098.77</v>
      </c>
      <c r="F44" s="1">
        <v>22.56</v>
      </c>
      <c r="G44" s="1">
        <v>-1.55</v>
      </c>
      <c r="H44" s="4">
        <v>14802135</v>
      </c>
      <c r="I44" s="29">
        <f t="shared" si="13"/>
        <v>56.392499999999998</v>
      </c>
      <c r="J44" s="29">
        <f t="shared" si="14"/>
        <v>1.1838737767500001</v>
      </c>
      <c r="K44" s="29">
        <f t="shared" si="15"/>
        <v>2069.1225000000004</v>
      </c>
      <c r="L44" s="29">
        <f t="shared" si="16"/>
        <v>22.049999999999997</v>
      </c>
      <c r="M44" s="29">
        <f t="shared" si="17"/>
        <v>-1.8124999999999998</v>
      </c>
      <c r="N44" s="4">
        <f t="shared" si="17"/>
        <v>15098886</v>
      </c>
      <c r="O44" s="5">
        <f t="shared" si="18"/>
        <v>2.7298850574712707E-2</v>
      </c>
      <c r="P44" s="5">
        <f t="shared" si="19"/>
        <v>0.14769230769230779</v>
      </c>
      <c r="Q44" s="5">
        <f t="shared" si="20"/>
        <v>2.3449514294173746E-3</v>
      </c>
      <c r="R44" s="5">
        <f t="shared" si="21"/>
        <v>1.9430637144148166E-2</v>
      </c>
      <c r="S44" s="5">
        <f t="shared" si="22"/>
        <v>0.55000000000000004</v>
      </c>
      <c r="T44" s="5">
        <f t="shared" si="23"/>
        <v>-0.12574177936326447</v>
      </c>
    </row>
    <row r="45" spans="2:20" hidden="1" x14ac:dyDescent="0.15">
      <c r="B45" s="17">
        <v>43028</v>
      </c>
      <c r="C45" s="1">
        <v>57.94</v>
      </c>
      <c r="D45" s="1" t="s">
        <v>34</v>
      </c>
      <c r="E45" s="1">
        <v>2071.83</v>
      </c>
      <c r="F45" s="1">
        <v>22.14</v>
      </c>
      <c r="G45" s="1">
        <v>-2.0499999999999998</v>
      </c>
      <c r="H45" s="4">
        <v>15532368</v>
      </c>
      <c r="I45" s="29">
        <f t="shared" ref="I45:I62" si="24">AVERAGE(C41:C44)</f>
        <v>56.822500000000005</v>
      </c>
      <c r="J45" s="29">
        <f t="shared" ref="J45:J62" si="25">AVERAGE(D41:D44)</f>
        <v>1.9213572024999999</v>
      </c>
      <c r="K45" s="29">
        <f t="shared" ref="K45:K62" si="26">AVERAGE(E41:E44)</f>
        <v>2080.3625000000002</v>
      </c>
      <c r="L45" s="29">
        <f t="shared" ref="L45:L62" si="27">AVERAGE(F41:F44)</f>
        <v>22.202500000000001</v>
      </c>
      <c r="M45" s="29">
        <f t="shared" ref="M45:M62" si="28">AVERAGE(G41:G44)</f>
        <v>-1.6624999999999999</v>
      </c>
      <c r="N45" s="4">
        <f t="shared" ref="N45:N62" si="29">AVERAGE(H41:H44)</f>
        <v>15516393.75</v>
      </c>
      <c r="O45" s="5">
        <f>IFERROR(C45/C44-1,0)</f>
        <v>1.2937062937062871E-2</v>
      </c>
      <c r="P45" s="5">
        <f>IFERROR(D45/D44-1,0)</f>
        <v>0</v>
      </c>
      <c r="Q45" s="5">
        <f>IFERROR(E45/E44-1,0)</f>
        <v>-1.2836089709687082E-2</v>
      </c>
      <c r="R45" s="5">
        <f>IFERROR(F45/F44-1,0)</f>
        <v>-1.8617021276595702E-2</v>
      </c>
      <c r="S45" s="5">
        <f>IFERROR(G45/G44-1,0)</f>
        <v>0.32258064516129026</v>
      </c>
      <c r="T45" s="5">
        <f t="shared" ref="T45:T62" si="30">IFERROR(H45/H44-1,0)</f>
        <v>4.9332950956061383E-2</v>
      </c>
    </row>
    <row r="46" spans="2:20" x14ac:dyDescent="0.15">
      <c r="B46" s="17">
        <v>43035</v>
      </c>
      <c r="C46" s="1">
        <v>60.5</v>
      </c>
      <c r="D46" s="5">
        <v>2.46</v>
      </c>
      <c r="E46" s="1">
        <v>2068.7600000000002</v>
      </c>
      <c r="F46" s="1">
        <v>21.99</v>
      </c>
      <c r="G46" s="1">
        <v>-0.95</v>
      </c>
      <c r="H46" s="4">
        <v>13050065</v>
      </c>
      <c r="I46" s="29">
        <f t="shared" si="24"/>
        <v>57.082499999999996</v>
      </c>
      <c r="J46" s="29">
        <f t="shared" si="25"/>
        <v>2.676024387</v>
      </c>
      <c r="K46" s="29">
        <f t="shared" si="26"/>
        <v>2085.4124999999999</v>
      </c>
      <c r="L46" s="29">
        <f t="shared" si="27"/>
        <v>22.28</v>
      </c>
      <c r="M46" s="29">
        <f t="shared" si="28"/>
        <v>-1.6624999999999999</v>
      </c>
      <c r="N46" s="4">
        <f t="shared" si="29"/>
        <v>15555627.75</v>
      </c>
      <c r="O46" s="5">
        <f t="shared" ref="O46:O62" si="31">IFERROR(C46/C45-1,0)</f>
        <v>4.4183638246461987E-2</v>
      </c>
      <c r="P46" s="5">
        <f t="shared" ref="P46:P62" si="32">IFERROR(D46/D45-1,0)</f>
        <v>0</v>
      </c>
      <c r="Q46" s="5">
        <f t="shared" ref="Q46:Q62" si="33">IFERROR(E46/E45-1,0)</f>
        <v>-1.4817818064222221E-3</v>
      </c>
      <c r="R46" s="5">
        <f t="shared" ref="R46:R62" si="34">IFERROR(F46/F45-1,0)</f>
        <v>-6.7750677506775991E-3</v>
      </c>
      <c r="S46" s="5">
        <f t="shared" ref="S46:S62" si="35">IFERROR(G46/G45-1,0)</f>
        <v>-0.53658536585365857</v>
      </c>
      <c r="T46" s="5">
        <f t="shared" si="30"/>
        <v>-0.15981484600416374</v>
      </c>
    </row>
    <row r="47" spans="2:20" x14ac:dyDescent="0.15">
      <c r="B47" s="17">
        <v>43042</v>
      </c>
      <c r="C47" s="1">
        <v>62.09</v>
      </c>
      <c r="D47" s="5">
        <v>3.51</v>
      </c>
      <c r="E47" s="1">
        <v>2081.15</v>
      </c>
      <c r="F47" s="1">
        <v>21.78</v>
      </c>
      <c r="G47" s="1">
        <v>-1.1000000000000001</v>
      </c>
      <c r="H47" s="4">
        <v>12317332</v>
      </c>
      <c r="I47" s="29">
        <f t="shared" si="24"/>
        <v>57.83</v>
      </c>
      <c r="J47" s="29">
        <f t="shared" si="25"/>
        <v>3.1466666666666669</v>
      </c>
      <c r="K47" s="29">
        <f t="shared" si="26"/>
        <v>2083.3050000000003</v>
      </c>
      <c r="L47" s="29">
        <f t="shared" si="27"/>
        <v>22.204999999999998</v>
      </c>
      <c r="M47" s="29">
        <f t="shared" si="28"/>
        <v>-1.3875</v>
      </c>
      <c r="N47" s="4">
        <f t="shared" si="29"/>
        <v>15078911.75</v>
      </c>
      <c r="O47" s="5">
        <f t="shared" si="31"/>
        <v>2.6280991735537329E-2</v>
      </c>
      <c r="P47" s="5">
        <f t="shared" si="32"/>
        <v>0.42682926829268286</v>
      </c>
      <c r="Q47" s="5">
        <f t="shared" si="33"/>
        <v>5.9890949167615837E-3</v>
      </c>
      <c r="R47" s="5">
        <f t="shared" si="34"/>
        <v>-9.5497953615278908E-3</v>
      </c>
      <c r="S47" s="5">
        <f t="shared" si="35"/>
        <v>0.15789473684210531</v>
      </c>
      <c r="T47" s="5">
        <f t="shared" si="30"/>
        <v>-5.6147842941778436E-2</v>
      </c>
    </row>
    <row r="48" spans="2:20" x14ac:dyDescent="0.15">
      <c r="B48" s="17">
        <v>43049</v>
      </c>
      <c r="C48" s="1">
        <v>63.6</v>
      </c>
      <c r="D48" s="5">
        <v>3.6</v>
      </c>
      <c r="E48" s="1">
        <v>2169.2600000000002</v>
      </c>
      <c r="F48" s="1">
        <v>22.28</v>
      </c>
      <c r="G48" s="1">
        <v>-1.1000000000000001</v>
      </c>
      <c r="H48" s="4">
        <v>14674661</v>
      </c>
      <c r="I48" s="29">
        <f t="shared" si="24"/>
        <v>59.432499999999997</v>
      </c>
      <c r="J48" s="29">
        <f t="shared" si="25"/>
        <v>3.2333333333333329</v>
      </c>
      <c r="K48" s="29">
        <f t="shared" si="26"/>
        <v>2080.1275000000001</v>
      </c>
      <c r="L48" s="29">
        <f t="shared" si="27"/>
        <v>22.1175</v>
      </c>
      <c r="M48" s="29">
        <f t="shared" si="28"/>
        <v>-1.4125000000000001</v>
      </c>
      <c r="N48" s="4">
        <f t="shared" si="29"/>
        <v>13925475</v>
      </c>
      <c r="O48" s="5">
        <f t="shared" si="31"/>
        <v>2.4319536157191068E-2</v>
      </c>
      <c r="P48" s="5">
        <f t="shared" si="32"/>
        <v>2.5641025641025772E-2</v>
      </c>
      <c r="Q48" s="5">
        <f t="shared" si="33"/>
        <v>4.2337169353482418E-2</v>
      </c>
      <c r="R48" s="5">
        <f t="shared" si="34"/>
        <v>2.2956841138659367E-2</v>
      </c>
      <c r="S48" s="5">
        <f t="shared" si="35"/>
        <v>0</v>
      </c>
      <c r="T48" s="5">
        <f t="shared" si="30"/>
        <v>0.19138308523306824</v>
      </c>
    </row>
    <row r="49" spans="2:20" x14ac:dyDescent="0.15">
      <c r="B49" s="17">
        <v>43056</v>
      </c>
      <c r="C49" s="1">
        <v>62.72</v>
      </c>
      <c r="D49" s="5">
        <v>0.22</v>
      </c>
      <c r="E49" s="1">
        <v>2131.91</v>
      </c>
      <c r="F49" s="1">
        <v>21.93</v>
      </c>
      <c r="G49" s="1">
        <v>-0.7</v>
      </c>
      <c r="H49" s="4">
        <v>11131437</v>
      </c>
      <c r="I49" s="29">
        <f t="shared" si="24"/>
        <v>61.032499999999999</v>
      </c>
      <c r="J49" s="29">
        <f t="shared" si="25"/>
        <v>3.19</v>
      </c>
      <c r="K49" s="29">
        <f t="shared" si="26"/>
        <v>2097.75</v>
      </c>
      <c r="L49" s="29">
        <f t="shared" si="27"/>
        <v>22.047499999999999</v>
      </c>
      <c r="M49" s="29">
        <f t="shared" si="28"/>
        <v>-1.2999999999999998</v>
      </c>
      <c r="N49" s="4">
        <f t="shared" si="29"/>
        <v>13893606.5</v>
      </c>
      <c r="O49" s="5">
        <f t="shared" si="31"/>
        <v>-1.3836477987421381E-2</v>
      </c>
      <c r="P49" s="5">
        <f t="shared" si="32"/>
        <v>-0.93888888888888888</v>
      </c>
      <c r="Q49" s="5">
        <f t="shared" si="33"/>
        <v>-1.7217853092759916E-2</v>
      </c>
      <c r="R49" s="5">
        <f t="shared" si="34"/>
        <v>-1.5709156193895901E-2</v>
      </c>
      <c r="S49" s="5">
        <f t="shared" si="35"/>
        <v>-0.36363636363636376</v>
      </c>
      <c r="T49" s="5">
        <f t="shared" si="30"/>
        <v>-0.24145184682630827</v>
      </c>
    </row>
    <row r="50" spans="2:20" x14ac:dyDescent="0.15">
      <c r="B50" s="17">
        <v>43063</v>
      </c>
      <c r="C50" s="1">
        <v>63.73</v>
      </c>
      <c r="D50" s="5">
        <v>2.7</v>
      </c>
      <c r="E50" s="1">
        <v>2161.17</v>
      </c>
      <c r="F50" s="1">
        <v>22.48</v>
      </c>
      <c r="G50" s="1">
        <v>-0.85</v>
      </c>
      <c r="H50" s="4">
        <v>12499903</v>
      </c>
      <c r="I50" s="29">
        <f t="shared" si="24"/>
        <v>62.227499999999999</v>
      </c>
      <c r="J50" s="29">
        <f t="shared" si="25"/>
        <v>2.4475000000000002</v>
      </c>
      <c r="K50" s="29">
        <f t="shared" si="26"/>
        <v>2112.77</v>
      </c>
      <c r="L50" s="29">
        <f t="shared" si="27"/>
        <v>21.994999999999997</v>
      </c>
      <c r="M50" s="29">
        <f t="shared" si="28"/>
        <v>-0.96249999999999991</v>
      </c>
      <c r="N50" s="4">
        <f t="shared" si="29"/>
        <v>12793373.75</v>
      </c>
      <c r="O50" s="5">
        <f t="shared" si="31"/>
        <v>1.6103316326530503E-2</v>
      </c>
      <c r="P50" s="5">
        <f t="shared" si="32"/>
        <v>11.272727272727273</v>
      </c>
      <c r="Q50" s="5">
        <f t="shared" si="33"/>
        <v>1.3724782002992653E-2</v>
      </c>
      <c r="R50" s="5">
        <f t="shared" si="34"/>
        <v>2.5079799361605204E-2</v>
      </c>
      <c r="S50" s="5">
        <f t="shared" si="35"/>
        <v>0.21428571428571441</v>
      </c>
      <c r="T50" s="5">
        <f t="shared" si="30"/>
        <v>0.1229370475707674</v>
      </c>
    </row>
    <row r="51" spans="2:20" x14ac:dyDescent="0.15">
      <c r="B51" s="17">
        <v>43070</v>
      </c>
      <c r="C51" s="1">
        <v>63.7</v>
      </c>
      <c r="D51" s="5">
        <v>2.0499999999999998</v>
      </c>
      <c r="E51" s="1">
        <v>2105.9899999999998</v>
      </c>
      <c r="F51" s="1">
        <v>21.46</v>
      </c>
      <c r="G51" s="1">
        <v>-0.75</v>
      </c>
      <c r="H51" s="4">
        <v>9237218</v>
      </c>
      <c r="I51" s="29">
        <f t="shared" si="24"/>
        <v>63.034999999999997</v>
      </c>
      <c r="J51" s="29">
        <f t="shared" si="25"/>
        <v>2.5074999999999998</v>
      </c>
      <c r="K51" s="29">
        <f t="shared" si="26"/>
        <v>2135.8724999999999</v>
      </c>
      <c r="L51" s="29">
        <f t="shared" si="27"/>
        <v>22.117500000000003</v>
      </c>
      <c r="M51" s="29">
        <f t="shared" si="28"/>
        <v>-0.93750000000000011</v>
      </c>
      <c r="N51" s="4">
        <f t="shared" si="29"/>
        <v>12655833.25</v>
      </c>
      <c r="O51" s="5">
        <f t="shared" si="31"/>
        <v>-4.7073591715041108E-4</v>
      </c>
      <c r="P51" s="5">
        <f t="shared" si="32"/>
        <v>-0.24074074074074081</v>
      </c>
      <c r="Q51" s="5">
        <f t="shared" si="33"/>
        <v>-2.5532466210432481E-2</v>
      </c>
      <c r="R51" s="5">
        <f t="shared" si="34"/>
        <v>-4.5373665480426983E-2</v>
      </c>
      <c r="S51" s="5">
        <f t="shared" si="35"/>
        <v>-0.11764705882352944</v>
      </c>
      <c r="T51" s="5">
        <f t="shared" si="30"/>
        <v>-0.26101682549056582</v>
      </c>
    </row>
    <row r="52" spans="2:20" x14ac:dyDescent="0.15">
      <c r="B52" s="17">
        <v>43077</v>
      </c>
      <c r="C52" s="1">
        <v>63.39</v>
      </c>
      <c r="D52" s="5">
        <v>0.85</v>
      </c>
      <c r="E52" s="1">
        <v>2104.9899999999998</v>
      </c>
      <c r="F52" s="1">
        <v>21.57</v>
      </c>
      <c r="G52" s="1">
        <v>-0.45</v>
      </c>
      <c r="H52" s="4">
        <v>18291858</v>
      </c>
      <c r="I52" s="29">
        <f t="shared" si="24"/>
        <v>63.4375</v>
      </c>
      <c r="J52" s="29">
        <f t="shared" si="25"/>
        <v>2.1425000000000001</v>
      </c>
      <c r="K52" s="29">
        <f t="shared" si="26"/>
        <v>2142.0825</v>
      </c>
      <c r="L52" s="29">
        <f t="shared" si="27"/>
        <v>22.037500000000001</v>
      </c>
      <c r="M52" s="29">
        <f t="shared" si="28"/>
        <v>-0.85</v>
      </c>
      <c r="N52" s="4">
        <f t="shared" si="29"/>
        <v>11885804.75</v>
      </c>
      <c r="O52" s="5">
        <f t="shared" si="31"/>
        <v>-4.8665620094191508E-3</v>
      </c>
      <c r="P52" s="5">
        <f t="shared" si="32"/>
        <v>-0.58536585365853655</v>
      </c>
      <c r="Q52" s="5">
        <f t="shared" si="33"/>
        <v>-4.7483606284925983E-4</v>
      </c>
      <c r="R52" s="5">
        <f t="shared" si="34"/>
        <v>5.1258154706430581E-3</v>
      </c>
      <c r="S52" s="5">
        <f t="shared" si="35"/>
        <v>-0.4</v>
      </c>
      <c r="T52" s="5">
        <f t="shared" si="30"/>
        <v>0.98023452515681675</v>
      </c>
    </row>
    <row r="53" spans="2:20" x14ac:dyDescent="0.15">
      <c r="B53" s="17">
        <v>43084</v>
      </c>
      <c r="C53" s="1">
        <v>63.25</v>
      </c>
      <c r="D53" s="5">
        <v>1.38</v>
      </c>
      <c r="E53" s="1">
        <v>2143.9899999999998</v>
      </c>
      <c r="F53" s="1">
        <v>21.93</v>
      </c>
      <c r="G53" s="1">
        <v>-0.05</v>
      </c>
      <c r="H53" s="4">
        <v>14537122.076923076</v>
      </c>
      <c r="I53" s="29">
        <f t="shared" si="24"/>
        <v>63.384999999999991</v>
      </c>
      <c r="J53" s="29">
        <f t="shared" si="25"/>
        <v>1.4550000000000001</v>
      </c>
      <c r="K53" s="29">
        <f t="shared" si="26"/>
        <v>2126.0149999999999</v>
      </c>
      <c r="L53" s="29">
        <f t="shared" si="27"/>
        <v>21.86</v>
      </c>
      <c r="M53" s="29">
        <f t="shared" si="28"/>
        <v>-0.6875</v>
      </c>
      <c r="N53" s="4">
        <f t="shared" si="29"/>
        <v>12790104</v>
      </c>
      <c r="O53" s="5">
        <f t="shared" si="31"/>
        <v>-2.2085502445180483E-3</v>
      </c>
      <c r="P53" s="5">
        <f t="shared" si="32"/>
        <v>0.62352941176470589</v>
      </c>
      <c r="Q53" s="5">
        <f t="shared" si="33"/>
        <v>1.8527403930659991E-2</v>
      </c>
      <c r="R53" s="5">
        <f t="shared" si="34"/>
        <v>1.6689847009735637E-2</v>
      </c>
      <c r="S53" s="5">
        <f t="shared" si="35"/>
        <v>-0.88888888888888884</v>
      </c>
      <c r="T53" s="5">
        <f t="shared" si="30"/>
        <v>-0.2052681539008735</v>
      </c>
    </row>
    <row r="54" spans="2:20" x14ac:dyDescent="0.15">
      <c r="B54" s="17">
        <v>43091</v>
      </c>
      <c r="C54" s="1">
        <v>65.040000000000006</v>
      </c>
      <c r="D54" s="5">
        <v>3.28</v>
      </c>
      <c r="E54" s="1">
        <v>2102.94</v>
      </c>
      <c r="F54" s="1">
        <v>21.11</v>
      </c>
      <c r="G54" s="1">
        <v>-0.25</v>
      </c>
      <c r="H54" s="4">
        <v>11719757</v>
      </c>
      <c r="I54" s="29">
        <f t="shared" si="24"/>
        <v>63.517499999999998</v>
      </c>
      <c r="J54" s="29">
        <f t="shared" si="25"/>
        <v>1.7449999999999999</v>
      </c>
      <c r="K54" s="29">
        <f t="shared" si="26"/>
        <v>2129.0349999999999</v>
      </c>
      <c r="L54" s="29">
        <f t="shared" si="27"/>
        <v>21.86</v>
      </c>
      <c r="M54" s="29">
        <f t="shared" si="28"/>
        <v>-0.52500000000000002</v>
      </c>
      <c r="N54" s="4">
        <f t="shared" si="29"/>
        <v>13641525.269230768</v>
      </c>
      <c r="O54" s="5">
        <f t="shared" si="31"/>
        <v>2.8300395256917188E-2</v>
      </c>
      <c r="P54" s="5">
        <f t="shared" si="32"/>
        <v>1.3768115942028984</v>
      </c>
      <c r="Q54" s="5">
        <f t="shared" si="33"/>
        <v>-1.914654452679343E-2</v>
      </c>
      <c r="R54" s="5">
        <f t="shared" si="34"/>
        <v>-3.7391700866393096E-2</v>
      </c>
      <c r="S54" s="5">
        <f t="shared" si="35"/>
        <v>4</v>
      </c>
      <c r="T54" s="5">
        <f t="shared" si="30"/>
        <v>-0.19380487155676407</v>
      </c>
    </row>
    <row r="55" spans="2:20" x14ac:dyDescent="0.15">
      <c r="B55" s="17">
        <v>43098</v>
      </c>
      <c r="C55" s="1">
        <v>66.62</v>
      </c>
      <c r="D55" s="5">
        <v>3.78</v>
      </c>
      <c r="E55" s="1">
        <v>2109.7399999999998</v>
      </c>
      <c r="F55" s="1">
        <v>21.21</v>
      </c>
      <c r="G55" s="1">
        <v>-0.5</v>
      </c>
      <c r="H55" s="4">
        <v>8962554</v>
      </c>
      <c r="I55" s="29">
        <f t="shared" si="24"/>
        <v>63.844999999999999</v>
      </c>
      <c r="J55" s="29">
        <f t="shared" si="25"/>
        <v>1.8899999999999997</v>
      </c>
      <c r="K55" s="29">
        <f t="shared" si="26"/>
        <v>2114.4775</v>
      </c>
      <c r="L55" s="29">
        <f t="shared" si="27"/>
        <v>21.517500000000002</v>
      </c>
      <c r="M55" s="29">
        <f t="shared" si="28"/>
        <v>-0.375</v>
      </c>
      <c r="N55" s="4">
        <f t="shared" si="29"/>
        <v>13446488.769230768</v>
      </c>
      <c r="O55" s="5">
        <f t="shared" si="31"/>
        <v>2.4292742927429334E-2</v>
      </c>
      <c r="P55" s="5">
        <f t="shared" si="32"/>
        <v>0.15243902439024382</v>
      </c>
      <c r="Q55" s="5">
        <f t="shared" si="33"/>
        <v>3.2335682425554957E-3</v>
      </c>
      <c r="R55" s="5">
        <f t="shared" si="34"/>
        <v>4.7370914258646479E-3</v>
      </c>
      <c r="S55" s="5">
        <f t="shared" si="35"/>
        <v>1</v>
      </c>
      <c r="T55" s="5">
        <f t="shared" si="30"/>
        <v>-0.23526110652294241</v>
      </c>
    </row>
    <row r="56" spans="2:20" x14ac:dyDescent="0.15">
      <c r="B56" s="17">
        <v>43105</v>
      </c>
      <c r="C56" s="1">
        <v>67.790000000000006</v>
      </c>
      <c r="D56" s="5">
        <v>3.22</v>
      </c>
      <c r="E56" s="1">
        <v>2207.41</v>
      </c>
      <c r="F56" s="1">
        <v>22.66</v>
      </c>
      <c r="G56" s="1">
        <v>-0.65</v>
      </c>
      <c r="H56" s="4">
        <v>14081845</v>
      </c>
      <c r="I56" s="29">
        <f t="shared" si="24"/>
        <v>64.575000000000003</v>
      </c>
      <c r="J56" s="29">
        <f t="shared" si="25"/>
        <v>2.3224999999999998</v>
      </c>
      <c r="K56" s="29">
        <f t="shared" si="26"/>
        <v>2115.415</v>
      </c>
      <c r="L56" s="29">
        <f t="shared" si="27"/>
        <v>21.454999999999998</v>
      </c>
      <c r="M56" s="29">
        <f t="shared" si="28"/>
        <v>-0.3125</v>
      </c>
      <c r="N56" s="4">
        <f t="shared" si="29"/>
        <v>13377822.769230768</v>
      </c>
      <c r="O56" s="5">
        <f t="shared" si="31"/>
        <v>1.7562293605523971E-2</v>
      </c>
      <c r="P56" s="5">
        <f t="shared" si="32"/>
        <v>-0.14814814814814803</v>
      </c>
      <c r="Q56" s="5">
        <f t="shared" si="33"/>
        <v>4.6294804099083375E-2</v>
      </c>
      <c r="R56" s="5">
        <f t="shared" si="34"/>
        <v>6.8363979255068319E-2</v>
      </c>
      <c r="S56" s="5">
        <f t="shared" si="35"/>
        <v>0.30000000000000004</v>
      </c>
      <c r="T56" s="5">
        <f t="shared" si="30"/>
        <v>0.571186628275824</v>
      </c>
    </row>
    <row r="57" spans="2:20" x14ac:dyDescent="0.15">
      <c r="B57" s="17">
        <v>43112</v>
      </c>
      <c r="C57" s="1">
        <v>69.81</v>
      </c>
      <c r="D57" s="5">
        <v>1.59</v>
      </c>
      <c r="E57" s="1">
        <v>2262.38</v>
      </c>
      <c r="F57" s="1">
        <v>23.31</v>
      </c>
      <c r="G57" s="1">
        <v>-0.6</v>
      </c>
      <c r="H57" s="4">
        <v>13774279</v>
      </c>
      <c r="I57" s="29">
        <f t="shared" si="24"/>
        <v>65.675000000000011</v>
      </c>
      <c r="J57" s="29">
        <f t="shared" si="25"/>
        <v>2.915</v>
      </c>
      <c r="K57" s="29">
        <f t="shared" si="26"/>
        <v>2141.02</v>
      </c>
      <c r="L57" s="29">
        <f t="shared" si="27"/>
        <v>21.727499999999999</v>
      </c>
      <c r="M57" s="29">
        <f t="shared" si="28"/>
        <v>-0.36250000000000004</v>
      </c>
      <c r="N57" s="4">
        <f t="shared" si="29"/>
        <v>12325319.519230768</v>
      </c>
      <c r="O57" s="5">
        <f t="shared" si="31"/>
        <v>2.9797905295766203E-2</v>
      </c>
      <c r="P57" s="5">
        <f t="shared" si="32"/>
        <v>-0.50621118012422361</v>
      </c>
      <c r="Q57" s="5">
        <f t="shared" si="33"/>
        <v>2.490248753063562E-2</v>
      </c>
      <c r="R57" s="5">
        <f t="shared" si="34"/>
        <v>2.8684907325684073E-2</v>
      </c>
      <c r="S57" s="5">
        <f t="shared" si="35"/>
        <v>-7.6923076923076983E-2</v>
      </c>
      <c r="T57" s="5">
        <f t="shared" si="30"/>
        <v>-2.1841314117574839E-2</v>
      </c>
    </row>
    <row r="58" spans="2:20" x14ac:dyDescent="0.15">
      <c r="B58" s="17">
        <v>43119</v>
      </c>
      <c r="C58" s="1">
        <v>68.650000000000006</v>
      </c>
      <c r="D58" s="5">
        <v>-0.65</v>
      </c>
      <c r="E58" s="1">
        <v>2286.33</v>
      </c>
      <c r="F58" s="1">
        <v>23.3</v>
      </c>
      <c r="G58" s="1">
        <v>-0.75</v>
      </c>
      <c r="H58" s="4">
        <v>13335076</v>
      </c>
      <c r="I58" s="29">
        <f t="shared" si="24"/>
        <v>67.315000000000012</v>
      </c>
      <c r="J58" s="29">
        <f t="shared" si="25"/>
        <v>2.9674999999999998</v>
      </c>
      <c r="K58" s="29">
        <f t="shared" si="26"/>
        <v>2170.6175000000003</v>
      </c>
      <c r="L58" s="29">
        <f t="shared" si="27"/>
        <v>22.072500000000002</v>
      </c>
      <c r="M58" s="29">
        <f t="shared" si="28"/>
        <v>-0.5</v>
      </c>
      <c r="N58" s="4">
        <f t="shared" si="29"/>
        <v>12134608.75</v>
      </c>
      <c r="O58" s="5">
        <f t="shared" si="31"/>
        <v>-1.6616530583010936E-2</v>
      </c>
      <c r="P58" s="5">
        <f t="shared" si="32"/>
        <v>-1.408805031446541</v>
      </c>
      <c r="Q58" s="5">
        <f t="shared" si="33"/>
        <v>1.0586196836959161E-2</v>
      </c>
      <c r="R58" s="5">
        <f t="shared" si="34"/>
        <v>-4.2900042900029245E-4</v>
      </c>
      <c r="S58" s="5">
        <f t="shared" si="35"/>
        <v>0.25</v>
      </c>
      <c r="T58" s="5">
        <f t="shared" si="30"/>
        <v>-3.1885734273278454E-2</v>
      </c>
    </row>
    <row r="59" spans="2:20" x14ac:dyDescent="0.15">
      <c r="B59" s="17">
        <v>43126</v>
      </c>
      <c r="C59" s="1">
        <v>70.290000000000006</v>
      </c>
      <c r="D59" s="5">
        <v>1.68</v>
      </c>
      <c r="E59" s="1">
        <v>2295.2600000000002</v>
      </c>
      <c r="F59" s="1">
        <v>23.61</v>
      </c>
      <c r="G59" s="1">
        <v>-0.6</v>
      </c>
      <c r="H59" s="4">
        <v>9087010</v>
      </c>
      <c r="I59" s="29">
        <f t="shared" si="24"/>
        <v>68.217500000000001</v>
      </c>
      <c r="J59" s="29">
        <f t="shared" si="25"/>
        <v>1.9849999999999999</v>
      </c>
      <c r="K59" s="29">
        <f t="shared" si="26"/>
        <v>2216.4650000000001</v>
      </c>
      <c r="L59" s="29">
        <f t="shared" si="27"/>
        <v>22.62</v>
      </c>
      <c r="M59" s="29">
        <f t="shared" si="28"/>
        <v>-0.625</v>
      </c>
      <c r="N59" s="4">
        <f t="shared" si="29"/>
        <v>12538438.5</v>
      </c>
      <c r="O59" s="5">
        <f t="shared" si="31"/>
        <v>2.3889293517844079E-2</v>
      </c>
      <c r="P59" s="5">
        <f t="shared" si="32"/>
        <v>-3.5846153846153843</v>
      </c>
      <c r="Q59" s="5">
        <f t="shared" si="33"/>
        <v>3.9058228689647922E-3</v>
      </c>
      <c r="R59" s="5">
        <f t="shared" si="34"/>
        <v>1.3304721030042765E-2</v>
      </c>
      <c r="S59" s="5">
        <f t="shared" si="35"/>
        <v>-0.20000000000000007</v>
      </c>
      <c r="T59" s="5">
        <f t="shared" si="30"/>
        <v>-0.31856331377488967</v>
      </c>
    </row>
    <row r="60" spans="2:20" x14ac:dyDescent="0.15">
      <c r="B60" s="17">
        <v>43133</v>
      </c>
      <c r="C60" s="1">
        <v>68.23</v>
      </c>
      <c r="D60" s="5">
        <v>1.18</v>
      </c>
      <c r="E60" s="1">
        <v>2281.84</v>
      </c>
      <c r="F60" s="1">
        <v>22.98</v>
      </c>
      <c r="G60" s="1">
        <v>-1.1000000000000001</v>
      </c>
      <c r="H60" s="4">
        <v>16106975</v>
      </c>
      <c r="I60" s="29">
        <f t="shared" si="24"/>
        <v>69.135000000000005</v>
      </c>
      <c r="J60" s="29">
        <f t="shared" si="25"/>
        <v>1.46</v>
      </c>
      <c r="K60" s="29">
        <f t="shared" si="26"/>
        <v>2262.8450000000003</v>
      </c>
      <c r="L60" s="29">
        <f t="shared" si="27"/>
        <v>23.22</v>
      </c>
      <c r="M60" s="29">
        <f t="shared" si="28"/>
        <v>-0.65</v>
      </c>
      <c r="N60" s="4">
        <f t="shared" si="29"/>
        <v>12569552.5</v>
      </c>
      <c r="O60" s="5">
        <f t="shared" si="31"/>
        <v>-2.9307156067719498E-2</v>
      </c>
      <c r="P60" s="5">
        <f t="shared" si="32"/>
        <v>-0.29761904761904767</v>
      </c>
      <c r="Q60" s="5">
        <f t="shared" si="33"/>
        <v>-5.846832167161975E-3</v>
      </c>
      <c r="R60" s="5">
        <f t="shared" si="34"/>
        <v>-2.6683608640406531E-2</v>
      </c>
      <c r="S60" s="5">
        <f t="shared" si="35"/>
        <v>0.83333333333333348</v>
      </c>
      <c r="T60" s="5">
        <f t="shared" si="30"/>
        <v>0.77252748703919116</v>
      </c>
    </row>
    <row r="61" spans="2:20" x14ac:dyDescent="0.15">
      <c r="B61" s="17">
        <v>43140</v>
      </c>
      <c r="C61" s="1">
        <v>62.71</v>
      </c>
      <c r="D61" s="5">
        <v>-2.19</v>
      </c>
      <c r="E61" s="1">
        <v>2197.12</v>
      </c>
      <c r="F61" s="1">
        <v>21.67</v>
      </c>
      <c r="G61" s="1">
        <v>-1.6</v>
      </c>
      <c r="H61" s="4">
        <v>11278141</v>
      </c>
      <c r="I61" s="29">
        <f t="shared" si="24"/>
        <v>69.245000000000005</v>
      </c>
      <c r="J61" s="29">
        <f t="shared" si="25"/>
        <v>0.95</v>
      </c>
      <c r="K61" s="29">
        <f t="shared" si="26"/>
        <v>2281.4525000000003</v>
      </c>
      <c r="L61" s="29">
        <f t="shared" si="27"/>
        <v>23.3</v>
      </c>
      <c r="M61" s="29">
        <f t="shared" si="28"/>
        <v>-0.76250000000000007</v>
      </c>
      <c r="N61" s="4">
        <f t="shared" si="29"/>
        <v>13075835</v>
      </c>
      <c r="O61" s="5">
        <f t="shared" si="31"/>
        <v>-8.0902828667741455E-2</v>
      </c>
      <c r="P61" s="5">
        <f t="shared" si="32"/>
        <v>-2.8559322033898304</v>
      </c>
      <c r="Q61" s="5">
        <f t="shared" si="33"/>
        <v>-3.7127931844476492E-2</v>
      </c>
      <c r="R61" s="5">
        <f t="shared" si="34"/>
        <v>-5.7006092254134E-2</v>
      </c>
      <c r="S61" s="5">
        <f t="shared" si="35"/>
        <v>0.45454545454545459</v>
      </c>
      <c r="T61" s="5">
        <f t="shared" si="30"/>
        <v>-0.29979769633962927</v>
      </c>
    </row>
    <row r="62" spans="2:20" x14ac:dyDescent="0.15">
      <c r="B62" s="17">
        <v>43147</v>
      </c>
      <c r="C62" s="1">
        <v>64.900000000000006</v>
      </c>
      <c r="D62" s="5">
        <v>1.96</v>
      </c>
      <c r="E62" s="1">
        <v>2255.27</v>
      </c>
      <c r="F62" s="1">
        <v>22.99</v>
      </c>
      <c r="G62" s="1">
        <v>-2.1</v>
      </c>
      <c r="H62" s="4">
        <v>12592434</v>
      </c>
      <c r="I62" s="29">
        <f t="shared" si="24"/>
        <v>67.47</v>
      </c>
      <c r="J62" s="29">
        <f t="shared" si="25"/>
        <v>5.0000000000000044E-3</v>
      </c>
      <c r="K62" s="29">
        <f t="shared" si="26"/>
        <v>2265.1374999999998</v>
      </c>
      <c r="L62" s="29">
        <f t="shared" si="27"/>
        <v>22.89</v>
      </c>
      <c r="M62" s="29">
        <f t="shared" si="28"/>
        <v>-1.0125000000000002</v>
      </c>
      <c r="N62" s="4">
        <f t="shared" si="29"/>
        <v>12451800.5</v>
      </c>
      <c r="O62" s="5">
        <f t="shared" si="31"/>
        <v>3.4922659862860916E-2</v>
      </c>
      <c r="P62" s="5">
        <f t="shared" si="32"/>
        <v>-1.8949771689497716</v>
      </c>
      <c r="Q62" s="5">
        <f t="shared" si="33"/>
        <v>2.6466465190795319E-2</v>
      </c>
      <c r="R62" s="5">
        <f t="shared" si="34"/>
        <v>6.0913705583756084E-2</v>
      </c>
      <c r="S62" s="5">
        <f t="shared" si="35"/>
        <v>0.3125</v>
      </c>
      <c r="T62" s="5">
        <f t="shared" si="30"/>
        <v>0.11653454235055238</v>
      </c>
    </row>
    <row r="63" spans="2:20" hidden="1" x14ac:dyDescent="0.15">
      <c r="B63" s="17">
        <v>43154</v>
      </c>
      <c r="C63" s="1">
        <v>67.099999999999994</v>
      </c>
      <c r="D63" s="1">
        <v>4.8499999999999996</v>
      </c>
      <c r="E63" s="1" t="s">
        <v>34</v>
      </c>
      <c r="F63" s="1">
        <v>23.76</v>
      </c>
      <c r="G63" s="1">
        <v>-2.4</v>
      </c>
      <c r="H63" s="4">
        <v>13182709</v>
      </c>
      <c r="I63" s="29">
        <f t="shared" ref="I63:I67" si="36">AVERAGE(C59:C62)</f>
        <v>66.532499999999999</v>
      </c>
      <c r="J63" s="29">
        <f t="shared" ref="J63:J67" si="37">AVERAGE(D59:D62)</f>
        <v>0.65749999999999997</v>
      </c>
      <c r="K63" s="29">
        <f t="shared" ref="K63:K67" si="38">AVERAGE(E59:E62)</f>
        <v>2257.3724999999999</v>
      </c>
      <c r="L63" s="29">
        <f t="shared" ref="L63:L67" si="39">AVERAGE(F59:F62)</f>
        <v>22.8125</v>
      </c>
      <c r="M63" s="29">
        <f t="shared" ref="M63:M67" si="40">AVERAGE(G59:G62)</f>
        <v>-1.35</v>
      </c>
      <c r="N63" s="4">
        <f t="shared" ref="N63:N67" si="41">AVERAGE(H59:H62)</f>
        <v>12266140</v>
      </c>
      <c r="O63" s="5">
        <f>IFERROR(C63/C62-1,0)</f>
        <v>3.3898305084745672E-2</v>
      </c>
      <c r="P63" s="5">
        <f>IFERROR(D63/D62-1,0)</f>
        <v>1.4744897959183674</v>
      </c>
      <c r="Q63" s="5">
        <f>IFERROR(E63/E62-1,0)</f>
        <v>0</v>
      </c>
      <c r="R63" s="5">
        <f>IFERROR(F63/F62-1,0)</f>
        <v>3.3492822966507241E-2</v>
      </c>
      <c r="S63" s="5">
        <f>IFERROR(G63/G62-1,0)</f>
        <v>0.14285714285714279</v>
      </c>
      <c r="T63" s="5">
        <f t="shared" ref="T63:T67" si="42">IFERROR(H63/H62-1,0)</f>
        <v>4.6875369765686292E-2</v>
      </c>
    </row>
    <row r="64" spans="2:20" x14ac:dyDescent="0.15">
      <c r="B64" s="17">
        <v>43161</v>
      </c>
      <c r="C64" s="1">
        <v>64.56</v>
      </c>
      <c r="D64" s="5">
        <v>0.21507515499999999</v>
      </c>
      <c r="E64" s="1">
        <v>2288.84</v>
      </c>
      <c r="F64" s="1">
        <v>23.25</v>
      </c>
      <c r="G64" s="1">
        <v>-2.25</v>
      </c>
      <c r="H64" s="4">
        <v>12167924</v>
      </c>
      <c r="I64" s="29">
        <f t="shared" si="36"/>
        <v>65.734999999999999</v>
      </c>
      <c r="J64" s="29">
        <f t="shared" si="37"/>
        <v>1.45</v>
      </c>
      <c r="K64" s="29">
        <f t="shared" si="38"/>
        <v>2244.7433333333333</v>
      </c>
      <c r="L64" s="29">
        <f t="shared" si="39"/>
        <v>22.85</v>
      </c>
      <c r="M64" s="29">
        <f t="shared" si="40"/>
        <v>-1.8000000000000003</v>
      </c>
      <c r="N64" s="4">
        <f t="shared" si="41"/>
        <v>13290064.75</v>
      </c>
      <c r="O64" s="5">
        <f t="shared" ref="O64:O67" si="43">IFERROR(C64/C63-1,0)</f>
        <v>-3.7853949329359038E-2</v>
      </c>
      <c r="P64" s="5">
        <f t="shared" ref="P64:P67" si="44">IFERROR(D64/D63-1,0)</f>
        <v>-0.95565460721649487</v>
      </c>
      <c r="Q64" s="5">
        <f t="shared" ref="Q64:Q67" si="45">IFERROR(E64/E63-1,0)</f>
        <v>0</v>
      </c>
      <c r="R64" s="5">
        <f t="shared" ref="R64:R67" si="46">IFERROR(F64/F63-1,0)</f>
        <v>-2.146464646464652E-2</v>
      </c>
      <c r="S64" s="5">
        <f t="shared" ref="S64:S67" si="47">IFERROR(G64/G63-1,0)</f>
        <v>-6.25E-2</v>
      </c>
      <c r="T64" s="5">
        <f t="shared" si="42"/>
        <v>-7.6978487502075588E-2</v>
      </c>
    </row>
    <row r="65" spans="2:20" x14ac:dyDescent="0.15">
      <c r="B65" s="17">
        <v>43168</v>
      </c>
      <c r="C65" s="1">
        <v>65.489999999999995</v>
      </c>
      <c r="D65" s="5">
        <v>-0.39894137099999999</v>
      </c>
      <c r="E65" s="1">
        <v>2311.69</v>
      </c>
      <c r="F65" s="1">
        <v>23.48</v>
      </c>
      <c r="G65" s="1">
        <v>-2.95</v>
      </c>
      <c r="H65" s="4">
        <v>13440643</v>
      </c>
      <c r="I65" s="29">
        <f t="shared" si="36"/>
        <v>64.817499999999995</v>
      </c>
      <c r="J65" s="29">
        <f t="shared" si="37"/>
        <v>1.2087687887499998</v>
      </c>
      <c r="K65" s="29">
        <f t="shared" si="38"/>
        <v>2247.0766666666664</v>
      </c>
      <c r="L65" s="29">
        <f t="shared" si="39"/>
        <v>22.9175</v>
      </c>
      <c r="M65" s="29">
        <f t="shared" si="40"/>
        <v>-2.0874999999999999</v>
      </c>
      <c r="N65" s="4">
        <f t="shared" si="41"/>
        <v>12305302</v>
      </c>
      <c r="O65" s="5">
        <f t="shared" si="43"/>
        <v>1.4405204460966381E-2</v>
      </c>
      <c r="P65" s="5">
        <f t="shared" si="44"/>
        <v>-2.8548928675652938</v>
      </c>
      <c r="Q65" s="5">
        <f t="shared" si="45"/>
        <v>9.9832229426259911E-3</v>
      </c>
      <c r="R65" s="5">
        <f t="shared" si="46"/>
        <v>9.8924731182796766E-3</v>
      </c>
      <c r="S65" s="5">
        <f t="shared" si="47"/>
        <v>0.31111111111111112</v>
      </c>
      <c r="T65" s="5">
        <f t="shared" si="42"/>
        <v>0.10459623186338107</v>
      </c>
    </row>
    <row r="66" spans="2:20" x14ac:dyDescent="0.15">
      <c r="B66" s="17">
        <v>43175</v>
      </c>
      <c r="C66" s="1">
        <v>65.989999999999995</v>
      </c>
      <c r="D66" s="5">
        <v>0.540032662</v>
      </c>
      <c r="E66" s="1">
        <v>2294.6</v>
      </c>
      <c r="F66" s="1">
        <v>22.81</v>
      </c>
      <c r="G66" s="1">
        <v>-2.1</v>
      </c>
      <c r="H66" s="4">
        <v>11263647</v>
      </c>
      <c r="I66" s="29">
        <f t="shared" si="36"/>
        <v>65.512500000000003</v>
      </c>
      <c r="J66" s="29">
        <f t="shared" si="37"/>
        <v>1.6565334459999999</v>
      </c>
      <c r="K66" s="29">
        <f t="shared" si="38"/>
        <v>2285.2666666666669</v>
      </c>
      <c r="L66" s="29">
        <f t="shared" si="39"/>
        <v>23.37</v>
      </c>
      <c r="M66" s="29">
        <f t="shared" si="40"/>
        <v>-2.4249999999999998</v>
      </c>
      <c r="N66" s="4">
        <f t="shared" si="41"/>
        <v>12845927.5</v>
      </c>
      <c r="O66" s="5">
        <f t="shared" si="43"/>
        <v>7.6347533974652215E-3</v>
      </c>
      <c r="P66" s="5">
        <f t="shared" si="44"/>
        <v>-2.3536642255134779</v>
      </c>
      <c r="Q66" s="5">
        <f t="shared" si="45"/>
        <v>-7.3928597692597409E-3</v>
      </c>
      <c r="R66" s="5">
        <f t="shared" si="46"/>
        <v>-2.8534923339011975E-2</v>
      </c>
      <c r="S66" s="5">
        <f t="shared" si="47"/>
        <v>-0.28813559322033899</v>
      </c>
      <c r="T66" s="5">
        <f t="shared" si="42"/>
        <v>-0.16197111998287583</v>
      </c>
    </row>
    <row r="67" spans="2:20" x14ac:dyDescent="0.15">
      <c r="B67" s="17">
        <v>43182</v>
      </c>
      <c r="C67" s="1">
        <v>70.36</v>
      </c>
      <c r="D67" s="5">
        <v>7.91</v>
      </c>
      <c r="E67" s="1">
        <v>2285.5300000000002</v>
      </c>
      <c r="F67" s="1">
        <v>22.5</v>
      </c>
      <c r="G67" s="1">
        <v>-2</v>
      </c>
      <c r="H67" s="4">
        <v>11993206</v>
      </c>
      <c r="I67" s="29">
        <f t="shared" si="36"/>
        <v>65.784999999999997</v>
      </c>
      <c r="J67" s="29">
        <f t="shared" si="37"/>
        <v>1.3015416114999998</v>
      </c>
      <c r="K67" s="29">
        <f t="shared" si="38"/>
        <v>2298.376666666667</v>
      </c>
      <c r="L67" s="29">
        <f t="shared" si="39"/>
        <v>23.325000000000003</v>
      </c>
      <c r="M67" s="29">
        <f t="shared" si="40"/>
        <v>-2.4250000000000003</v>
      </c>
      <c r="N67" s="4">
        <f t="shared" si="41"/>
        <v>12513730.75</v>
      </c>
      <c r="O67" s="5">
        <f t="shared" si="43"/>
        <v>6.6222154871950378E-2</v>
      </c>
      <c r="P67" s="5">
        <f t="shared" si="44"/>
        <v>13.647262205781177</v>
      </c>
      <c r="Q67" s="5">
        <f t="shared" si="45"/>
        <v>-3.9527586507450696E-3</v>
      </c>
      <c r="R67" s="5">
        <f t="shared" si="46"/>
        <v>-1.3590530469092421E-2</v>
      </c>
      <c r="S67" s="5">
        <f t="shared" si="47"/>
        <v>-4.7619047619047672E-2</v>
      </c>
      <c r="T67" s="5">
        <f t="shared" si="42"/>
        <v>6.4771117205643991E-2</v>
      </c>
    </row>
    <row r="68" spans="2:20" hidden="1" x14ac:dyDescent="0.15">
      <c r="B68" s="17">
        <v>43188</v>
      </c>
      <c r="C68" s="1">
        <v>70.22</v>
      </c>
      <c r="D68" s="1" t="s">
        <v>34</v>
      </c>
      <c r="E68" s="1" t="s">
        <v>34</v>
      </c>
      <c r="F68" s="1">
        <v>22.74</v>
      </c>
      <c r="G68" s="1">
        <v>-2.1</v>
      </c>
      <c r="H68" s="4">
        <v>14103084</v>
      </c>
      <c r="I68" s="29">
        <f t="shared" ref="I68:I116" si="48">AVERAGE(C64:C67)</f>
        <v>66.600000000000009</v>
      </c>
      <c r="J68" s="29">
        <f t="shared" ref="J68:J116" si="49">AVERAGE(D64:D67)</f>
        <v>2.0665416114999999</v>
      </c>
      <c r="K68" s="29">
        <f t="shared" ref="K68:K116" si="50">AVERAGE(E64:E67)</f>
        <v>2295.1650000000004</v>
      </c>
      <c r="L68" s="29">
        <f t="shared" ref="L68:L116" si="51">AVERAGE(F64:F67)</f>
        <v>23.01</v>
      </c>
      <c r="M68" s="29">
        <f t="shared" ref="M68:M116" si="52">AVERAGE(G64:G67)</f>
        <v>-2.3250000000000002</v>
      </c>
      <c r="N68" s="4">
        <f t="shared" ref="N68:N116" si="53">AVERAGE(H64:H67)</f>
        <v>12216355</v>
      </c>
      <c r="O68" s="5">
        <f>IFERROR(C68/C67-1,0)</f>
        <v>-1.9897669130187756E-3</v>
      </c>
      <c r="P68" s="5">
        <f>IFERROR(D68/D67-1,0)</f>
        <v>0</v>
      </c>
      <c r="Q68" s="5">
        <f>IFERROR(E68/E67-1,0)</f>
        <v>0</v>
      </c>
      <c r="R68" s="5">
        <f>IFERROR(F68/F67-1,0)</f>
        <v>1.0666666666666602E-2</v>
      </c>
      <c r="S68" s="5">
        <f>IFERROR(G68/G67-1,0)</f>
        <v>5.0000000000000044E-2</v>
      </c>
      <c r="T68" s="5">
        <f t="shared" ref="T68:T116" si="54">IFERROR(H68/H67-1,0)</f>
        <v>0.17592276827397102</v>
      </c>
    </row>
    <row r="69" spans="2:20" x14ac:dyDescent="0.15">
      <c r="B69" s="17">
        <v>43196</v>
      </c>
      <c r="C69" s="1">
        <v>66.930000000000007</v>
      </c>
      <c r="D69" s="5">
        <v>0.68</v>
      </c>
      <c r="E69" s="1">
        <v>2281.23</v>
      </c>
      <c r="F69" s="1">
        <v>22.37</v>
      </c>
      <c r="G69" s="1">
        <v>-2.25</v>
      </c>
      <c r="H69" s="4">
        <v>14144989</v>
      </c>
      <c r="I69" s="29">
        <f t="shared" si="48"/>
        <v>68.014999999999986</v>
      </c>
      <c r="J69" s="29">
        <f t="shared" si="49"/>
        <v>2.683697097</v>
      </c>
      <c r="K69" s="29">
        <f t="shared" si="50"/>
        <v>2297.2733333333331</v>
      </c>
      <c r="L69" s="29">
        <f t="shared" si="51"/>
        <v>22.882499999999997</v>
      </c>
      <c r="M69" s="29">
        <f t="shared" si="52"/>
        <v>-2.2875000000000001</v>
      </c>
      <c r="N69" s="4">
        <f t="shared" si="53"/>
        <v>12700145</v>
      </c>
      <c r="O69" s="5">
        <f t="shared" ref="O69:O85" si="55">IFERROR(C69/C68-1,0)</f>
        <v>-4.6852748504699449E-2</v>
      </c>
      <c r="P69" s="5">
        <f t="shared" ref="P69:P85" si="56">IFERROR(D69/D68-1,0)</f>
        <v>0</v>
      </c>
      <c r="Q69" s="5">
        <f t="shared" ref="Q69:Q85" si="57">IFERROR(E69/E68-1,0)</f>
        <v>0</v>
      </c>
      <c r="R69" s="5">
        <f t="shared" ref="R69:R85" si="58">IFERROR(F69/F68-1,0)</f>
        <v>-1.6270888302550413E-2</v>
      </c>
      <c r="S69" s="5">
        <f t="shared" ref="S69:S85" si="59">IFERROR(G69/G68-1,0)</f>
        <v>7.1428571428571397E-2</v>
      </c>
      <c r="T69" s="5">
        <f t="shared" si="54"/>
        <v>2.9713359148964003E-3</v>
      </c>
    </row>
    <row r="70" spans="2:20" x14ac:dyDescent="0.15">
      <c r="B70" s="17">
        <v>43203</v>
      </c>
      <c r="C70" s="1">
        <v>72.62</v>
      </c>
      <c r="D70" s="5">
        <v>6.66</v>
      </c>
      <c r="E70" s="1">
        <v>2175.16</v>
      </c>
      <c r="F70" s="1">
        <v>20.38</v>
      </c>
      <c r="G70" s="1">
        <v>-3.2</v>
      </c>
      <c r="H70" s="4">
        <v>12723430</v>
      </c>
      <c r="I70" s="29">
        <f t="shared" si="48"/>
        <v>68.375</v>
      </c>
      <c r="J70" s="29">
        <f t="shared" si="49"/>
        <v>3.0433442206666665</v>
      </c>
      <c r="K70" s="29">
        <f t="shared" si="50"/>
        <v>2287.1200000000003</v>
      </c>
      <c r="L70" s="29">
        <f t="shared" si="51"/>
        <v>22.605</v>
      </c>
      <c r="M70" s="29">
        <f t="shared" si="52"/>
        <v>-2.1124999999999998</v>
      </c>
      <c r="N70" s="4">
        <f t="shared" si="53"/>
        <v>12876231.5</v>
      </c>
      <c r="O70" s="5">
        <f t="shared" si="55"/>
        <v>8.5014193933960813E-2</v>
      </c>
      <c r="P70" s="5">
        <f t="shared" si="56"/>
        <v>8.7941176470588225</v>
      </c>
      <c r="Q70" s="5">
        <f t="shared" si="57"/>
        <v>-4.6496845999745795E-2</v>
      </c>
      <c r="R70" s="5">
        <f t="shared" si="58"/>
        <v>-8.8958426464014417E-2</v>
      </c>
      <c r="S70" s="5">
        <f t="shared" si="59"/>
        <v>0.42222222222222228</v>
      </c>
      <c r="T70" s="5">
        <f t="shared" si="54"/>
        <v>-0.10049912375329528</v>
      </c>
    </row>
    <row r="71" spans="2:20" x14ac:dyDescent="0.15">
      <c r="B71" s="17">
        <v>43210</v>
      </c>
      <c r="C71" s="1">
        <v>73.709999999999994</v>
      </c>
      <c r="D71" s="5">
        <v>3.62</v>
      </c>
      <c r="E71" s="1">
        <v>2232.66</v>
      </c>
      <c r="F71" s="1">
        <v>21</v>
      </c>
      <c r="G71" s="1">
        <v>-3.4</v>
      </c>
      <c r="H71" s="4">
        <v>12269347</v>
      </c>
      <c r="I71" s="29">
        <f t="shared" si="48"/>
        <v>70.032499999999999</v>
      </c>
      <c r="J71" s="29">
        <f t="shared" si="49"/>
        <v>5.083333333333333</v>
      </c>
      <c r="K71" s="29">
        <f t="shared" si="50"/>
        <v>2247.3066666666668</v>
      </c>
      <c r="L71" s="29">
        <f t="shared" si="51"/>
        <v>21.997499999999999</v>
      </c>
      <c r="M71" s="29">
        <f t="shared" si="52"/>
        <v>-2.3875000000000002</v>
      </c>
      <c r="N71" s="4">
        <f t="shared" si="53"/>
        <v>13241177.25</v>
      </c>
      <c r="O71" s="5">
        <f t="shared" si="55"/>
        <v>1.500963921784626E-2</v>
      </c>
      <c r="P71" s="5">
        <f t="shared" si="56"/>
        <v>-0.45645645645645649</v>
      </c>
      <c r="Q71" s="5">
        <f t="shared" si="57"/>
        <v>2.6434836977509812E-2</v>
      </c>
      <c r="R71" s="5">
        <f t="shared" si="58"/>
        <v>3.0421982335623321E-2</v>
      </c>
      <c r="S71" s="5">
        <f t="shared" si="59"/>
        <v>6.25E-2</v>
      </c>
      <c r="T71" s="5">
        <f t="shared" si="54"/>
        <v>-3.5688725445889968E-2</v>
      </c>
    </row>
    <row r="72" spans="2:20" x14ac:dyDescent="0.15">
      <c r="B72" s="17">
        <v>43217</v>
      </c>
      <c r="C72" s="1">
        <v>74.44</v>
      </c>
      <c r="D72" s="5">
        <v>2.4700000000000002</v>
      </c>
      <c r="E72" s="1">
        <v>2301.4899999999998</v>
      </c>
      <c r="F72" s="1">
        <v>21.29</v>
      </c>
      <c r="G72" s="1">
        <v>-3.25</v>
      </c>
      <c r="H72" s="4">
        <v>12173889</v>
      </c>
      <c r="I72" s="29">
        <f t="shared" si="48"/>
        <v>70.87</v>
      </c>
      <c r="J72" s="29">
        <f t="shared" si="49"/>
        <v>3.6533333333333338</v>
      </c>
      <c r="K72" s="29">
        <f t="shared" si="50"/>
        <v>2229.6833333333329</v>
      </c>
      <c r="L72" s="29">
        <f t="shared" si="51"/>
        <v>21.622499999999999</v>
      </c>
      <c r="M72" s="29">
        <f t="shared" si="52"/>
        <v>-2.7374999999999998</v>
      </c>
      <c r="N72" s="4">
        <f t="shared" si="53"/>
        <v>13310212.5</v>
      </c>
      <c r="O72" s="5">
        <f t="shared" si="55"/>
        <v>9.9036765703433005E-3</v>
      </c>
      <c r="P72" s="5">
        <f t="shared" si="56"/>
        <v>-0.31767955801104975</v>
      </c>
      <c r="Q72" s="5">
        <f t="shared" si="57"/>
        <v>3.0828697607338196E-2</v>
      </c>
      <c r="R72" s="5">
        <f t="shared" si="58"/>
        <v>1.3809523809523716E-2</v>
      </c>
      <c r="S72" s="5">
        <f t="shared" si="59"/>
        <v>-4.4117647058823484E-2</v>
      </c>
      <c r="T72" s="5">
        <f t="shared" si="54"/>
        <v>-7.7802021574578939E-3</v>
      </c>
    </row>
    <row r="73" spans="2:20" x14ac:dyDescent="0.15">
      <c r="B73" s="17">
        <v>43224</v>
      </c>
      <c r="C73" s="1">
        <v>75</v>
      </c>
      <c r="D73" s="5">
        <v>1.1100000000000001</v>
      </c>
      <c r="E73" s="1">
        <v>2289.4699999999998</v>
      </c>
      <c r="F73" s="1">
        <v>21.14</v>
      </c>
      <c r="G73" s="1">
        <v>-3.05</v>
      </c>
      <c r="H73" s="4">
        <v>14133569</v>
      </c>
      <c r="I73" s="29">
        <f t="shared" si="48"/>
        <v>71.924999999999997</v>
      </c>
      <c r="J73" s="29">
        <f t="shared" si="49"/>
        <v>3.3575000000000004</v>
      </c>
      <c r="K73" s="29">
        <f t="shared" si="50"/>
        <v>2247.6349999999998</v>
      </c>
      <c r="L73" s="29">
        <f t="shared" si="51"/>
        <v>21.259999999999998</v>
      </c>
      <c r="M73" s="29">
        <f t="shared" si="52"/>
        <v>-3.0249999999999999</v>
      </c>
      <c r="N73" s="4">
        <f t="shared" si="53"/>
        <v>12827913.75</v>
      </c>
      <c r="O73" s="5">
        <f t="shared" si="55"/>
        <v>7.522837184309461E-3</v>
      </c>
      <c r="P73" s="5">
        <f t="shared" si="56"/>
        <v>-0.55060728744939269</v>
      </c>
      <c r="Q73" s="5">
        <f t="shared" si="57"/>
        <v>-5.2227035529157639E-3</v>
      </c>
      <c r="R73" s="5">
        <f t="shared" si="58"/>
        <v>-7.0455612963832293E-3</v>
      </c>
      <c r="S73" s="5">
        <f t="shared" si="59"/>
        <v>-6.1538461538461542E-2</v>
      </c>
      <c r="T73" s="5">
        <f t="shared" si="54"/>
        <v>0.16097403220942796</v>
      </c>
    </row>
    <row r="74" spans="2:20" x14ac:dyDescent="0.15">
      <c r="B74" s="17">
        <v>43231</v>
      </c>
      <c r="C74" s="1">
        <v>77.180000000000007</v>
      </c>
      <c r="D74" s="5">
        <v>5.34</v>
      </c>
      <c r="E74" s="1">
        <v>2345.2600000000002</v>
      </c>
      <c r="F74" s="1">
        <v>21.5</v>
      </c>
      <c r="G74" s="1">
        <v>-2.5</v>
      </c>
      <c r="H74" s="4">
        <v>11336916</v>
      </c>
      <c r="I74" s="29">
        <f t="shared" si="48"/>
        <v>73.942499999999995</v>
      </c>
      <c r="J74" s="29">
        <f t="shared" si="49"/>
        <v>3.4650000000000003</v>
      </c>
      <c r="K74" s="29">
        <f t="shared" si="50"/>
        <v>2249.6949999999997</v>
      </c>
      <c r="L74" s="29">
        <f t="shared" si="51"/>
        <v>20.952500000000001</v>
      </c>
      <c r="M74" s="29">
        <f t="shared" si="52"/>
        <v>-3.2249999999999996</v>
      </c>
      <c r="N74" s="4">
        <f t="shared" si="53"/>
        <v>12825058.75</v>
      </c>
      <c r="O74" s="5">
        <f t="shared" si="55"/>
        <v>2.9066666666666796E-2</v>
      </c>
      <c r="P74" s="5">
        <f t="shared" si="56"/>
        <v>3.8108108108108105</v>
      </c>
      <c r="Q74" s="5">
        <f t="shared" si="57"/>
        <v>2.4368085190022315E-2</v>
      </c>
      <c r="R74" s="5">
        <f t="shared" si="58"/>
        <v>1.7029328287606393E-2</v>
      </c>
      <c r="S74" s="5">
        <f t="shared" si="59"/>
        <v>-0.18032786885245899</v>
      </c>
      <c r="T74" s="5">
        <f t="shared" si="54"/>
        <v>-0.19787309206896009</v>
      </c>
    </row>
    <row r="75" spans="2:20" x14ac:dyDescent="0.15">
      <c r="B75" s="17">
        <v>43238</v>
      </c>
      <c r="C75" s="1">
        <v>78.709999999999994</v>
      </c>
      <c r="D75" s="5">
        <v>4.5999999999999996</v>
      </c>
      <c r="E75" s="1">
        <v>2326.94</v>
      </c>
      <c r="F75" s="1">
        <v>21.35</v>
      </c>
      <c r="G75" s="1">
        <v>-1.55</v>
      </c>
      <c r="H75" s="4">
        <v>11556346</v>
      </c>
      <c r="I75" s="29">
        <f t="shared" si="48"/>
        <v>75.082499999999996</v>
      </c>
      <c r="J75" s="29">
        <f t="shared" si="49"/>
        <v>3.1349999999999998</v>
      </c>
      <c r="K75" s="29">
        <f t="shared" si="50"/>
        <v>2292.2199999999998</v>
      </c>
      <c r="L75" s="29">
        <f t="shared" si="51"/>
        <v>21.232500000000002</v>
      </c>
      <c r="M75" s="29">
        <f t="shared" si="52"/>
        <v>-3.05</v>
      </c>
      <c r="N75" s="4">
        <f t="shared" si="53"/>
        <v>12478430.25</v>
      </c>
      <c r="O75" s="5">
        <f t="shared" si="55"/>
        <v>1.9823788546255328E-2</v>
      </c>
      <c r="P75" s="5">
        <f t="shared" si="56"/>
        <v>-0.13857677902621723</v>
      </c>
      <c r="Q75" s="5">
        <f t="shared" si="57"/>
        <v>-7.811500643851943E-3</v>
      </c>
      <c r="R75" s="5">
        <f t="shared" si="58"/>
        <v>-6.9767441860464352E-3</v>
      </c>
      <c r="S75" s="5">
        <f t="shared" si="59"/>
        <v>-0.38</v>
      </c>
      <c r="T75" s="5">
        <f t="shared" si="54"/>
        <v>1.9355352019896799E-2</v>
      </c>
    </row>
    <row r="76" spans="2:20" x14ac:dyDescent="0.15">
      <c r="B76" s="17">
        <v>43245</v>
      </c>
      <c r="C76" s="1">
        <v>76.33</v>
      </c>
      <c r="D76" s="5">
        <v>-0.72</v>
      </c>
      <c r="E76" s="1">
        <v>2306.5700000000002</v>
      </c>
      <c r="F76" s="1">
        <v>21.27</v>
      </c>
      <c r="G76" s="1">
        <v>-1.2</v>
      </c>
      <c r="H76" s="4">
        <v>10262924</v>
      </c>
      <c r="I76" s="29">
        <f t="shared" si="48"/>
        <v>76.332499999999996</v>
      </c>
      <c r="J76" s="29">
        <f t="shared" si="49"/>
        <v>3.38</v>
      </c>
      <c r="K76" s="29">
        <f t="shared" si="50"/>
        <v>2315.79</v>
      </c>
      <c r="L76" s="29">
        <f t="shared" si="51"/>
        <v>21.32</v>
      </c>
      <c r="M76" s="29">
        <f t="shared" si="52"/>
        <v>-2.5875000000000004</v>
      </c>
      <c r="N76" s="4">
        <f t="shared" si="53"/>
        <v>12300180</v>
      </c>
      <c r="O76" s="5">
        <f t="shared" si="55"/>
        <v>-3.0237580993520474E-2</v>
      </c>
      <c r="P76" s="5">
        <f t="shared" si="56"/>
        <v>-1.1565217391304348</v>
      </c>
      <c r="Q76" s="5">
        <f t="shared" si="57"/>
        <v>-8.753985921424623E-3</v>
      </c>
      <c r="R76" s="5">
        <f t="shared" si="58"/>
        <v>-3.7470725995316645E-3</v>
      </c>
      <c r="S76" s="5">
        <f t="shared" si="59"/>
        <v>-0.22580645161290325</v>
      </c>
      <c r="T76" s="5">
        <f t="shared" si="54"/>
        <v>-0.11192309402989487</v>
      </c>
    </row>
    <row r="77" spans="2:20" x14ac:dyDescent="0.15">
      <c r="B77" s="17">
        <v>43252</v>
      </c>
      <c r="C77" s="1">
        <v>76.709999999999994</v>
      </c>
      <c r="D77" s="5">
        <v>-0.77</v>
      </c>
      <c r="E77" s="1">
        <v>2295.34</v>
      </c>
      <c r="F77" s="1">
        <v>21.4</v>
      </c>
      <c r="G77" s="1">
        <v>-1.35</v>
      </c>
      <c r="H77" s="4">
        <v>11823928</v>
      </c>
      <c r="I77" s="29">
        <f t="shared" si="48"/>
        <v>76.804999999999993</v>
      </c>
      <c r="J77" s="29">
        <f t="shared" si="49"/>
        <v>2.5825</v>
      </c>
      <c r="K77" s="29">
        <f t="shared" si="50"/>
        <v>2317.06</v>
      </c>
      <c r="L77" s="29">
        <f t="shared" si="51"/>
        <v>21.315000000000001</v>
      </c>
      <c r="M77" s="29">
        <f t="shared" si="52"/>
        <v>-2.0749999999999997</v>
      </c>
      <c r="N77" s="4">
        <f t="shared" si="53"/>
        <v>11822438.75</v>
      </c>
      <c r="O77" s="5">
        <f t="shared" si="55"/>
        <v>4.9783833355168117E-3</v>
      </c>
      <c r="P77" s="5">
        <f t="shared" si="56"/>
        <v>6.944444444444442E-2</v>
      </c>
      <c r="Q77" s="5">
        <f t="shared" si="57"/>
        <v>-4.8687011449901618E-3</v>
      </c>
      <c r="R77" s="5">
        <f t="shared" si="58"/>
        <v>6.11189468735307E-3</v>
      </c>
      <c r="S77" s="5">
        <f t="shared" si="59"/>
        <v>0.12500000000000022</v>
      </c>
      <c r="T77" s="5">
        <f t="shared" si="54"/>
        <v>0.15210129199046984</v>
      </c>
    </row>
    <row r="78" spans="2:20" x14ac:dyDescent="0.15">
      <c r="B78" s="17">
        <v>43259</v>
      </c>
      <c r="C78" s="1">
        <v>76.34</v>
      </c>
      <c r="D78" s="5">
        <v>2.1800000000000002</v>
      </c>
      <c r="E78" s="1">
        <v>2267.92</v>
      </c>
      <c r="F78" s="1">
        <v>21.02</v>
      </c>
      <c r="G78" s="1">
        <v>-1.35</v>
      </c>
      <c r="H78" s="4">
        <v>12705100</v>
      </c>
      <c r="I78" s="29">
        <f t="shared" si="48"/>
        <v>77.232499999999987</v>
      </c>
      <c r="J78" s="29">
        <f t="shared" si="49"/>
        <v>2.1124999999999998</v>
      </c>
      <c r="K78" s="29">
        <f t="shared" si="50"/>
        <v>2318.5275000000001</v>
      </c>
      <c r="L78" s="29">
        <f t="shared" si="51"/>
        <v>21.380000000000003</v>
      </c>
      <c r="M78" s="29">
        <f t="shared" si="52"/>
        <v>-1.65</v>
      </c>
      <c r="N78" s="4">
        <f t="shared" si="53"/>
        <v>11245028.5</v>
      </c>
      <c r="O78" s="5">
        <f t="shared" si="55"/>
        <v>-4.8233607091642261E-3</v>
      </c>
      <c r="P78" s="5">
        <f t="shared" si="56"/>
        <v>-3.8311688311688314</v>
      </c>
      <c r="Q78" s="5">
        <f t="shared" si="57"/>
        <v>-1.1945942649019381E-2</v>
      </c>
      <c r="R78" s="5">
        <f t="shared" si="58"/>
        <v>-1.7757009345794383E-2</v>
      </c>
      <c r="S78" s="5">
        <f t="shared" si="59"/>
        <v>0</v>
      </c>
      <c r="T78" s="5">
        <f t="shared" si="54"/>
        <v>7.4524472747127701E-2</v>
      </c>
    </row>
    <row r="79" spans="2:20" x14ac:dyDescent="0.15">
      <c r="B79" s="17">
        <v>43266</v>
      </c>
      <c r="C79" s="1">
        <v>73</v>
      </c>
      <c r="D79" s="5">
        <v>-0.23</v>
      </c>
      <c r="E79" s="1">
        <v>2237.5300000000002</v>
      </c>
      <c r="F79" s="1">
        <v>20.37</v>
      </c>
      <c r="G79" s="1">
        <v>-1.8</v>
      </c>
      <c r="H79" s="4">
        <v>12154550</v>
      </c>
      <c r="I79" s="29">
        <f t="shared" si="48"/>
        <v>77.022500000000008</v>
      </c>
      <c r="J79" s="29">
        <f t="shared" si="49"/>
        <v>1.3225</v>
      </c>
      <c r="K79" s="29">
        <f t="shared" si="50"/>
        <v>2299.1925000000001</v>
      </c>
      <c r="L79" s="29">
        <f t="shared" si="51"/>
        <v>21.26</v>
      </c>
      <c r="M79" s="29">
        <f t="shared" si="52"/>
        <v>-1.3624999999999998</v>
      </c>
      <c r="N79" s="4">
        <f t="shared" si="53"/>
        <v>11587074.5</v>
      </c>
      <c r="O79" s="5">
        <f t="shared" si="55"/>
        <v>-4.3751637411579836E-2</v>
      </c>
      <c r="P79" s="5">
        <f t="shared" si="56"/>
        <v>-1.1055045871559632</v>
      </c>
      <c r="Q79" s="5">
        <f t="shared" si="57"/>
        <v>-1.3399943560619354E-2</v>
      </c>
      <c r="R79" s="5">
        <f t="shared" si="58"/>
        <v>-3.0922930542340521E-2</v>
      </c>
      <c r="S79" s="5">
        <f t="shared" si="59"/>
        <v>0.33333333333333326</v>
      </c>
      <c r="T79" s="5">
        <f t="shared" si="54"/>
        <v>-4.333299226294951E-2</v>
      </c>
    </row>
    <row r="80" spans="2:20" x14ac:dyDescent="0.15">
      <c r="B80" s="17">
        <v>43273</v>
      </c>
      <c r="C80" s="1">
        <v>75.53</v>
      </c>
      <c r="D80" s="5">
        <v>0.4</v>
      </c>
      <c r="E80" s="1">
        <v>2249.6799999999998</v>
      </c>
      <c r="F80" s="1">
        <v>20.88</v>
      </c>
      <c r="G80" s="1">
        <v>-1.95</v>
      </c>
      <c r="H80" s="4">
        <v>11872963</v>
      </c>
      <c r="I80" s="29">
        <f t="shared" si="48"/>
        <v>75.594999999999999</v>
      </c>
      <c r="J80" s="29">
        <f t="shared" si="49"/>
        <v>0.11500000000000005</v>
      </c>
      <c r="K80" s="29">
        <f t="shared" si="50"/>
        <v>2276.84</v>
      </c>
      <c r="L80" s="29">
        <f t="shared" si="51"/>
        <v>21.015000000000001</v>
      </c>
      <c r="M80" s="29">
        <f t="shared" si="52"/>
        <v>-1.425</v>
      </c>
      <c r="N80" s="4">
        <f t="shared" si="53"/>
        <v>11736625.5</v>
      </c>
      <c r="O80" s="5">
        <f t="shared" si="55"/>
        <v>3.4657534246575361E-2</v>
      </c>
      <c r="P80" s="5">
        <f t="shared" si="56"/>
        <v>-2.7391304347826084</v>
      </c>
      <c r="Q80" s="5">
        <f t="shared" si="57"/>
        <v>5.4300947920249421E-3</v>
      </c>
      <c r="R80" s="5">
        <f t="shared" si="58"/>
        <v>2.5036818851251752E-2</v>
      </c>
      <c r="S80" s="5">
        <f t="shared" si="59"/>
        <v>8.3333333333333259E-2</v>
      </c>
      <c r="T80" s="5">
        <f t="shared" si="54"/>
        <v>-2.3167208987580734E-2</v>
      </c>
    </row>
    <row r="81" spans="2:20" x14ac:dyDescent="0.15">
      <c r="B81" s="17">
        <v>43280</v>
      </c>
      <c r="C81" s="1">
        <v>79.42</v>
      </c>
      <c r="D81" s="5">
        <v>4.83</v>
      </c>
      <c r="E81" s="1">
        <v>2295.9499999999998</v>
      </c>
      <c r="F81" s="1">
        <v>21.24</v>
      </c>
      <c r="G81" s="1">
        <v>-1.45</v>
      </c>
      <c r="H81" s="4">
        <v>8501131</v>
      </c>
      <c r="I81" s="29">
        <f t="shared" si="48"/>
        <v>75.39500000000001</v>
      </c>
      <c r="J81" s="29">
        <f t="shared" si="49"/>
        <v>0.39500000000000002</v>
      </c>
      <c r="K81" s="29">
        <f t="shared" si="50"/>
        <v>2262.6175000000003</v>
      </c>
      <c r="L81" s="29">
        <f t="shared" si="51"/>
        <v>20.9175</v>
      </c>
      <c r="M81" s="29">
        <f t="shared" si="52"/>
        <v>-1.6125</v>
      </c>
      <c r="N81" s="4">
        <f t="shared" si="53"/>
        <v>12139135.25</v>
      </c>
      <c r="O81" s="5">
        <f t="shared" si="55"/>
        <v>5.1502714153316642E-2</v>
      </c>
      <c r="P81" s="5">
        <f t="shared" si="56"/>
        <v>11.074999999999999</v>
      </c>
      <c r="Q81" s="5">
        <f t="shared" si="57"/>
        <v>2.0567369581451667E-2</v>
      </c>
      <c r="R81" s="5">
        <f t="shared" si="58"/>
        <v>1.7241379310344751E-2</v>
      </c>
      <c r="S81" s="5">
        <f t="shared" si="59"/>
        <v>-0.25641025641025639</v>
      </c>
      <c r="T81" s="5">
        <f t="shared" si="54"/>
        <v>-0.28399246253862664</v>
      </c>
    </row>
    <row r="82" spans="2:20" x14ac:dyDescent="0.15">
      <c r="B82" s="17">
        <v>43287</v>
      </c>
      <c r="C82" s="1">
        <v>77.290000000000006</v>
      </c>
      <c r="D82" s="5">
        <v>2.1800000000000002</v>
      </c>
      <c r="E82" s="1">
        <v>2345.38</v>
      </c>
      <c r="F82" s="1">
        <v>21.81</v>
      </c>
      <c r="G82" s="1">
        <v>-1.95</v>
      </c>
      <c r="H82" s="4">
        <v>12932098</v>
      </c>
      <c r="I82" s="29">
        <f t="shared" si="48"/>
        <v>76.072500000000005</v>
      </c>
      <c r="J82" s="29">
        <f t="shared" si="49"/>
        <v>1.7949999999999999</v>
      </c>
      <c r="K82" s="29">
        <f t="shared" si="50"/>
        <v>2262.7700000000004</v>
      </c>
      <c r="L82" s="29">
        <f t="shared" si="51"/>
        <v>20.877499999999998</v>
      </c>
      <c r="M82" s="29">
        <f t="shared" si="52"/>
        <v>-1.6375000000000002</v>
      </c>
      <c r="N82" s="4">
        <f t="shared" si="53"/>
        <v>11308436</v>
      </c>
      <c r="O82" s="5">
        <f t="shared" si="55"/>
        <v>-2.6819440946864725E-2</v>
      </c>
      <c r="P82" s="5">
        <f t="shared" si="56"/>
        <v>-0.54865424430641818</v>
      </c>
      <c r="Q82" s="5">
        <f t="shared" si="57"/>
        <v>2.1529214486378345E-2</v>
      </c>
      <c r="R82" s="5">
        <f t="shared" si="58"/>
        <v>2.6836158192090398E-2</v>
      </c>
      <c r="S82" s="5">
        <f t="shared" si="59"/>
        <v>0.34482758620689657</v>
      </c>
      <c r="T82" s="5">
        <f t="shared" si="54"/>
        <v>0.52122088225672569</v>
      </c>
    </row>
    <row r="83" spans="2:20" x14ac:dyDescent="0.15">
      <c r="B83" s="17">
        <v>43294</v>
      </c>
      <c r="C83" s="1">
        <v>74.92</v>
      </c>
      <c r="D83" s="5">
        <v>0.75</v>
      </c>
      <c r="E83" s="1">
        <v>2346.4299999999998</v>
      </c>
      <c r="F83" s="1">
        <v>21.79</v>
      </c>
      <c r="G83" s="1">
        <v>-2.25</v>
      </c>
      <c r="H83" s="4">
        <v>14682023</v>
      </c>
      <c r="I83" s="29">
        <f t="shared" si="48"/>
        <v>76.31</v>
      </c>
      <c r="J83" s="29">
        <f t="shared" si="49"/>
        <v>1.7949999999999999</v>
      </c>
      <c r="K83" s="29">
        <f t="shared" si="50"/>
        <v>2282.1350000000002</v>
      </c>
      <c r="L83" s="29">
        <f t="shared" si="51"/>
        <v>21.074999999999999</v>
      </c>
      <c r="M83" s="29">
        <f t="shared" si="52"/>
        <v>-1.7875000000000001</v>
      </c>
      <c r="N83" s="4">
        <f t="shared" si="53"/>
        <v>11365185.5</v>
      </c>
      <c r="O83" s="5">
        <f t="shared" si="55"/>
        <v>-3.0663733988873121E-2</v>
      </c>
      <c r="P83" s="5">
        <f t="shared" si="56"/>
        <v>-0.65596330275229353</v>
      </c>
      <c r="Q83" s="5">
        <f t="shared" si="57"/>
        <v>4.4768864746846937E-4</v>
      </c>
      <c r="R83" s="5">
        <f t="shared" si="58"/>
        <v>-9.1701054562121076E-4</v>
      </c>
      <c r="S83" s="5">
        <f t="shared" si="59"/>
        <v>0.15384615384615397</v>
      </c>
      <c r="T83" s="5">
        <f t="shared" si="54"/>
        <v>0.13531640419056523</v>
      </c>
    </row>
    <row r="84" spans="2:20" x14ac:dyDescent="0.15">
      <c r="B84" s="17">
        <v>43301</v>
      </c>
      <c r="C84" s="1">
        <v>73</v>
      </c>
      <c r="D84" s="5">
        <v>1.89</v>
      </c>
      <c r="E84" s="1">
        <v>2247.8200000000002</v>
      </c>
      <c r="F84" s="1">
        <v>21.04</v>
      </c>
      <c r="G84" s="1">
        <v>-2.2000000000000002</v>
      </c>
      <c r="H84" s="4">
        <v>10249712</v>
      </c>
      <c r="I84" s="29">
        <f t="shared" si="48"/>
        <v>76.790000000000006</v>
      </c>
      <c r="J84" s="29">
        <f t="shared" si="49"/>
        <v>2.04</v>
      </c>
      <c r="K84" s="29">
        <f t="shared" si="50"/>
        <v>2309.3599999999997</v>
      </c>
      <c r="L84" s="29">
        <f t="shared" si="51"/>
        <v>21.43</v>
      </c>
      <c r="M84" s="29">
        <f t="shared" si="52"/>
        <v>-1.9</v>
      </c>
      <c r="N84" s="4">
        <f t="shared" si="53"/>
        <v>11997053.75</v>
      </c>
      <c r="O84" s="5">
        <f t="shared" si="55"/>
        <v>-2.562733582487986E-2</v>
      </c>
      <c r="P84" s="5">
        <f t="shared" si="56"/>
        <v>1.52</v>
      </c>
      <c r="Q84" s="5">
        <f t="shared" si="57"/>
        <v>-4.2025545189926738E-2</v>
      </c>
      <c r="R84" s="5">
        <f t="shared" si="58"/>
        <v>-3.4419458467186748E-2</v>
      </c>
      <c r="S84" s="5">
        <f t="shared" si="59"/>
        <v>-2.2222222222222143E-2</v>
      </c>
      <c r="T84" s="5">
        <f t="shared" si="54"/>
        <v>-0.30188694023977491</v>
      </c>
    </row>
    <row r="85" spans="2:20" x14ac:dyDescent="0.15">
      <c r="B85" s="17">
        <v>43308</v>
      </c>
      <c r="C85" s="1">
        <v>74.39</v>
      </c>
      <c r="D85" s="5">
        <v>7.07</v>
      </c>
      <c r="E85" s="1">
        <v>2292.7199999999998</v>
      </c>
      <c r="F85" s="1">
        <v>21.4</v>
      </c>
      <c r="G85" s="1">
        <v>-1.35</v>
      </c>
      <c r="H85" s="4">
        <v>12178792</v>
      </c>
      <c r="I85" s="29">
        <f t="shared" si="48"/>
        <v>76.157499999999999</v>
      </c>
      <c r="J85" s="29">
        <f t="shared" si="49"/>
        <v>2.4125000000000001</v>
      </c>
      <c r="K85" s="29">
        <f t="shared" si="50"/>
        <v>2308.895</v>
      </c>
      <c r="L85" s="29">
        <f t="shared" si="51"/>
        <v>21.47</v>
      </c>
      <c r="M85" s="29">
        <f t="shared" si="52"/>
        <v>-1.9625000000000001</v>
      </c>
      <c r="N85" s="4">
        <f t="shared" si="53"/>
        <v>11591241</v>
      </c>
      <c r="O85" s="5">
        <f t="shared" si="55"/>
        <v>1.9041095890411031E-2</v>
      </c>
      <c r="P85" s="5">
        <f t="shared" si="56"/>
        <v>2.7407407407407409</v>
      </c>
      <c r="Q85" s="5">
        <f t="shared" si="57"/>
        <v>1.9974909022964393E-2</v>
      </c>
      <c r="R85" s="5">
        <f t="shared" si="58"/>
        <v>1.7110266159695797E-2</v>
      </c>
      <c r="S85" s="5">
        <f t="shared" si="59"/>
        <v>-0.38636363636363635</v>
      </c>
      <c r="T85" s="5">
        <f t="shared" si="54"/>
        <v>0.18820821502106599</v>
      </c>
    </row>
    <row r="86" spans="2:20" hidden="1" x14ac:dyDescent="0.15">
      <c r="B86" s="17">
        <v>43315</v>
      </c>
      <c r="C86" s="1">
        <v>73.42</v>
      </c>
      <c r="D86" s="1" t="s">
        <v>34</v>
      </c>
      <c r="E86" s="1">
        <v>2297.9899999999998</v>
      </c>
      <c r="F86" s="1">
        <v>21.21</v>
      </c>
      <c r="G86" s="1">
        <v>-1.6</v>
      </c>
      <c r="H86" s="4">
        <v>14978577</v>
      </c>
      <c r="I86" s="29">
        <f t="shared" si="48"/>
        <v>74.900000000000006</v>
      </c>
      <c r="J86" s="29">
        <f t="shared" si="49"/>
        <v>2.9725000000000001</v>
      </c>
      <c r="K86" s="29">
        <f t="shared" si="50"/>
        <v>2308.0874999999996</v>
      </c>
      <c r="L86" s="29">
        <f t="shared" si="51"/>
        <v>21.509999999999998</v>
      </c>
      <c r="M86" s="29">
        <f t="shared" si="52"/>
        <v>-1.9375</v>
      </c>
      <c r="N86" s="4">
        <f t="shared" si="53"/>
        <v>12510656.25</v>
      </c>
      <c r="O86" s="5">
        <f>IFERROR(C86/C85-1,0)</f>
        <v>-1.3039387014383674E-2</v>
      </c>
      <c r="P86" s="5">
        <f>IFERROR(D86/D85-1,0)</f>
        <v>0</v>
      </c>
      <c r="Q86" s="5">
        <f>IFERROR(E86/E85-1,0)</f>
        <v>2.2985798527512813E-3</v>
      </c>
      <c r="R86" s="5">
        <f>IFERROR(F86/F85-1,0)</f>
        <v>-8.8785046728970807E-3</v>
      </c>
      <c r="S86" s="5">
        <f>IFERROR(G86/G85-1,0)</f>
        <v>0.18518518518518512</v>
      </c>
      <c r="T86" s="5">
        <f t="shared" si="54"/>
        <v>0.22989020585949738</v>
      </c>
    </row>
    <row r="87" spans="2:20" x14ac:dyDescent="0.15">
      <c r="B87" s="17">
        <v>43322</v>
      </c>
      <c r="C87" s="1">
        <v>72.959999999999994</v>
      </c>
      <c r="D87" s="5">
        <v>3.58</v>
      </c>
      <c r="E87" s="1">
        <v>2275.0500000000002</v>
      </c>
      <c r="F87" s="1">
        <v>19.579999999999998</v>
      </c>
      <c r="G87" s="1">
        <v>-1.1000000000000001</v>
      </c>
      <c r="H87" s="4">
        <v>10403537</v>
      </c>
      <c r="I87" s="29">
        <f t="shared" si="48"/>
        <v>73.932500000000005</v>
      </c>
      <c r="J87" s="29">
        <f t="shared" si="49"/>
        <v>3.2366666666666668</v>
      </c>
      <c r="K87" s="29">
        <f t="shared" si="50"/>
        <v>2296.2399999999998</v>
      </c>
      <c r="L87" s="29">
        <f t="shared" si="51"/>
        <v>21.36</v>
      </c>
      <c r="M87" s="29">
        <f t="shared" si="52"/>
        <v>-1.85</v>
      </c>
      <c r="N87" s="4">
        <f t="shared" si="53"/>
        <v>13022276</v>
      </c>
      <c r="O87" s="5">
        <f t="shared" ref="O87:O98" si="60">IFERROR(C87/C86-1,0)</f>
        <v>-6.265322800326989E-3</v>
      </c>
      <c r="P87" s="5">
        <f t="shared" ref="P87:P98" si="61">IFERROR(D87/D86-1,0)</f>
        <v>0</v>
      </c>
      <c r="Q87" s="5">
        <f t="shared" ref="Q87:Q98" si="62">IFERROR(E87/E86-1,0)</f>
        <v>-9.9826370001608877E-3</v>
      </c>
      <c r="R87" s="5">
        <f t="shared" ref="R87:R98" si="63">IFERROR(F87/F86-1,0)</f>
        <v>-7.6850542197076988E-2</v>
      </c>
      <c r="S87" s="5">
        <f t="shared" ref="S87:S98" si="64">IFERROR(G87/G86-1,0)</f>
        <v>-0.3125</v>
      </c>
      <c r="T87" s="5">
        <f t="shared" si="54"/>
        <v>-0.30543889449578554</v>
      </c>
    </row>
    <row r="88" spans="2:20" x14ac:dyDescent="0.15">
      <c r="B88" s="17">
        <v>43329</v>
      </c>
      <c r="C88" s="1">
        <v>71.86</v>
      </c>
      <c r="D88" s="5">
        <v>4.51</v>
      </c>
      <c r="E88" s="1">
        <v>2255.12</v>
      </c>
      <c r="F88" s="1">
        <v>19.84</v>
      </c>
      <c r="G88" s="1">
        <v>-1</v>
      </c>
      <c r="H88" s="4">
        <v>12594950</v>
      </c>
      <c r="I88" s="29">
        <f t="shared" si="48"/>
        <v>73.442499999999995</v>
      </c>
      <c r="J88" s="29">
        <f t="shared" si="49"/>
        <v>4.1800000000000006</v>
      </c>
      <c r="K88" s="29">
        <f t="shared" si="50"/>
        <v>2278.395</v>
      </c>
      <c r="L88" s="29">
        <f t="shared" si="51"/>
        <v>20.807499999999997</v>
      </c>
      <c r="M88" s="29">
        <f t="shared" si="52"/>
        <v>-1.5625</v>
      </c>
      <c r="N88" s="4">
        <f t="shared" si="53"/>
        <v>11952654.5</v>
      </c>
      <c r="O88" s="5">
        <f t="shared" si="60"/>
        <v>-1.5076754385964786E-2</v>
      </c>
      <c r="P88" s="5">
        <f t="shared" si="61"/>
        <v>0.25977653631284903</v>
      </c>
      <c r="Q88" s="5">
        <f t="shared" si="62"/>
        <v>-8.7602470275379707E-3</v>
      </c>
      <c r="R88" s="5">
        <f t="shared" si="63"/>
        <v>1.3278855975485282E-2</v>
      </c>
      <c r="S88" s="5">
        <f t="shared" si="64"/>
        <v>-9.0909090909090939E-2</v>
      </c>
      <c r="T88" s="5">
        <f t="shared" si="54"/>
        <v>0.2106411502165082</v>
      </c>
    </row>
    <row r="89" spans="2:20" x14ac:dyDescent="0.15">
      <c r="B89" s="17">
        <v>43336</v>
      </c>
      <c r="C89" s="1">
        <v>75.430000000000007</v>
      </c>
      <c r="D89" s="5">
        <v>8.34</v>
      </c>
      <c r="E89" s="1">
        <v>2279.7600000000002</v>
      </c>
      <c r="F89" s="1">
        <v>19.920000000000002</v>
      </c>
      <c r="G89" s="1">
        <v>-0.75</v>
      </c>
      <c r="H89" s="4">
        <v>10299989</v>
      </c>
      <c r="I89" s="29">
        <f t="shared" si="48"/>
        <v>73.157499999999999</v>
      </c>
      <c r="J89" s="29">
        <f t="shared" si="49"/>
        <v>5.0533333333333337</v>
      </c>
      <c r="K89" s="29">
        <f t="shared" si="50"/>
        <v>2280.2199999999998</v>
      </c>
      <c r="L89" s="29">
        <f t="shared" si="51"/>
        <v>20.5075</v>
      </c>
      <c r="M89" s="29">
        <f t="shared" si="52"/>
        <v>-1.2625000000000002</v>
      </c>
      <c r="N89" s="4">
        <f t="shared" si="53"/>
        <v>12538964</v>
      </c>
      <c r="O89" s="5">
        <f t="shared" si="60"/>
        <v>4.967993320345121E-2</v>
      </c>
      <c r="P89" s="5">
        <f t="shared" si="61"/>
        <v>0.84922394678492252</v>
      </c>
      <c r="Q89" s="5">
        <f t="shared" si="62"/>
        <v>1.092624782716678E-2</v>
      </c>
      <c r="R89" s="5">
        <f t="shared" si="63"/>
        <v>4.0322580645162365E-3</v>
      </c>
      <c r="S89" s="5">
        <f t="shared" si="64"/>
        <v>-0.25</v>
      </c>
      <c r="T89" s="5">
        <f t="shared" si="54"/>
        <v>-0.18221279163474247</v>
      </c>
    </row>
    <row r="90" spans="2:20" x14ac:dyDescent="0.15">
      <c r="B90" s="17">
        <v>43343</v>
      </c>
      <c r="C90" s="1">
        <v>77.45</v>
      </c>
      <c r="D90" s="5">
        <v>7.5</v>
      </c>
      <c r="E90" s="1">
        <v>2345.85</v>
      </c>
      <c r="F90" s="1">
        <v>20.03</v>
      </c>
      <c r="G90" s="1">
        <v>-0.3</v>
      </c>
      <c r="H90" s="4">
        <v>14163373</v>
      </c>
      <c r="I90" s="29">
        <f t="shared" si="48"/>
        <v>73.417500000000004</v>
      </c>
      <c r="J90" s="29">
        <f t="shared" si="49"/>
        <v>5.4766666666666666</v>
      </c>
      <c r="K90" s="29">
        <f t="shared" si="50"/>
        <v>2276.98</v>
      </c>
      <c r="L90" s="29">
        <f t="shared" si="51"/>
        <v>20.137499999999999</v>
      </c>
      <c r="M90" s="29">
        <f t="shared" si="52"/>
        <v>-1.1125</v>
      </c>
      <c r="N90" s="4">
        <f t="shared" si="53"/>
        <v>12069263.25</v>
      </c>
      <c r="O90" s="5">
        <f t="shared" si="60"/>
        <v>2.6779795837200027E-2</v>
      </c>
      <c r="P90" s="5">
        <f t="shared" si="61"/>
        <v>-0.10071942446043169</v>
      </c>
      <c r="Q90" s="5">
        <f t="shared" si="62"/>
        <v>2.8989893673017963E-2</v>
      </c>
      <c r="R90" s="5">
        <f t="shared" si="63"/>
        <v>5.5220883534137233E-3</v>
      </c>
      <c r="S90" s="5">
        <f t="shared" si="64"/>
        <v>-0.60000000000000009</v>
      </c>
      <c r="T90" s="5">
        <f t="shared" si="54"/>
        <v>0.3750862258202412</v>
      </c>
    </row>
    <row r="91" spans="2:20" x14ac:dyDescent="0.15">
      <c r="B91" s="17">
        <v>43350</v>
      </c>
      <c r="C91" s="1">
        <v>77.099999999999994</v>
      </c>
      <c r="D91" s="5">
        <v>1.1399999999999999</v>
      </c>
      <c r="E91" s="1">
        <v>2321.8200000000002</v>
      </c>
      <c r="F91" s="1">
        <v>19.18</v>
      </c>
      <c r="G91" s="1">
        <v>-0.25</v>
      </c>
      <c r="H91" s="4">
        <v>11867818</v>
      </c>
      <c r="I91" s="29">
        <f t="shared" si="48"/>
        <v>74.424999999999997</v>
      </c>
      <c r="J91" s="29">
        <f t="shared" si="49"/>
        <v>5.9824999999999999</v>
      </c>
      <c r="K91" s="29">
        <f t="shared" si="50"/>
        <v>2288.9450000000002</v>
      </c>
      <c r="L91" s="29">
        <f t="shared" si="51"/>
        <v>19.842500000000001</v>
      </c>
      <c r="M91" s="29">
        <f t="shared" si="52"/>
        <v>-0.78749999999999998</v>
      </c>
      <c r="N91" s="4">
        <f t="shared" si="53"/>
        <v>11865462.25</v>
      </c>
      <c r="O91" s="5">
        <f t="shared" si="60"/>
        <v>-4.5190445448677341E-3</v>
      </c>
      <c r="P91" s="5">
        <f t="shared" si="61"/>
        <v>-0.84799999999999998</v>
      </c>
      <c r="Q91" s="5">
        <f t="shared" si="62"/>
        <v>-1.0243621714943307E-2</v>
      </c>
      <c r="R91" s="5">
        <f t="shared" si="63"/>
        <v>-4.2436345481777438E-2</v>
      </c>
      <c r="S91" s="5">
        <f t="shared" si="64"/>
        <v>-0.16666666666666663</v>
      </c>
      <c r="T91" s="5">
        <f t="shared" si="54"/>
        <v>-0.16207685838676988</v>
      </c>
    </row>
    <row r="92" spans="2:20" x14ac:dyDescent="0.15">
      <c r="B92" s="17">
        <v>43357</v>
      </c>
      <c r="C92" s="1">
        <v>78.099999999999994</v>
      </c>
      <c r="D92" s="5">
        <v>1.05</v>
      </c>
      <c r="E92" s="1">
        <v>2360.2600000000002</v>
      </c>
      <c r="F92" s="1">
        <v>20.18</v>
      </c>
      <c r="G92" s="1">
        <v>-0.65</v>
      </c>
      <c r="H92" s="4">
        <v>11431820</v>
      </c>
      <c r="I92" s="29">
        <f t="shared" si="48"/>
        <v>75.460000000000008</v>
      </c>
      <c r="J92" s="29">
        <f t="shared" si="49"/>
        <v>5.3725000000000005</v>
      </c>
      <c r="K92" s="29">
        <f t="shared" si="50"/>
        <v>2300.6374999999998</v>
      </c>
      <c r="L92" s="29">
        <f t="shared" si="51"/>
        <v>19.7425</v>
      </c>
      <c r="M92" s="29">
        <f t="shared" si="52"/>
        <v>-0.57499999999999996</v>
      </c>
      <c r="N92" s="4">
        <f t="shared" si="53"/>
        <v>12231532.5</v>
      </c>
      <c r="O92" s="5">
        <f t="shared" si="60"/>
        <v>1.2970168612191912E-2</v>
      </c>
      <c r="P92" s="5">
        <f t="shared" si="61"/>
        <v>-7.8947368421052544E-2</v>
      </c>
      <c r="Q92" s="5">
        <f t="shared" si="62"/>
        <v>1.6555977638232022E-2</v>
      </c>
      <c r="R92" s="5">
        <f t="shared" si="63"/>
        <v>5.2137643378519227E-2</v>
      </c>
      <c r="S92" s="5">
        <f t="shared" si="64"/>
        <v>1.6</v>
      </c>
      <c r="T92" s="5">
        <f t="shared" si="54"/>
        <v>-3.6737840098323038E-2</v>
      </c>
    </row>
    <row r="93" spans="2:20" x14ac:dyDescent="0.15">
      <c r="B93" s="17">
        <v>43364</v>
      </c>
      <c r="C93" s="1">
        <v>78.77</v>
      </c>
      <c r="D93" s="5">
        <v>0.76</v>
      </c>
      <c r="E93" s="1">
        <v>2426.8000000000002</v>
      </c>
      <c r="F93" s="1">
        <v>21.12</v>
      </c>
      <c r="G93" s="1">
        <v>-1.8</v>
      </c>
      <c r="H93" s="4">
        <v>15115835</v>
      </c>
      <c r="I93" s="29">
        <f t="shared" si="48"/>
        <v>77.02</v>
      </c>
      <c r="J93" s="29">
        <f t="shared" si="49"/>
        <v>4.5075000000000003</v>
      </c>
      <c r="K93" s="29">
        <f t="shared" si="50"/>
        <v>2326.9225000000001</v>
      </c>
      <c r="L93" s="29">
        <f t="shared" si="51"/>
        <v>19.827500000000001</v>
      </c>
      <c r="M93" s="29">
        <f t="shared" si="52"/>
        <v>-0.48750000000000004</v>
      </c>
      <c r="N93" s="4">
        <f t="shared" si="53"/>
        <v>11940750</v>
      </c>
      <c r="O93" s="5">
        <f t="shared" si="60"/>
        <v>8.5787451984635776E-3</v>
      </c>
      <c r="P93" s="5">
        <f t="shared" si="61"/>
        <v>-0.27619047619047621</v>
      </c>
      <c r="Q93" s="5">
        <f t="shared" si="62"/>
        <v>2.8191809376933108E-2</v>
      </c>
      <c r="R93" s="5">
        <f t="shared" si="63"/>
        <v>4.658077304261643E-2</v>
      </c>
      <c r="S93" s="5">
        <f t="shared" si="64"/>
        <v>1.7692307692307692</v>
      </c>
      <c r="T93" s="5">
        <f t="shared" si="54"/>
        <v>0.32225971017738209</v>
      </c>
    </row>
    <row r="94" spans="2:20" x14ac:dyDescent="0.15">
      <c r="B94" s="17">
        <v>43371</v>
      </c>
      <c r="C94" s="1">
        <v>82.69</v>
      </c>
      <c r="D94" s="5">
        <v>2.86</v>
      </c>
      <c r="E94" s="1">
        <v>2475.36</v>
      </c>
      <c r="F94" s="1">
        <v>21.56</v>
      </c>
      <c r="G94" s="1">
        <v>-1.5</v>
      </c>
      <c r="H94" s="4">
        <v>17228527</v>
      </c>
      <c r="I94" s="29">
        <f t="shared" si="48"/>
        <v>77.855000000000004</v>
      </c>
      <c r="J94" s="29">
        <f t="shared" si="49"/>
        <v>2.6125000000000003</v>
      </c>
      <c r="K94" s="29">
        <f t="shared" si="50"/>
        <v>2363.6824999999999</v>
      </c>
      <c r="L94" s="29">
        <f t="shared" si="51"/>
        <v>20.127500000000001</v>
      </c>
      <c r="M94" s="29">
        <f t="shared" si="52"/>
        <v>-0.75</v>
      </c>
      <c r="N94" s="4">
        <f t="shared" si="53"/>
        <v>13144711.5</v>
      </c>
      <c r="O94" s="5">
        <f t="shared" si="60"/>
        <v>4.9765139012314386E-2</v>
      </c>
      <c r="P94" s="5">
        <f t="shared" si="61"/>
        <v>2.763157894736842</v>
      </c>
      <c r="Q94" s="5">
        <f t="shared" si="62"/>
        <v>2.0009889566507288E-2</v>
      </c>
      <c r="R94" s="5">
        <f t="shared" si="63"/>
        <v>2.0833333333333259E-2</v>
      </c>
      <c r="S94" s="5">
        <f t="shared" si="64"/>
        <v>-0.16666666666666674</v>
      </c>
      <c r="T94" s="5">
        <f t="shared" si="54"/>
        <v>0.13976680745721293</v>
      </c>
    </row>
    <row r="95" spans="2:20" x14ac:dyDescent="0.15">
      <c r="B95" s="17">
        <v>43378</v>
      </c>
      <c r="C95" s="1">
        <v>84.11</v>
      </c>
      <c r="D95" s="5">
        <v>2.0699999999999998</v>
      </c>
      <c r="E95" s="1">
        <v>2450.9</v>
      </c>
      <c r="F95" s="1">
        <v>21.2</v>
      </c>
      <c r="G95" s="1">
        <v>-1.8</v>
      </c>
      <c r="H95" s="4">
        <v>13278771</v>
      </c>
      <c r="I95" s="29">
        <f t="shared" si="48"/>
        <v>79.164999999999992</v>
      </c>
      <c r="J95" s="29">
        <f t="shared" si="49"/>
        <v>1.4525000000000001</v>
      </c>
      <c r="K95" s="29">
        <f t="shared" si="50"/>
        <v>2396.06</v>
      </c>
      <c r="L95" s="29">
        <f t="shared" si="51"/>
        <v>20.51</v>
      </c>
      <c r="M95" s="29">
        <f t="shared" si="52"/>
        <v>-1.05</v>
      </c>
      <c r="N95" s="4">
        <f t="shared" si="53"/>
        <v>13911000</v>
      </c>
      <c r="O95" s="5">
        <f t="shared" si="60"/>
        <v>1.7172572257830421E-2</v>
      </c>
      <c r="P95" s="5">
        <f t="shared" si="61"/>
        <v>-0.27622377622377625</v>
      </c>
      <c r="Q95" s="5">
        <f t="shared" si="62"/>
        <v>-9.8813909895933971E-3</v>
      </c>
      <c r="R95" s="5">
        <f t="shared" si="63"/>
        <v>-1.6697588126159513E-2</v>
      </c>
      <c r="S95" s="5">
        <f t="shared" si="64"/>
        <v>0.19999999999999996</v>
      </c>
      <c r="T95" s="5">
        <f t="shared" si="54"/>
        <v>-0.2292567437715366</v>
      </c>
    </row>
    <row r="96" spans="2:20" x14ac:dyDescent="0.15">
      <c r="B96" s="17">
        <v>43385</v>
      </c>
      <c r="C96" s="1">
        <v>80.599999999999994</v>
      </c>
      <c r="D96" s="5">
        <v>-3.6</v>
      </c>
      <c r="E96" s="1">
        <v>2403.02</v>
      </c>
      <c r="F96" s="1">
        <v>21.16</v>
      </c>
      <c r="G96" s="1">
        <v>-2.15</v>
      </c>
      <c r="H96" s="4">
        <v>13535904</v>
      </c>
      <c r="I96" s="29">
        <f t="shared" si="48"/>
        <v>80.917500000000004</v>
      </c>
      <c r="J96" s="29">
        <f t="shared" si="49"/>
        <v>1.6850000000000001</v>
      </c>
      <c r="K96" s="29">
        <f t="shared" si="50"/>
        <v>2428.33</v>
      </c>
      <c r="L96" s="29">
        <f t="shared" si="51"/>
        <v>21.015000000000001</v>
      </c>
      <c r="M96" s="29">
        <f t="shared" si="52"/>
        <v>-1.4375</v>
      </c>
      <c r="N96" s="4">
        <f t="shared" si="53"/>
        <v>14263738.25</v>
      </c>
      <c r="O96" s="5">
        <f t="shared" si="60"/>
        <v>-4.173106646058744E-2</v>
      </c>
      <c r="P96" s="5">
        <f t="shared" si="61"/>
        <v>-2.7391304347826089</v>
      </c>
      <c r="Q96" s="5">
        <f t="shared" si="62"/>
        <v>-1.95356807703293E-2</v>
      </c>
      <c r="R96" s="5">
        <f t="shared" si="63"/>
        <v>-1.8867924528301883E-3</v>
      </c>
      <c r="S96" s="5">
        <f t="shared" si="64"/>
        <v>0.19444444444444442</v>
      </c>
      <c r="T96" s="5">
        <f t="shared" si="54"/>
        <v>1.936421676373512E-2</v>
      </c>
    </row>
    <row r="97" spans="2:20" x14ac:dyDescent="0.15">
      <c r="B97" s="17">
        <v>43392</v>
      </c>
      <c r="C97" s="1">
        <v>80.02</v>
      </c>
      <c r="D97" s="5">
        <v>-1.4</v>
      </c>
      <c r="E97" s="1">
        <v>2344.79</v>
      </c>
      <c r="F97" s="1">
        <v>20.88</v>
      </c>
      <c r="G97" s="1">
        <v>-2.5</v>
      </c>
      <c r="H97" s="4">
        <v>11587197</v>
      </c>
      <c r="I97" s="29">
        <f t="shared" si="48"/>
        <v>81.54249999999999</v>
      </c>
      <c r="J97" s="29">
        <f t="shared" si="49"/>
        <v>0.52249999999999985</v>
      </c>
      <c r="K97" s="29">
        <f t="shared" si="50"/>
        <v>2439.02</v>
      </c>
      <c r="L97" s="29">
        <f t="shared" si="51"/>
        <v>21.259999999999998</v>
      </c>
      <c r="M97" s="29">
        <f t="shared" si="52"/>
        <v>-1.8125</v>
      </c>
      <c r="N97" s="4">
        <f t="shared" si="53"/>
        <v>14789759.25</v>
      </c>
      <c r="O97" s="5">
        <f t="shared" si="60"/>
        <v>-7.1960297766748837E-3</v>
      </c>
      <c r="P97" s="5">
        <f t="shared" si="61"/>
        <v>-0.61111111111111116</v>
      </c>
      <c r="Q97" s="5">
        <f t="shared" si="62"/>
        <v>-2.423200805652892E-2</v>
      </c>
      <c r="R97" s="5">
        <f t="shared" si="63"/>
        <v>-1.3232514177693777E-2</v>
      </c>
      <c r="S97" s="5">
        <f t="shared" si="64"/>
        <v>0.16279069767441867</v>
      </c>
      <c r="T97" s="5">
        <f t="shared" si="54"/>
        <v>-0.14396578167221041</v>
      </c>
    </row>
    <row r="98" spans="2:20" x14ac:dyDescent="0.15">
      <c r="B98" s="17">
        <v>43399</v>
      </c>
      <c r="C98" s="1">
        <v>77.73</v>
      </c>
      <c r="D98" s="5">
        <v>-0.92</v>
      </c>
      <c r="E98" s="1">
        <v>2293.2199999999998</v>
      </c>
      <c r="F98" s="1">
        <v>20.29</v>
      </c>
      <c r="G98" s="1">
        <v>-1.55</v>
      </c>
      <c r="H98" s="4">
        <v>13159674</v>
      </c>
      <c r="I98" s="29">
        <f t="shared" si="48"/>
        <v>81.855000000000004</v>
      </c>
      <c r="J98" s="29">
        <f t="shared" si="49"/>
        <v>-1.7500000000000071E-2</v>
      </c>
      <c r="K98" s="29">
        <f t="shared" si="50"/>
        <v>2418.5174999999999</v>
      </c>
      <c r="L98" s="29">
        <f t="shared" si="51"/>
        <v>21.2</v>
      </c>
      <c r="M98" s="29">
        <f t="shared" si="52"/>
        <v>-1.9874999999999998</v>
      </c>
      <c r="N98" s="4">
        <f t="shared" si="53"/>
        <v>13907599.75</v>
      </c>
      <c r="O98" s="5">
        <f t="shared" si="60"/>
        <v>-2.8617845538615239E-2</v>
      </c>
      <c r="P98" s="5">
        <f t="shared" si="61"/>
        <v>-0.34285714285714275</v>
      </c>
      <c r="Q98" s="5">
        <f t="shared" si="62"/>
        <v>-2.1993440777212547E-2</v>
      </c>
      <c r="R98" s="5">
        <f t="shared" si="63"/>
        <v>-2.8256704980842873E-2</v>
      </c>
      <c r="S98" s="5">
        <f t="shared" si="64"/>
        <v>-0.38</v>
      </c>
      <c r="T98" s="5">
        <f t="shared" si="54"/>
        <v>0.13570814408350862</v>
      </c>
    </row>
    <row r="99" spans="2:20" hidden="1" x14ac:dyDescent="0.15">
      <c r="B99" s="17">
        <v>43406</v>
      </c>
      <c r="C99" s="1">
        <v>72.62</v>
      </c>
      <c r="D99" s="1" t="s">
        <v>34</v>
      </c>
      <c r="E99" s="1">
        <v>2377.9499999999998</v>
      </c>
      <c r="F99" s="1">
        <v>21.12</v>
      </c>
      <c r="G99" s="1">
        <v>-0.5</v>
      </c>
      <c r="H99" s="4">
        <v>12162211</v>
      </c>
      <c r="I99" s="29">
        <f t="shared" si="48"/>
        <v>80.614999999999995</v>
      </c>
      <c r="J99" s="29">
        <f t="shared" si="49"/>
        <v>-0.96250000000000002</v>
      </c>
      <c r="K99" s="29">
        <f t="shared" si="50"/>
        <v>2372.9825000000001</v>
      </c>
      <c r="L99" s="29">
        <f t="shared" si="51"/>
        <v>20.8825</v>
      </c>
      <c r="M99" s="29">
        <f t="shared" si="52"/>
        <v>-2</v>
      </c>
      <c r="N99" s="4">
        <f t="shared" si="53"/>
        <v>12890386.5</v>
      </c>
      <c r="O99" s="5">
        <f>IFERROR(C99/C98-1,0)</f>
        <v>-6.5740383378360967E-2</v>
      </c>
      <c r="P99" s="5">
        <f>IFERROR(D99/D98-1,0)</f>
        <v>0</v>
      </c>
      <c r="Q99" s="5">
        <f>IFERROR(E99/E98-1,0)</f>
        <v>3.6948046851152494E-2</v>
      </c>
      <c r="R99" s="5">
        <f>IFERROR(F99/F98-1,0)</f>
        <v>4.090685066535249E-2</v>
      </c>
      <c r="S99" s="5">
        <f>IFERROR(G99/G98-1,0)</f>
        <v>-0.67741935483870974</v>
      </c>
      <c r="T99" s="5">
        <f t="shared" si="54"/>
        <v>-7.5796938434797068E-2</v>
      </c>
    </row>
    <row r="100" spans="2:20" x14ac:dyDescent="0.15">
      <c r="B100" s="17">
        <v>43413</v>
      </c>
      <c r="C100" s="1">
        <v>69.88</v>
      </c>
      <c r="D100" s="5">
        <v>-7.59</v>
      </c>
      <c r="E100" s="1">
        <v>2403.4699999999998</v>
      </c>
      <c r="F100" s="1">
        <v>20.61</v>
      </c>
      <c r="G100" s="1">
        <v>-0.3</v>
      </c>
      <c r="H100" s="4">
        <v>12786168</v>
      </c>
      <c r="I100" s="29">
        <f t="shared" si="48"/>
        <v>77.742500000000007</v>
      </c>
      <c r="J100" s="29">
        <f t="shared" si="49"/>
        <v>-1.9733333333333334</v>
      </c>
      <c r="K100" s="29">
        <f t="shared" si="50"/>
        <v>2354.7449999999999</v>
      </c>
      <c r="L100" s="29">
        <f t="shared" si="51"/>
        <v>20.862500000000001</v>
      </c>
      <c r="M100" s="29">
        <f t="shared" si="52"/>
        <v>-1.675</v>
      </c>
      <c r="N100" s="4">
        <f t="shared" si="53"/>
        <v>12611246.5</v>
      </c>
      <c r="O100" s="5">
        <f t="shared" ref="O100:O106" si="65">IFERROR(C100/C99-1,0)</f>
        <v>-3.7730652712751445E-2</v>
      </c>
      <c r="P100" s="5">
        <f t="shared" ref="P100:P106" si="66">IFERROR(D100/D99-1,0)</f>
        <v>0</v>
      </c>
      <c r="Q100" s="5">
        <f t="shared" ref="Q100:Q106" si="67">IFERROR(E100/E99-1,0)</f>
        <v>1.0731932967471991E-2</v>
      </c>
      <c r="R100" s="5">
        <f t="shared" ref="R100:R106" si="68">IFERROR(F100/F99-1,0)</f>
        <v>-2.4147727272727293E-2</v>
      </c>
      <c r="S100" s="5">
        <f t="shared" ref="S100:S106" si="69">IFERROR(G100/G99-1,0)</f>
        <v>-0.4</v>
      </c>
      <c r="T100" s="5">
        <f t="shared" si="54"/>
        <v>5.1302925101365249E-2</v>
      </c>
    </row>
    <row r="101" spans="2:20" x14ac:dyDescent="0.15">
      <c r="B101" s="17">
        <v>43420</v>
      </c>
      <c r="C101" s="1">
        <v>67.099999999999994</v>
      </c>
      <c r="D101" s="5">
        <v>0.11</v>
      </c>
      <c r="E101" s="1">
        <v>2372.67</v>
      </c>
      <c r="F101" s="1">
        <v>21.01</v>
      </c>
      <c r="G101" s="1">
        <v>-0.25</v>
      </c>
      <c r="H101" s="4">
        <v>13047650</v>
      </c>
      <c r="I101" s="29">
        <f t="shared" si="48"/>
        <v>75.0625</v>
      </c>
      <c r="J101" s="29">
        <f t="shared" si="49"/>
        <v>-3.3033333333333332</v>
      </c>
      <c r="K101" s="29">
        <f t="shared" si="50"/>
        <v>2354.8575000000001</v>
      </c>
      <c r="L101" s="29">
        <f t="shared" si="51"/>
        <v>20.725000000000001</v>
      </c>
      <c r="M101" s="29">
        <f t="shared" si="52"/>
        <v>-1.2124999999999999</v>
      </c>
      <c r="N101" s="4">
        <f t="shared" si="53"/>
        <v>12423812.5</v>
      </c>
      <c r="O101" s="5">
        <f t="shared" si="65"/>
        <v>-3.9782484258729323E-2</v>
      </c>
      <c r="P101" s="5">
        <f t="shared" si="66"/>
        <v>-1.0144927536231885</v>
      </c>
      <c r="Q101" s="5">
        <f t="shared" si="67"/>
        <v>-1.2814805260727091E-2</v>
      </c>
      <c r="R101" s="5">
        <f t="shared" si="68"/>
        <v>1.9408054342552328E-2</v>
      </c>
      <c r="S101" s="5">
        <f t="shared" si="69"/>
        <v>-0.16666666666666663</v>
      </c>
      <c r="T101" s="5">
        <f t="shared" si="54"/>
        <v>2.0450380442365468E-2</v>
      </c>
    </row>
    <row r="102" spans="2:20" x14ac:dyDescent="0.15">
      <c r="B102" s="17">
        <v>43427</v>
      </c>
      <c r="C102" s="1">
        <v>59.19</v>
      </c>
      <c r="D102" s="5">
        <v>-16.34</v>
      </c>
      <c r="E102" s="1">
        <v>2342.9699999999998</v>
      </c>
      <c r="F102" s="1">
        <v>20.45</v>
      </c>
      <c r="G102" s="1">
        <v>0.4</v>
      </c>
      <c r="H102" s="4">
        <v>14660001</v>
      </c>
      <c r="I102" s="29">
        <f t="shared" si="48"/>
        <v>71.83250000000001</v>
      </c>
      <c r="J102" s="29">
        <f t="shared" si="49"/>
        <v>-2.8000000000000003</v>
      </c>
      <c r="K102" s="29">
        <f t="shared" si="50"/>
        <v>2361.8274999999999</v>
      </c>
      <c r="L102" s="29">
        <f t="shared" si="51"/>
        <v>20.7575</v>
      </c>
      <c r="M102" s="29">
        <f t="shared" si="52"/>
        <v>-0.64999999999999991</v>
      </c>
      <c r="N102" s="4">
        <f t="shared" si="53"/>
        <v>12788925.75</v>
      </c>
      <c r="O102" s="5">
        <f t="shared" si="65"/>
        <v>-0.11788375558867359</v>
      </c>
      <c r="P102" s="5">
        <f t="shared" si="66"/>
        <v>-149.54545454545453</v>
      </c>
      <c r="Q102" s="5">
        <f t="shared" si="67"/>
        <v>-1.2517543526912811E-2</v>
      </c>
      <c r="R102" s="5">
        <f t="shared" si="68"/>
        <v>-2.6653974297953464E-2</v>
      </c>
      <c r="S102" s="5">
        <f t="shared" si="69"/>
        <v>-2.6</v>
      </c>
      <c r="T102" s="5">
        <f t="shared" si="54"/>
        <v>0.12357405356520146</v>
      </c>
    </row>
    <row r="103" spans="2:20" x14ac:dyDescent="0.15">
      <c r="B103" s="17">
        <v>43434</v>
      </c>
      <c r="C103" s="1">
        <v>58.68</v>
      </c>
      <c r="D103" s="5">
        <v>-1.52</v>
      </c>
      <c r="E103" s="1">
        <v>2392.5</v>
      </c>
      <c r="F103" s="1">
        <v>20.45</v>
      </c>
      <c r="G103" s="1">
        <v>-0.2</v>
      </c>
      <c r="H103" s="4">
        <v>12628603.403846154</v>
      </c>
      <c r="I103" s="29">
        <f t="shared" si="48"/>
        <v>67.197499999999991</v>
      </c>
      <c r="J103" s="29">
        <f t="shared" si="49"/>
        <v>-7.94</v>
      </c>
      <c r="K103" s="29">
        <f t="shared" si="50"/>
        <v>2374.2649999999999</v>
      </c>
      <c r="L103" s="29">
        <f t="shared" si="51"/>
        <v>20.797500000000003</v>
      </c>
      <c r="M103" s="29">
        <f t="shared" si="52"/>
        <v>-0.16250000000000001</v>
      </c>
      <c r="N103" s="4">
        <f t="shared" si="53"/>
        <v>13164007.5</v>
      </c>
      <c r="O103" s="5">
        <f t="shared" si="65"/>
        <v>-8.6163203243790898E-3</v>
      </c>
      <c r="P103" s="5">
        <f t="shared" si="66"/>
        <v>-0.90697674418604657</v>
      </c>
      <c r="Q103" s="5">
        <f t="shared" si="67"/>
        <v>2.1139835337200319E-2</v>
      </c>
      <c r="R103" s="5">
        <f t="shared" si="68"/>
        <v>0</v>
      </c>
      <c r="S103" s="5">
        <f t="shared" si="69"/>
        <v>-1.5</v>
      </c>
      <c r="T103" s="5">
        <f t="shared" si="54"/>
        <v>-0.13856735727056535</v>
      </c>
    </row>
    <row r="104" spans="2:20" x14ac:dyDescent="0.15">
      <c r="B104" s="17">
        <v>43441</v>
      </c>
      <c r="C104" s="1">
        <v>61.4</v>
      </c>
      <c r="D104" s="5">
        <v>4.17</v>
      </c>
      <c r="E104" s="1">
        <v>2431.29</v>
      </c>
      <c r="F104" s="1">
        <v>20.71</v>
      </c>
      <c r="G104" s="1">
        <v>-0.35</v>
      </c>
      <c r="H104" s="4">
        <v>11348034</v>
      </c>
      <c r="I104" s="29">
        <f t="shared" si="48"/>
        <v>63.712499999999999</v>
      </c>
      <c r="J104" s="29">
        <f t="shared" si="49"/>
        <v>-6.335</v>
      </c>
      <c r="K104" s="29">
        <f t="shared" si="50"/>
        <v>2377.9024999999997</v>
      </c>
      <c r="L104" s="29">
        <f t="shared" si="51"/>
        <v>20.630000000000003</v>
      </c>
      <c r="M104" s="29">
        <f t="shared" si="52"/>
        <v>-8.7500000000000008E-2</v>
      </c>
      <c r="N104" s="4">
        <f t="shared" si="53"/>
        <v>13280605.600961538</v>
      </c>
      <c r="O104" s="5">
        <f t="shared" si="65"/>
        <v>4.6353101567825572E-2</v>
      </c>
      <c r="P104" s="5">
        <f t="shared" si="66"/>
        <v>-3.7434210526315788</v>
      </c>
      <c r="Q104" s="5">
        <f t="shared" si="67"/>
        <v>1.6213166144200652E-2</v>
      </c>
      <c r="R104" s="5">
        <f t="shared" si="68"/>
        <v>1.2713936430317929E-2</v>
      </c>
      <c r="S104" s="5">
        <f t="shared" si="69"/>
        <v>0.74999999999999978</v>
      </c>
      <c r="T104" s="5">
        <f t="shared" si="54"/>
        <v>-0.10140229785473709</v>
      </c>
    </row>
    <row r="105" spans="2:20" x14ac:dyDescent="0.15">
      <c r="B105" s="17">
        <v>43448</v>
      </c>
      <c r="C105" s="1">
        <v>60.25</v>
      </c>
      <c r="D105" s="5">
        <v>-0.3</v>
      </c>
      <c r="E105" s="1">
        <v>2365.69</v>
      </c>
      <c r="F105" s="1">
        <v>20.23</v>
      </c>
      <c r="G105" s="1">
        <v>0.13</v>
      </c>
      <c r="H105" s="4">
        <v>12483391</v>
      </c>
      <c r="I105" s="29">
        <f t="shared" si="48"/>
        <v>61.592500000000001</v>
      </c>
      <c r="J105" s="29">
        <f t="shared" si="49"/>
        <v>-3.395</v>
      </c>
      <c r="K105" s="29">
        <f t="shared" si="50"/>
        <v>2384.8575000000001</v>
      </c>
      <c r="L105" s="29">
        <f t="shared" si="51"/>
        <v>20.655000000000001</v>
      </c>
      <c r="M105" s="29">
        <f t="shared" si="52"/>
        <v>-9.9999999999999992E-2</v>
      </c>
      <c r="N105" s="4">
        <f t="shared" si="53"/>
        <v>12921072.100961538</v>
      </c>
      <c r="O105" s="5">
        <f t="shared" si="65"/>
        <v>-1.8729641693811083E-2</v>
      </c>
      <c r="P105" s="5">
        <f t="shared" si="66"/>
        <v>-1.0719424460431655</v>
      </c>
      <c r="Q105" s="5">
        <f t="shared" si="67"/>
        <v>-2.6981561228812678E-2</v>
      </c>
      <c r="R105" s="5">
        <f t="shared" si="68"/>
        <v>-2.3177209077740235E-2</v>
      </c>
      <c r="S105" s="5">
        <f t="shared" si="69"/>
        <v>-1.3714285714285714</v>
      </c>
      <c r="T105" s="5">
        <f t="shared" si="54"/>
        <v>0.10004878378052084</v>
      </c>
    </row>
    <row r="106" spans="2:20" x14ac:dyDescent="0.15">
      <c r="B106" s="17">
        <v>43455</v>
      </c>
      <c r="C106" s="1">
        <v>53.5</v>
      </c>
      <c r="D106" s="5">
        <v>-4.09</v>
      </c>
      <c r="E106" s="1">
        <v>2347.17</v>
      </c>
      <c r="F106" s="1">
        <v>18.62</v>
      </c>
      <c r="G106" s="1">
        <v>0.45</v>
      </c>
      <c r="H106" s="4">
        <v>13469005</v>
      </c>
      <c r="I106" s="29">
        <f t="shared" si="48"/>
        <v>59.88</v>
      </c>
      <c r="J106" s="29">
        <f t="shared" si="49"/>
        <v>-3.4975000000000001</v>
      </c>
      <c r="K106" s="29">
        <f t="shared" si="50"/>
        <v>2383.1124999999997</v>
      </c>
      <c r="L106" s="29">
        <f t="shared" si="51"/>
        <v>20.46</v>
      </c>
      <c r="M106" s="29">
        <f t="shared" si="52"/>
        <v>-4.9999999999999906E-3</v>
      </c>
      <c r="N106" s="4">
        <f t="shared" si="53"/>
        <v>12780007.350961538</v>
      </c>
      <c r="O106" s="5">
        <f t="shared" si="65"/>
        <v>-0.11203319502074693</v>
      </c>
      <c r="P106" s="5">
        <f t="shared" si="66"/>
        <v>12.633333333333333</v>
      </c>
      <c r="Q106" s="5">
        <f t="shared" si="67"/>
        <v>-7.8285827813450171E-3</v>
      </c>
      <c r="R106" s="5">
        <f t="shared" si="68"/>
        <v>-7.9584775086505188E-2</v>
      </c>
      <c r="S106" s="5">
        <f t="shared" si="69"/>
        <v>2.4615384615384617</v>
      </c>
      <c r="T106" s="5">
        <f t="shared" si="54"/>
        <v>7.8954027795812953E-2</v>
      </c>
    </row>
    <row r="107" spans="2:20" hidden="1" x14ac:dyDescent="0.15">
      <c r="B107" s="17">
        <v>43462</v>
      </c>
      <c r="C107" s="1">
        <v>52.23</v>
      </c>
      <c r="D107" s="1" t="s">
        <v>34</v>
      </c>
      <c r="E107" s="1">
        <v>2358.5</v>
      </c>
      <c r="F107" s="1">
        <v>18.75</v>
      </c>
      <c r="G107" s="1">
        <v>0</v>
      </c>
      <c r="H107" s="4">
        <v>12893212</v>
      </c>
      <c r="I107" s="29">
        <f t="shared" si="48"/>
        <v>58.457499999999996</v>
      </c>
      <c r="J107" s="29">
        <f t="shared" si="49"/>
        <v>-0.43499999999999994</v>
      </c>
      <c r="K107" s="29">
        <f t="shared" si="50"/>
        <v>2384.1624999999999</v>
      </c>
      <c r="L107" s="29">
        <f t="shared" si="51"/>
        <v>20.002500000000001</v>
      </c>
      <c r="M107" s="29">
        <f t="shared" si="52"/>
        <v>7.4999999999999928E-3</v>
      </c>
      <c r="N107" s="4">
        <f t="shared" si="53"/>
        <v>12482258.350961538</v>
      </c>
      <c r="O107" s="5">
        <f>IFERROR(C107/C106-1,0)</f>
        <v>-2.3738317757009408E-2</v>
      </c>
      <c r="P107" s="5">
        <f>IFERROR(D107/D106-1,0)</f>
        <v>0</v>
      </c>
      <c r="Q107" s="5">
        <f>IFERROR(E107/E106-1,0)</f>
        <v>4.8270896441247046E-3</v>
      </c>
      <c r="R107" s="5">
        <f>IFERROR(F107/F106-1,0)</f>
        <v>6.9817400644467398E-3</v>
      </c>
      <c r="S107" s="5">
        <f>IFERROR(G107/G106-1,0)</f>
        <v>-1</v>
      </c>
      <c r="T107" s="5">
        <f t="shared" si="54"/>
        <v>-4.2749482979626219E-2</v>
      </c>
    </row>
    <row r="108" spans="2:20" x14ac:dyDescent="0.15">
      <c r="B108" s="17">
        <v>43469</v>
      </c>
      <c r="C108" s="1">
        <v>57.42</v>
      </c>
      <c r="D108" s="5">
        <v>6.78</v>
      </c>
      <c r="E108" s="1">
        <v>2406.5</v>
      </c>
      <c r="F108" s="1">
        <v>19.71</v>
      </c>
      <c r="G108" s="1">
        <v>0</v>
      </c>
      <c r="H108" s="4">
        <v>11871381</v>
      </c>
      <c r="I108" s="29">
        <f t="shared" si="48"/>
        <v>56.844999999999999</v>
      </c>
      <c r="J108" s="29">
        <f t="shared" si="49"/>
        <v>-7.333333333333325E-2</v>
      </c>
      <c r="K108" s="29">
        <f t="shared" si="50"/>
        <v>2375.6624999999999</v>
      </c>
      <c r="L108" s="29">
        <f t="shared" si="51"/>
        <v>19.577500000000001</v>
      </c>
      <c r="M108" s="29">
        <f t="shared" si="52"/>
        <v>5.7500000000000009E-2</v>
      </c>
      <c r="N108" s="4">
        <f t="shared" si="53"/>
        <v>12548410.5</v>
      </c>
      <c r="O108" s="5">
        <f t="shared" ref="O108:O116" si="70">IFERROR(C108/C107-1,0)</f>
        <v>9.9368179207352192E-2</v>
      </c>
      <c r="P108" s="5">
        <f t="shared" ref="P108:P116" si="71">IFERROR(D108/D107-1,0)</f>
        <v>0</v>
      </c>
      <c r="Q108" s="5">
        <f t="shared" ref="Q108:Q116" si="72">IFERROR(E108/E107-1,0)</f>
        <v>2.0351918592325546E-2</v>
      </c>
      <c r="R108" s="5">
        <f t="shared" ref="R108:R116" si="73">IFERROR(F108/F107-1,0)</f>
        <v>5.1200000000000134E-2</v>
      </c>
      <c r="S108" s="5">
        <f t="shared" ref="S108:S116" si="74">IFERROR(G108/G107-1,0)</f>
        <v>0</v>
      </c>
      <c r="T108" s="5">
        <f t="shared" si="54"/>
        <v>-7.9253408692884331E-2</v>
      </c>
    </row>
    <row r="109" spans="2:20" x14ac:dyDescent="0.15">
      <c r="B109" s="17">
        <v>43476</v>
      </c>
      <c r="C109" s="1">
        <v>60.59</v>
      </c>
      <c r="D109" s="5">
        <v>6.66</v>
      </c>
      <c r="E109" s="1">
        <v>2444.4499999999998</v>
      </c>
      <c r="F109" s="1">
        <v>20.059999999999999</v>
      </c>
      <c r="G109" s="1">
        <v>-0.25</v>
      </c>
      <c r="H109" s="4">
        <v>14983893</v>
      </c>
      <c r="I109" s="29">
        <f t="shared" si="48"/>
        <v>55.849999999999994</v>
      </c>
      <c r="J109" s="29">
        <f t="shared" si="49"/>
        <v>0.79666666666666686</v>
      </c>
      <c r="K109" s="29">
        <f t="shared" si="50"/>
        <v>2369.4650000000001</v>
      </c>
      <c r="L109" s="29">
        <f t="shared" si="51"/>
        <v>19.327500000000001</v>
      </c>
      <c r="M109" s="29">
        <f t="shared" si="52"/>
        <v>0.14500000000000002</v>
      </c>
      <c r="N109" s="4">
        <f t="shared" si="53"/>
        <v>12679247.25</v>
      </c>
      <c r="O109" s="5">
        <f t="shared" si="70"/>
        <v>5.5207244862417237E-2</v>
      </c>
      <c r="P109" s="5">
        <f t="shared" si="71"/>
        <v>-1.7699115044247815E-2</v>
      </c>
      <c r="Q109" s="5">
        <f t="shared" si="72"/>
        <v>1.5769790151672458E-2</v>
      </c>
      <c r="R109" s="5">
        <f t="shared" si="73"/>
        <v>1.7757483510908001E-2</v>
      </c>
      <c r="S109" s="5">
        <f t="shared" si="74"/>
        <v>0</v>
      </c>
      <c r="T109" s="5">
        <f t="shared" si="54"/>
        <v>0.26218617699153968</v>
      </c>
    </row>
    <row r="110" spans="2:20" x14ac:dyDescent="0.15">
      <c r="B110" s="17">
        <v>43483</v>
      </c>
      <c r="C110" s="1">
        <v>62.58</v>
      </c>
      <c r="D110" s="5">
        <v>3.09</v>
      </c>
      <c r="E110" s="1">
        <v>2473.61</v>
      </c>
      <c r="F110" s="1">
        <v>20.51</v>
      </c>
      <c r="G110" s="1">
        <v>0.5</v>
      </c>
      <c r="H110" s="4">
        <v>13782133</v>
      </c>
      <c r="I110" s="29">
        <f t="shared" si="48"/>
        <v>55.934999999999995</v>
      </c>
      <c r="J110" s="29">
        <f t="shared" si="49"/>
        <v>3.1166666666666671</v>
      </c>
      <c r="K110" s="29">
        <f t="shared" si="50"/>
        <v>2389.1549999999997</v>
      </c>
      <c r="L110" s="29">
        <f t="shared" si="51"/>
        <v>19.285</v>
      </c>
      <c r="M110" s="29">
        <f t="shared" si="52"/>
        <v>0.05</v>
      </c>
      <c r="N110" s="4">
        <f t="shared" si="53"/>
        <v>13304372.75</v>
      </c>
      <c r="O110" s="5">
        <f t="shared" si="70"/>
        <v>3.2843703581449057E-2</v>
      </c>
      <c r="P110" s="5">
        <f t="shared" si="71"/>
        <v>-0.53603603603603611</v>
      </c>
      <c r="Q110" s="5">
        <f t="shared" si="72"/>
        <v>1.1929063797582407E-2</v>
      </c>
      <c r="R110" s="5">
        <f t="shared" si="73"/>
        <v>2.243270189431712E-2</v>
      </c>
      <c r="S110" s="5">
        <f t="shared" si="74"/>
        <v>-3</v>
      </c>
      <c r="T110" s="5">
        <f t="shared" si="54"/>
        <v>-8.0203455804175872E-2</v>
      </c>
    </row>
    <row r="111" spans="2:20" x14ac:dyDescent="0.15">
      <c r="B111" s="17">
        <v>43490</v>
      </c>
      <c r="C111" s="1">
        <v>61.51</v>
      </c>
      <c r="D111" s="5">
        <v>0.31</v>
      </c>
      <c r="E111" s="1">
        <v>2498.23</v>
      </c>
      <c r="F111" s="1">
        <v>20.74</v>
      </c>
      <c r="G111" s="1">
        <v>-0.1</v>
      </c>
      <c r="H111" s="4">
        <v>12886930</v>
      </c>
      <c r="I111" s="29">
        <f t="shared" si="48"/>
        <v>58.204999999999998</v>
      </c>
      <c r="J111" s="29">
        <f t="shared" si="49"/>
        <v>5.5100000000000007</v>
      </c>
      <c r="K111" s="29">
        <f t="shared" si="50"/>
        <v>2420.7649999999999</v>
      </c>
      <c r="L111" s="29">
        <f t="shared" si="51"/>
        <v>19.7575</v>
      </c>
      <c r="M111" s="29">
        <f t="shared" si="52"/>
        <v>6.25E-2</v>
      </c>
      <c r="N111" s="4">
        <f t="shared" si="53"/>
        <v>13382654.75</v>
      </c>
      <c r="O111" s="5">
        <f t="shared" si="70"/>
        <v>-1.7098114413550691E-2</v>
      </c>
      <c r="P111" s="5">
        <f t="shared" si="71"/>
        <v>-0.89967637540453071</v>
      </c>
      <c r="Q111" s="5">
        <f t="shared" si="72"/>
        <v>9.9530645493832726E-3</v>
      </c>
      <c r="R111" s="5">
        <f t="shared" si="73"/>
        <v>1.1214041930765362E-2</v>
      </c>
      <c r="S111" s="5">
        <f t="shared" si="74"/>
        <v>-1.2</v>
      </c>
      <c r="T111" s="5">
        <f t="shared" si="54"/>
        <v>-6.4953879054860386E-2</v>
      </c>
    </row>
    <row r="112" spans="2:20" x14ac:dyDescent="0.15">
      <c r="B112" s="17">
        <v>43497</v>
      </c>
      <c r="C112" s="1">
        <v>62.9</v>
      </c>
      <c r="D112" s="5">
        <v>0.32</v>
      </c>
      <c r="E112" s="1">
        <v>2521.6999999999998</v>
      </c>
      <c r="F112" s="1">
        <v>21.12</v>
      </c>
      <c r="G112" s="1">
        <v>-0.1</v>
      </c>
      <c r="H112" s="4">
        <v>12451617</v>
      </c>
      <c r="I112" s="29">
        <f t="shared" si="48"/>
        <v>60.524999999999999</v>
      </c>
      <c r="J112" s="29">
        <f t="shared" si="49"/>
        <v>4.21</v>
      </c>
      <c r="K112" s="29">
        <f t="shared" si="50"/>
        <v>2455.6974999999998</v>
      </c>
      <c r="L112" s="29">
        <f t="shared" si="51"/>
        <v>20.254999999999999</v>
      </c>
      <c r="M112" s="29">
        <f t="shared" si="52"/>
        <v>3.7499999999999999E-2</v>
      </c>
      <c r="N112" s="4">
        <f t="shared" si="53"/>
        <v>13381084.25</v>
      </c>
      <c r="O112" s="5">
        <f t="shared" si="70"/>
        <v>2.2597951552593143E-2</v>
      </c>
      <c r="P112" s="5">
        <f t="shared" si="71"/>
        <v>3.2258064516129004E-2</v>
      </c>
      <c r="Q112" s="5">
        <f t="shared" si="72"/>
        <v>9.3946514132003944E-3</v>
      </c>
      <c r="R112" s="5">
        <f t="shared" si="73"/>
        <v>1.8322082931533368E-2</v>
      </c>
      <c r="S112" s="5">
        <f t="shared" si="74"/>
        <v>0</v>
      </c>
      <c r="T112" s="5">
        <f t="shared" si="54"/>
        <v>-3.3779418371947423E-2</v>
      </c>
    </row>
    <row r="113" spans="2:20" x14ac:dyDescent="0.15">
      <c r="B113" s="17">
        <v>43504</v>
      </c>
      <c r="C113" s="1">
        <v>61.97</v>
      </c>
      <c r="D113" s="5">
        <v>0.46</v>
      </c>
      <c r="E113" s="1">
        <v>2502.8200000000002</v>
      </c>
      <c r="F113" s="1">
        <v>20.76</v>
      </c>
      <c r="G113" s="1">
        <v>-0.45</v>
      </c>
      <c r="H113" s="4">
        <v>15217567</v>
      </c>
      <c r="I113" s="29">
        <f t="shared" si="48"/>
        <v>61.895000000000003</v>
      </c>
      <c r="J113" s="29">
        <f t="shared" si="49"/>
        <v>2.5950000000000002</v>
      </c>
      <c r="K113" s="29">
        <f t="shared" si="50"/>
        <v>2484.4974999999995</v>
      </c>
      <c r="L113" s="29">
        <f t="shared" si="51"/>
        <v>20.607500000000002</v>
      </c>
      <c r="M113" s="29">
        <f t="shared" si="52"/>
        <v>1.2499999999999997E-2</v>
      </c>
      <c r="N113" s="4">
        <f t="shared" si="53"/>
        <v>13526143.25</v>
      </c>
      <c r="O113" s="5">
        <f t="shared" si="70"/>
        <v>-1.4785373608902974E-2</v>
      </c>
      <c r="P113" s="5">
        <f t="shared" si="71"/>
        <v>0.4375</v>
      </c>
      <c r="Q113" s="5">
        <f t="shared" si="72"/>
        <v>-7.4870127295076916E-3</v>
      </c>
      <c r="R113" s="5">
        <f t="shared" si="73"/>
        <v>-1.7045454545454475E-2</v>
      </c>
      <c r="S113" s="5">
        <f t="shared" si="74"/>
        <v>3.5</v>
      </c>
      <c r="T113" s="5">
        <f t="shared" si="54"/>
        <v>0.22213580774288189</v>
      </c>
    </row>
    <row r="114" spans="2:20" x14ac:dyDescent="0.15">
      <c r="B114" s="17">
        <v>43511</v>
      </c>
      <c r="C114" s="1">
        <v>64.88</v>
      </c>
      <c r="D114" s="5">
        <v>4.5199999999999996</v>
      </c>
      <c r="E114" s="1">
        <v>2490.16</v>
      </c>
      <c r="F114" s="1">
        <v>20.47</v>
      </c>
      <c r="G114" s="1">
        <v>-0.05</v>
      </c>
      <c r="H114" s="4">
        <v>13954501</v>
      </c>
      <c r="I114" s="29">
        <f t="shared" si="48"/>
        <v>62.24</v>
      </c>
      <c r="J114" s="29">
        <f t="shared" si="49"/>
        <v>1.0449999999999999</v>
      </c>
      <c r="K114" s="29">
        <f t="shared" si="50"/>
        <v>2499.09</v>
      </c>
      <c r="L114" s="29">
        <f t="shared" si="51"/>
        <v>20.782500000000002</v>
      </c>
      <c r="M114" s="29">
        <f t="shared" si="52"/>
        <v>-3.7499999999999992E-2</v>
      </c>
      <c r="N114" s="4">
        <f t="shared" si="53"/>
        <v>13584561.75</v>
      </c>
      <c r="O114" s="5">
        <f t="shared" si="70"/>
        <v>4.6958205583346624E-2</v>
      </c>
      <c r="P114" s="5">
        <f t="shared" si="71"/>
        <v>8.8260869565217384</v>
      </c>
      <c r="Q114" s="5">
        <f t="shared" si="72"/>
        <v>-5.0582942440927647E-3</v>
      </c>
      <c r="R114" s="5">
        <f t="shared" si="73"/>
        <v>-1.3969171483622533E-2</v>
      </c>
      <c r="S114" s="5">
        <f t="shared" si="74"/>
        <v>-0.88888888888888884</v>
      </c>
      <c r="T114" s="5">
        <f t="shared" si="54"/>
        <v>-8.3000521699690855E-2</v>
      </c>
    </row>
    <row r="115" spans="2:20" x14ac:dyDescent="0.15">
      <c r="B115" s="17">
        <v>43518</v>
      </c>
      <c r="C115" s="1">
        <v>66.91</v>
      </c>
      <c r="D115" s="5">
        <v>3.28</v>
      </c>
      <c r="E115" s="1">
        <v>2488.63</v>
      </c>
      <c r="F115" s="1">
        <v>20.73</v>
      </c>
      <c r="G115" s="1">
        <v>-0.3</v>
      </c>
      <c r="H115" s="4">
        <v>14945215</v>
      </c>
      <c r="I115" s="29">
        <f t="shared" si="48"/>
        <v>62.814999999999998</v>
      </c>
      <c r="J115" s="29">
        <f t="shared" si="49"/>
        <v>1.4024999999999999</v>
      </c>
      <c r="K115" s="29">
        <f t="shared" si="50"/>
        <v>2503.2275</v>
      </c>
      <c r="L115" s="29">
        <f t="shared" si="51"/>
        <v>20.772500000000001</v>
      </c>
      <c r="M115" s="29">
        <f t="shared" si="52"/>
        <v>-0.17500000000000002</v>
      </c>
      <c r="N115" s="4">
        <f t="shared" si="53"/>
        <v>13627653.75</v>
      </c>
      <c r="O115" s="5">
        <f t="shared" si="70"/>
        <v>3.128853267570908E-2</v>
      </c>
      <c r="P115" s="5">
        <f t="shared" si="71"/>
        <v>-0.27433628318584069</v>
      </c>
      <c r="Q115" s="5">
        <f t="shared" si="72"/>
        <v>-6.1441835062792105E-4</v>
      </c>
      <c r="R115" s="5">
        <f t="shared" si="73"/>
        <v>1.2701514411333825E-2</v>
      </c>
      <c r="S115" s="5">
        <f t="shared" si="74"/>
        <v>4.9999999999999991</v>
      </c>
      <c r="T115" s="5">
        <f t="shared" si="54"/>
        <v>7.0996017700668768E-2</v>
      </c>
    </row>
    <row r="116" spans="2:20" x14ac:dyDescent="0.15">
      <c r="B116" s="17">
        <v>43525</v>
      </c>
      <c r="C116" s="1">
        <v>65</v>
      </c>
      <c r="D116" s="5">
        <v>1.85</v>
      </c>
      <c r="E116" s="1">
        <v>2478.0100000000002</v>
      </c>
      <c r="F116" s="1">
        <v>20.440000000000001</v>
      </c>
      <c r="G116" s="1">
        <v>-0.75</v>
      </c>
      <c r="H116" s="4">
        <v>14671770</v>
      </c>
      <c r="I116" s="29">
        <f t="shared" si="48"/>
        <v>64.164999999999992</v>
      </c>
      <c r="J116" s="29">
        <f t="shared" si="49"/>
        <v>2.145</v>
      </c>
      <c r="K116" s="29">
        <f t="shared" si="50"/>
        <v>2500.8275000000003</v>
      </c>
      <c r="L116" s="29">
        <f t="shared" si="51"/>
        <v>20.77</v>
      </c>
      <c r="M116" s="29">
        <f t="shared" si="52"/>
        <v>-0.22500000000000003</v>
      </c>
      <c r="N116" s="4">
        <f t="shared" si="53"/>
        <v>14142225</v>
      </c>
      <c r="O116" s="5">
        <f t="shared" si="70"/>
        <v>-2.8545807801524381E-2</v>
      </c>
      <c r="P116" s="5">
        <f t="shared" si="71"/>
        <v>-0.4359756097560975</v>
      </c>
      <c r="Q116" s="5">
        <f t="shared" si="72"/>
        <v>-4.2674081723679258E-3</v>
      </c>
      <c r="R116" s="5">
        <f t="shared" si="73"/>
        <v>-1.3989387361312056E-2</v>
      </c>
      <c r="S116" s="5">
        <f t="shared" si="74"/>
        <v>1.5</v>
      </c>
      <c r="T116" s="5">
        <f t="shared" si="54"/>
        <v>-1.8296491552647454E-2</v>
      </c>
    </row>
    <row r="117" spans="2:20" hidden="1" x14ac:dyDescent="0.15">
      <c r="B117" s="17">
        <v>43532</v>
      </c>
      <c r="C117" s="1">
        <v>65.81</v>
      </c>
      <c r="D117" s="1">
        <v>2.54</v>
      </c>
      <c r="E117" s="1" t="s">
        <v>34</v>
      </c>
      <c r="F117" s="1">
        <v>20.170000000000002</v>
      </c>
      <c r="G117" s="1">
        <v>-0.75</v>
      </c>
      <c r="H117" s="4">
        <v>13335884</v>
      </c>
      <c r="I117" s="29">
        <f t="shared" ref="I117:I122" si="75">AVERAGE(C113:C116)</f>
        <v>64.69</v>
      </c>
      <c r="J117" s="29">
        <f t="shared" ref="J117:J122" si="76">AVERAGE(D113:D116)</f>
        <v>2.5274999999999999</v>
      </c>
      <c r="K117" s="29">
        <f t="shared" ref="K117:K122" si="77">AVERAGE(E113:E116)</f>
        <v>2489.9049999999997</v>
      </c>
      <c r="L117" s="29">
        <f t="shared" ref="L117:L122" si="78">AVERAGE(F113:F116)</f>
        <v>20.6</v>
      </c>
      <c r="M117" s="29">
        <f t="shared" ref="M117:M122" si="79">AVERAGE(G113:G116)</f>
        <v>-0.38750000000000001</v>
      </c>
      <c r="N117" s="4">
        <f t="shared" ref="N117:N122" si="80">AVERAGE(H113:H116)</f>
        <v>14697263.25</v>
      </c>
      <c r="O117" s="5">
        <f>IFERROR(C117/C116-1,0)</f>
        <v>1.2461538461538524E-2</v>
      </c>
      <c r="P117" s="5">
        <f>IFERROR(D117/D116-1,0)</f>
        <v>0.37297297297297294</v>
      </c>
      <c r="Q117" s="5">
        <f>IFERROR(E117/E116-1,0)</f>
        <v>0</v>
      </c>
      <c r="R117" s="5">
        <f>IFERROR(F117/F116-1,0)</f>
        <v>-1.3209393346379605E-2</v>
      </c>
      <c r="S117" s="5">
        <f>IFERROR(G117/G116-1,0)</f>
        <v>0</v>
      </c>
      <c r="T117" s="5">
        <f t="shared" ref="T117:T122" si="81">IFERROR(H117/H116-1,0)</f>
        <v>-9.1051454596139392E-2</v>
      </c>
    </row>
    <row r="118" spans="2:20" x14ac:dyDescent="0.15">
      <c r="B118" s="17">
        <v>43539</v>
      </c>
      <c r="C118" s="1">
        <v>67.02</v>
      </c>
      <c r="D118" s="5">
        <v>4.4000000000000004</v>
      </c>
      <c r="E118" s="1">
        <v>2476.73</v>
      </c>
      <c r="F118" s="1">
        <v>20.87</v>
      </c>
      <c r="G118" s="1">
        <v>0</v>
      </c>
      <c r="H118" s="4">
        <v>16389007</v>
      </c>
      <c r="I118" s="29">
        <f t="shared" si="75"/>
        <v>65.650000000000006</v>
      </c>
      <c r="J118" s="29">
        <f t="shared" si="76"/>
        <v>3.0474999999999994</v>
      </c>
      <c r="K118" s="29">
        <f t="shared" si="77"/>
        <v>2485.6</v>
      </c>
      <c r="L118" s="29">
        <f t="shared" si="78"/>
        <v>20.452500000000001</v>
      </c>
      <c r="M118" s="29">
        <f t="shared" si="79"/>
        <v>-0.46250000000000002</v>
      </c>
      <c r="N118" s="4">
        <f t="shared" si="80"/>
        <v>14226842.5</v>
      </c>
      <c r="O118" s="5">
        <f t="shared" ref="O118:O122" si="82">IFERROR(C118/C117-1,0)</f>
        <v>1.8386263485792309E-2</v>
      </c>
      <c r="P118" s="5">
        <f t="shared" ref="P118:P122" si="83">IFERROR(D118/D117-1,0)</f>
        <v>0.73228346456692917</v>
      </c>
      <c r="Q118" s="5">
        <f t="shared" ref="Q118:Q122" si="84">IFERROR(E118/E117-1,0)</f>
        <v>0</v>
      </c>
      <c r="R118" s="5">
        <f t="shared" ref="R118:R122" si="85">IFERROR(F118/F117-1,0)</f>
        <v>3.4705007436787172E-2</v>
      </c>
      <c r="S118" s="5">
        <f t="shared" ref="S118:S122" si="86">IFERROR(G118/G117-1,0)</f>
        <v>-1</v>
      </c>
      <c r="T118" s="5">
        <f t="shared" si="81"/>
        <v>0.22894042869599041</v>
      </c>
    </row>
    <row r="119" spans="2:20" x14ac:dyDescent="0.15">
      <c r="B119" s="17">
        <v>43546</v>
      </c>
      <c r="C119" s="1">
        <v>67.08</v>
      </c>
      <c r="D119" s="5">
        <v>2.78</v>
      </c>
      <c r="E119" s="1">
        <v>2492.6999999999998</v>
      </c>
      <c r="F119" s="1">
        <v>20.9</v>
      </c>
      <c r="G119" s="1">
        <v>-0.65</v>
      </c>
      <c r="H119" s="4">
        <v>14971592</v>
      </c>
      <c r="I119" s="29">
        <f t="shared" si="75"/>
        <v>66.185000000000002</v>
      </c>
      <c r="J119" s="29">
        <f t="shared" si="76"/>
        <v>3.0175000000000001</v>
      </c>
      <c r="K119" s="29">
        <f t="shared" si="77"/>
        <v>2481.1233333333334</v>
      </c>
      <c r="L119" s="29">
        <f t="shared" si="78"/>
        <v>20.552500000000002</v>
      </c>
      <c r="M119" s="29">
        <f t="shared" si="79"/>
        <v>-0.45</v>
      </c>
      <c r="N119" s="4">
        <f t="shared" si="80"/>
        <v>14835469</v>
      </c>
      <c r="O119" s="5">
        <f t="shared" si="82"/>
        <v>8.9525514771704451E-4</v>
      </c>
      <c r="P119" s="5">
        <f t="shared" si="83"/>
        <v>-0.36818181818181828</v>
      </c>
      <c r="Q119" s="5">
        <f t="shared" si="84"/>
        <v>6.4480181529678049E-3</v>
      </c>
      <c r="R119" s="5">
        <f t="shared" si="85"/>
        <v>1.4374700527071127E-3</v>
      </c>
      <c r="S119" s="5">
        <f t="shared" si="86"/>
        <v>0</v>
      </c>
      <c r="T119" s="5">
        <f t="shared" si="81"/>
        <v>-8.6485715699553989E-2</v>
      </c>
    </row>
    <row r="120" spans="2:20" x14ac:dyDescent="0.15">
      <c r="B120" s="17">
        <v>43553</v>
      </c>
      <c r="C120" s="1">
        <v>68.39</v>
      </c>
      <c r="D120" s="5">
        <v>2.44</v>
      </c>
      <c r="E120" s="1">
        <v>2497.1</v>
      </c>
      <c r="F120" s="1">
        <v>20.6</v>
      </c>
      <c r="G120" s="1">
        <v>-0.2</v>
      </c>
      <c r="H120" s="4">
        <v>16994558</v>
      </c>
      <c r="I120" s="29">
        <f t="shared" si="75"/>
        <v>66.227499999999992</v>
      </c>
      <c r="J120" s="29">
        <f t="shared" si="76"/>
        <v>2.8925000000000001</v>
      </c>
      <c r="K120" s="29">
        <f t="shared" si="77"/>
        <v>2482.48</v>
      </c>
      <c r="L120" s="29">
        <f t="shared" si="78"/>
        <v>20.594999999999999</v>
      </c>
      <c r="M120" s="29">
        <f t="shared" si="79"/>
        <v>-0.53749999999999998</v>
      </c>
      <c r="N120" s="4">
        <f t="shared" si="80"/>
        <v>14842063.25</v>
      </c>
      <c r="O120" s="5">
        <f t="shared" si="82"/>
        <v>1.9528920691711527E-2</v>
      </c>
      <c r="P120" s="5">
        <f t="shared" si="83"/>
        <v>-0.1223021582733812</v>
      </c>
      <c r="Q120" s="5">
        <f t="shared" si="84"/>
        <v>1.7651542504111273E-3</v>
      </c>
      <c r="R120" s="5">
        <f t="shared" si="85"/>
        <v>-1.4354066985645786E-2</v>
      </c>
      <c r="S120" s="5">
        <f t="shared" si="86"/>
        <v>-0.69230769230769229</v>
      </c>
      <c r="T120" s="5">
        <f t="shared" si="81"/>
        <v>0.13512029983184148</v>
      </c>
    </row>
    <row r="121" spans="2:20" x14ac:dyDescent="0.15">
      <c r="B121" s="17">
        <v>43560</v>
      </c>
      <c r="C121" s="1">
        <v>70.48</v>
      </c>
      <c r="D121" s="5">
        <v>2.7</v>
      </c>
      <c r="E121" s="1">
        <v>2540.9899999999998</v>
      </c>
      <c r="F121" s="1">
        <v>21.19</v>
      </c>
      <c r="G121" s="1">
        <v>0.5</v>
      </c>
      <c r="H121" s="4">
        <v>16997541</v>
      </c>
      <c r="I121" s="29">
        <f t="shared" si="75"/>
        <v>67.074999999999989</v>
      </c>
      <c r="J121" s="29">
        <f t="shared" si="76"/>
        <v>3.04</v>
      </c>
      <c r="K121" s="29">
        <f t="shared" si="77"/>
        <v>2488.8433333333337</v>
      </c>
      <c r="L121" s="29">
        <f t="shared" si="78"/>
        <v>20.635000000000002</v>
      </c>
      <c r="M121" s="29">
        <f t="shared" si="79"/>
        <v>-0.39999999999999997</v>
      </c>
      <c r="N121" s="4">
        <f t="shared" si="80"/>
        <v>15422760.25</v>
      </c>
      <c r="O121" s="5">
        <f t="shared" si="82"/>
        <v>3.0560023395233227E-2</v>
      </c>
      <c r="P121" s="5">
        <f t="shared" si="83"/>
        <v>0.10655737704918034</v>
      </c>
      <c r="Q121" s="5">
        <f t="shared" si="84"/>
        <v>1.7576388610788474E-2</v>
      </c>
      <c r="R121" s="5">
        <f t="shared" si="85"/>
        <v>2.8640776699029091E-2</v>
      </c>
      <c r="S121" s="5">
        <f t="shared" si="86"/>
        <v>-3.5</v>
      </c>
      <c r="T121" s="5">
        <f t="shared" si="81"/>
        <v>1.7552677745436007E-4</v>
      </c>
    </row>
    <row r="122" spans="2:20" x14ac:dyDescent="0.15">
      <c r="B122" s="17">
        <v>43567</v>
      </c>
      <c r="C122" s="1">
        <v>71.55</v>
      </c>
      <c r="D122" s="5">
        <v>2.77</v>
      </c>
      <c r="E122" s="1">
        <v>2559.7199999999998</v>
      </c>
      <c r="F122" s="1">
        <v>21.45</v>
      </c>
      <c r="G122" s="1">
        <v>0.05</v>
      </c>
      <c r="H122" s="4">
        <v>16856560</v>
      </c>
      <c r="I122" s="29">
        <f t="shared" si="75"/>
        <v>68.242500000000007</v>
      </c>
      <c r="J122" s="29">
        <f t="shared" si="76"/>
        <v>3.08</v>
      </c>
      <c r="K122" s="29">
        <f t="shared" si="77"/>
        <v>2501.88</v>
      </c>
      <c r="L122" s="29">
        <f t="shared" si="78"/>
        <v>20.89</v>
      </c>
      <c r="M122" s="29">
        <f t="shared" si="79"/>
        <v>-8.7500000000000022E-2</v>
      </c>
      <c r="N122" s="4">
        <f t="shared" si="80"/>
        <v>16338174.5</v>
      </c>
      <c r="O122" s="5">
        <f t="shared" si="82"/>
        <v>1.5181611804767181E-2</v>
      </c>
      <c r="P122" s="5">
        <f t="shared" si="83"/>
        <v>2.5925925925925908E-2</v>
      </c>
      <c r="Q122" s="5">
        <f t="shared" si="84"/>
        <v>7.3711427435763088E-3</v>
      </c>
      <c r="R122" s="5">
        <f t="shared" si="85"/>
        <v>1.2269938650306678E-2</v>
      </c>
      <c r="S122" s="5">
        <f t="shared" si="86"/>
        <v>-0.9</v>
      </c>
      <c r="T122" s="5">
        <f t="shared" si="81"/>
        <v>-8.2941997315965077E-3</v>
      </c>
    </row>
    <row r="123" spans="2:20" hidden="1" x14ac:dyDescent="0.15">
      <c r="B123" s="17">
        <v>43573</v>
      </c>
      <c r="C123" s="1">
        <v>72.010000000000005</v>
      </c>
      <c r="D123" s="1" t="s">
        <v>34</v>
      </c>
      <c r="E123" s="1" t="s">
        <v>34</v>
      </c>
      <c r="F123" s="1">
        <v>21.73</v>
      </c>
      <c r="G123" s="1">
        <v>-0.3</v>
      </c>
      <c r="H123" s="4">
        <v>15390143</v>
      </c>
      <c r="I123" s="29">
        <f t="shared" ref="I123:I154" si="87">AVERAGE(C119:C122)</f>
        <v>69.375</v>
      </c>
      <c r="J123" s="29">
        <f t="shared" ref="J123:J154" si="88">AVERAGE(D119:D122)</f>
        <v>2.6724999999999999</v>
      </c>
      <c r="K123" s="29">
        <f t="shared" ref="K123:K154" si="89">AVERAGE(E119:E122)</f>
        <v>2522.6274999999996</v>
      </c>
      <c r="L123" s="29">
        <f t="shared" ref="L123:L154" si="90">AVERAGE(F119:F122)</f>
        <v>21.035</v>
      </c>
      <c r="M123" s="29">
        <f t="shared" ref="M123:M154" si="91">AVERAGE(G119:G122)</f>
        <v>-7.5000000000000025E-2</v>
      </c>
      <c r="N123" s="4">
        <f t="shared" ref="N123:N154" si="92">AVERAGE(H119:H122)</f>
        <v>16455062.75</v>
      </c>
      <c r="O123" s="5">
        <f>IFERROR(C123/C122-1,0)</f>
        <v>6.4290705800140735E-3</v>
      </c>
      <c r="P123" s="5">
        <f>IFERROR(D123/D122-1,0)</f>
        <v>0</v>
      </c>
      <c r="Q123" s="5">
        <f>IFERROR(E123/E122-1,0)</f>
        <v>0</v>
      </c>
      <c r="R123" s="5">
        <f>IFERROR(F123/F122-1,0)</f>
        <v>1.3053613053613189E-2</v>
      </c>
      <c r="S123" s="5">
        <f>IFERROR(G123/G122-1,0)</f>
        <v>-6.9999999999999991</v>
      </c>
      <c r="T123" s="5">
        <f t="shared" ref="T123:T154" si="93">IFERROR(H123/H122-1,0)</f>
        <v>-8.6993846905893069E-2</v>
      </c>
    </row>
    <row r="124" spans="2:20" x14ac:dyDescent="0.15">
      <c r="B124" s="17">
        <v>43581</v>
      </c>
      <c r="C124" s="1">
        <v>71.569999999999993</v>
      </c>
      <c r="D124" s="5">
        <v>1.06</v>
      </c>
      <c r="E124" s="1">
        <v>2563.7199999999998</v>
      </c>
      <c r="F124" s="1">
        <v>21.42</v>
      </c>
      <c r="G124" s="1">
        <v>0.2</v>
      </c>
      <c r="H124" s="4">
        <v>17729510</v>
      </c>
      <c r="I124" s="29">
        <f t="shared" si="87"/>
        <v>70.607500000000002</v>
      </c>
      <c r="J124" s="29">
        <f t="shared" si="88"/>
        <v>2.6366666666666667</v>
      </c>
      <c r="K124" s="29">
        <f t="shared" si="89"/>
        <v>2532.603333333333</v>
      </c>
      <c r="L124" s="29">
        <f t="shared" si="90"/>
        <v>21.242500000000003</v>
      </c>
      <c r="M124" s="29">
        <f t="shared" si="91"/>
        <v>1.2499999999999997E-2</v>
      </c>
      <c r="N124" s="4">
        <f t="shared" si="92"/>
        <v>16559700.5</v>
      </c>
      <c r="O124" s="5">
        <f t="shared" ref="O124:O125" si="94">IFERROR(C124/C123-1,0)</f>
        <v>-6.110262463546845E-3</v>
      </c>
      <c r="P124" s="5">
        <f t="shared" ref="P124:P125" si="95">IFERROR(D124/D123-1,0)</f>
        <v>0</v>
      </c>
      <c r="Q124" s="5">
        <f t="shared" ref="Q124:Q125" si="96">IFERROR(E124/E123-1,0)</f>
        <v>0</v>
      </c>
      <c r="R124" s="5">
        <f t="shared" ref="R124:R125" si="97">IFERROR(F124/F123-1,0)</f>
        <v>-1.4265991716520876E-2</v>
      </c>
      <c r="S124" s="5">
        <f t="shared" ref="S124:S125" si="98">IFERROR(G124/G123-1,0)</f>
        <v>-1.6666666666666667</v>
      </c>
      <c r="T124" s="5">
        <f t="shared" si="93"/>
        <v>0.15200424063636064</v>
      </c>
    </row>
    <row r="125" spans="2:20" x14ac:dyDescent="0.15">
      <c r="B125" s="17">
        <v>43588</v>
      </c>
      <c r="C125" s="1">
        <v>70.78</v>
      </c>
      <c r="D125" s="5">
        <v>-0.66</v>
      </c>
      <c r="E125" s="1">
        <v>2580.9499999999998</v>
      </c>
      <c r="F125" s="1">
        <v>21.56</v>
      </c>
      <c r="G125" s="1">
        <v>0.9</v>
      </c>
      <c r="H125" s="4">
        <v>16126575</v>
      </c>
      <c r="I125" s="29">
        <f t="shared" si="87"/>
        <v>71.402500000000003</v>
      </c>
      <c r="J125" s="29">
        <f t="shared" si="88"/>
        <v>2.1766666666666672</v>
      </c>
      <c r="K125" s="29">
        <f t="shared" si="89"/>
        <v>2554.8099999999995</v>
      </c>
      <c r="L125" s="29">
        <f t="shared" si="90"/>
        <v>21.447500000000002</v>
      </c>
      <c r="M125" s="29">
        <f t="shared" si="91"/>
        <v>0.11250000000000002</v>
      </c>
      <c r="N125" s="4">
        <f t="shared" si="92"/>
        <v>16743438.5</v>
      </c>
      <c r="O125" s="5">
        <f t="shared" si="94"/>
        <v>-1.1038144473941469E-2</v>
      </c>
      <c r="P125" s="5">
        <f t="shared" si="95"/>
        <v>-1.6226415094339623</v>
      </c>
      <c r="Q125" s="5">
        <f t="shared" si="96"/>
        <v>6.7207027288471721E-3</v>
      </c>
      <c r="R125" s="5">
        <f t="shared" si="97"/>
        <v>6.5359477124180554E-3</v>
      </c>
      <c r="S125" s="5">
        <f t="shared" si="98"/>
        <v>3.5</v>
      </c>
      <c r="T125" s="5">
        <f t="shared" si="93"/>
        <v>-9.0410564082143319E-2</v>
      </c>
    </row>
    <row r="126" spans="2:20" hidden="1" x14ac:dyDescent="0.15">
      <c r="B126" s="17">
        <v>43595</v>
      </c>
      <c r="C126" s="1">
        <v>70.86</v>
      </c>
      <c r="D126" s="1" t="s">
        <v>34</v>
      </c>
      <c r="E126" s="1">
        <v>2514.87</v>
      </c>
      <c r="F126" s="1">
        <v>20.93</v>
      </c>
      <c r="G126" s="1">
        <v>0.25</v>
      </c>
      <c r="H126" s="4">
        <v>14647157</v>
      </c>
      <c r="I126" s="29">
        <f t="shared" si="87"/>
        <v>71.477499999999992</v>
      </c>
      <c r="J126" s="29">
        <f t="shared" si="88"/>
        <v>1.0566666666666666</v>
      </c>
      <c r="K126" s="29">
        <f t="shared" si="89"/>
        <v>2568.1299999999997</v>
      </c>
      <c r="L126" s="29">
        <f t="shared" si="90"/>
        <v>21.54</v>
      </c>
      <c r="M126" s="29">
        <f t="shared" si="91"/>
        <v>0.21250000000000002</v>
      </c>
      <c r="N126" s="4">
        <f t="shared" si="92"/>
        <v>16525697</v>
      </c>
      <c r="O126" s="5">
        <f t="shared" ref="O126:S128" si="99">IFERROR(C126/C125-1,0)</f>
        <v>1.1302627860978465E-3</v>
      </c>
      <c r="P126" s="5">
        <f t="shared" si="99"/>
        <v>0</v>
      </c>
      <c r="Q126" s="5">
        <f t="shared" si="99"/>
        <v>-2.5602975648501447E-2</v>
      </c>
      <c r="R126" s="5">
        <f t="shared" si="99"/>
        <v>-2.9220779220779147E-2</v>
      </c>
      <c r="S126" s="5">
        <f t="shared" si="99"/>
        <v>-0.72222222222222221</v>
      </c>
      <c r="T126" s="5">
        <f t="shared" si="93"/>
        <v>-9.1737892267886978E-2</v>
      </c>
    </row>
    <row r="127" spans="2:20" x14ac:dyDescent="0.15">
      <c r="B127" s="17">
        <v>43602</v>
      </c>
      <c r="C127" s="1">
        <v>72.17</v>
      </c>
      <c r="D127" s="5">
        <v>2.09</v>
      </c>
      <c r="E127" s="1">
        <v>2577.48</v>
      </c>
      <c r="F127" s="1">
        <v>21.14</v>
      </c>
      <c r="G127" s="1">
        <v>-0.05</v>
      </c>
      <c r="H127" s="4">
        <v>14802804</v>
      </c>
      <c r="I127" s="29">
        <f>AVERAGE(C123:C126)</f>
        <v>71.304999999999993</v>
      </c>
      <c r="J127" s="29">
        <f t="shared" si="88"/>
        <v>0.2</v>
      </c>
      <c r="K127" s="29">
        <f t="shared" si="89"/>
        <v>2553.1799999999998</v>
      </c>
      <c r="L127" s="29">
        <f t="shared" si="90"/>
        <v>21.410000000000004</v>
      </c>
      <c r="M127" s="29">
        <f t="shared" si="91"/>
        <v>0.26250000000000001</v>
      </c>
      <c r="N127" s="4">
        <f t="shared" si="92"/>
        <v>15973346.25</v>
      </c>
      <c r="O127" s="5">
        <f t="shared" si="99"/>
        <v>1.8487157775896268E-2</v>
      </c>
      <c r="P127" s="5">
        <f t="shared" si="99"/>
        <v>0</v>
      </c>
      <c r="Q127" s="5">
        <f t="shared" si="99"/>
        <v>2.4895919073351758E-2</v>
      </c>
      <c r="R127" s="5">
        <f t="shared" si="99"/>
        <v>1.0033444816053505E-2</v>
      </c>
      <c r="S127" s="5">
        <f t="shared" si="99"/>
        <v>-1.2</v>
      </c>
      <c r="T127" s="5">
        <f t="shared" si="93"/>
        <v>1.0626430781072393E-2</v>
      </c>
    </row>
    <row r="128" spans="2:20" hidden="1" x14ac:dyDescent="0.15">
      <c r="B128" s="17">
        <v>43609</v>
      </c>
      <c r="C128" s="1">
        <v>69.260000000000005</v>
      </c>
      <c r="D128" s="1" t="s">
        <v>34</v>
      </c>
      <c r="E128" s="1">
        <v>2619.2399999999998</v>
      </c>
      <c r="F128" s="1">
        <v>21.62</v>
      </c>
      <c r="G128" s="1">
        <v>-0.9</v>
      </c>
      <c r="H128" s="4">
        <v>12898243</v>
      </c>
      <c r="I128" s="29">
        <f t="shared" si="87"/>
        <v>71.344999999999999</v>
      </c>
      <c r="J128" s="29">
        <f t="shared" si="88"/>
        <v>0.83</v>
      </c>
      <c r="K128" s="29">
        <f t="shared" si="89"/>
        <v>2559.2550000000001</v>
      </c>
      <c r="L128" s="29">
        <f t="shared" si="90"/>
        <v>21.262500000000003</v>
      </c>
      <c r="M128" s="29">
        <f t="shared" si="91"/>
        <v>0.32500000000000001</v>
      </c>
      <c r="N128" s="4">
        <f t="shared" si="92"/>
        <v>15826511.5</v>
      </c>
      <c r="O128" s="5">
        <f t="shared" si="99"/>
        <v>-4.0321463211860809E-2</v>
      </c>
      <c r="P128" s="5">
        <f t="shared" si="99"/>
        <v>0</v>
      </c>
      <c r="Q128" s="5">
        <f t="shared" si="99"/>
        <v>1.6201871595511896E-2</v>
      </c>
      <c r="R128" s="5">
        <f t="shared" si="99"/>
        <v>2.2705771050141932E-2</v>
      </c>
      <c r="S128" s="5">
        <f t="shared" si="99"/>
        <v>17</v>
      </c>
      <c r="T128" s="5">
        <f t="shared" si="93"/>
        <v>-0.12866217778739752</v>
      </c>
    </row>
    <row r="129" spans="2:20" x14ac:dyDescent="0.15">
      <c r="B129" s="17">
        <v>43616</v>
      </c>
      <c r="C129" s="1">
        <v>64.47</v>
      </c>
      <c r="D129" s="5">
        <v>-4.49</v>
      </c>
      <c r="E129" s="1">
        <v>2665.33</v>
      </c>
      <c r="F129" s="1">
        <v>21.64</v>
      </c>
      <c r="G129" s="1">
        <v>-1</v>
      </c>
      <c r="H129" s="4">
        <v>15112504</v>
      </c>
      <c r="I129" s="29">
        <f t="shared" si="87"/>
        <v>70.767499999999998</v>
      </c>
      <c r="J129" s="29">
        <f t="shared" si="88"/>
        <v>0.71499999999999986</v>
      </c>
      <c r="K129" s="29">
        <f t="shared" si="89"/>
        <v>2573.1349999999998</v>
      </c>
      <c r="L129" s="29">
        <f t="shared" si="90"/>
        <v>21.3125</v>
      </c>
      <c r="M129" s="29">
        <f t="shared" si="91"/>
        <v>4.9999999999999961E-2</v>
      </c>
      <c r="N129" s="4">
        <f t="shared" si="92"/>
        <v>14618694.75</v>
      </c>
      <c r="O129" s="5">
        <f t="shared" ref="O129:O154" si="100">IFERROR(C129/C128-1,0)</f>
        <v>-6.9159688131677832E-2</v>
      </c>
      <c r="P129" s="5">
        <f t="shared" ref="P129:P154" si="101">IFERROR(D129/D128-1,0)</f>
        <v>0</v>
      </c>
      <c r="Q129" s="5">
        <f t="shared" ref="Q129:Q154" si="102">IFERROR(E129/E128-1,0)</f>
        <v>1.7596707441853487E-2</v>
      </c>
      <c r="R129" s="5">
        <f t="shared" ref="R129:R154" si="103">IFERROR(F129/F128-1,0)</f>
        <v>9.2506938020342488E-4</v>
      </c>
      <c r="S129" s="5">
        <f t="shared" ref="S129:S154" si="104">IFERROR(G129/G128-1,0)</f>
        <v>0.11111111111111116</v>
      </c>
      <c r="T129" s="5">
        <f t="shared" si="93"/>
        <v>0.17167152146226439</v>
      </c>
    </row>
    <row r="130" spans="2:20" x14ac:dyDescent="0.15">
      <c r="B130" s="17">
        <v>43623</v>
      </c>
      <c r="C130" s="1">
        <v>63.24</v>
      </c>
      <c r="D130" s="5">
        <v>-3.06</v>
      </c>
      <c r="E130" s="1">
        <v>2729.61</v>
      </c>
      <c r="F130" s="1">
        <v>22.32</v>
      </c>
      <c r="G130" s="1">
        <v>-2</v>
      </c>
      <c r="H130" s="4">
        <v>12014945</v>
      </c>
      <c r="I130" s="29">
        <f t="shared" si="87"/>
        <v>69.19</v>
      </c>
      <c r="J130" s="29">
        <f t="shared" si="88"/>
        <v>-1.2000000000000002</v>
      </c>
      <c r="K130" s="29">
        <f t="shared" si="89"/>
        <v>2594.23</v>
      </c>
      <c r="L130" s="29">
        <f t="shared" si="90"/>
        <v>21.3325</v>
      </c>
      <c r="M130" s="29">
        <f t="shared" si="91"/>
        <v>-0.42499999999999999</v>
      </c>
      <c r="N130" s="4">
        <f t="shared" si="92"/>
        <v>14365177</v>
      </c>
      <c r="O130" s="5">
        <f t="shared" si="100"/>
        <v>-1.9078641228478355E-2</v>
      </c>
      <c r="P130" s="5">
        <f t="shared" si="101"/>
        <v>-0.31848552338530067</v>
      </c>
      <c r="Q130" s="5">
        <f t="shared" si="102"/>
        <v>2.4117088690706279E-2</v>
      </c>
      <c r="R130" s="5">
        <f t="shared" si="103"/>
        <v>3.1423290203327126E-2</v>
      </c>
      <c r="S130" s="5">
        <f t="shared" si="104"/>
        <v>1</v>
      </c>
      <c r="T130" s="5">
        <f t="shared" si="93"/>
        <v>-0.20496662895837781</v>
      </c>
    </row>
    <row r="131" spans="2:20" x14ac:dyDescent="0.15">
      <c r="B131" s="17">
        <v>43630</v>
      </c>
      <c r="C131" s="1">
        <v>62.04</v>
      </c>
      <c r="D131" s="5">
        <v>2.04</v>
      </c>
      <c r="E131" s="1">
        <v>2739.28</v>
      </c>
      <c r="F131" s="1">
        <v>22.79</v>
      </c>
      <c r="G131" s="1">
        <v>-1.95</v>
      </c>
      <c r="H131" s="4">
        <v>13182809</v>
      </c>
      <c r="I131" s="29">
        <f t="shared" si="87"/>
        <v>67.284999999999997</v>
      </c>
      <c r="J131" s="29">
        <f t="shared" si="88"/>
        <v>-1.8200000000000003</v>
      </c>
      <c r="K131" s="29">
        <f t="shared" si="89"/>
        <v>2647.915</v>
      </c>
      <c r="L131" s="29">
        <f t="shared" si="90"/>
        <v>21.68</v>
      </c>
      <c r="M131" s="29">
        <f t="shared" si="91"/>
        <v>-0.98750000000000004</v>
      </c>
      <c r="N131" s="4">
        <f t="shared" si="92"/>
        <v>13707124</v>
      </c>
      <c r="O131" s="5">
        <f t="shared" si="100"/>
        <v>-1.8975332068311257E-2</v>
      </c>
      <c r="P131" s="5">
        <f t="shared" si="101"/>
        <v>-1.6666666666666665</v>
      </c>
      <c r="Q131" s="5">
        <f t="shared" si="102"/>
        <v>3.5426306322148271E-3</v>
      </c>
      <c r="R131" s="5">
        <f t="shared" si="103"/>
        <v>2.1057347670250914E-2</v>
      </c>
      <c r="S131" s="5">
        <f t="shared" si="104"/>
        <v>-2.5000000000000022E-2</v>
      </c>
      <c r="T131" s="5">
        <f t="shared" si="93"/>
        <v>9.7200944323923233E-2</v>
      </c>
    </row>
    <row r="132" spans="2:20" x14ac:dyDescent="0.15">
      <c r="B132" s="17">
        <v>43637</v>
      </c>
      <c r="C132" s="1">
        <v>65.349999999999994</v>
      </c>
      <c r="D132" s="5">
        <v>7.79</v>
      </c>
      <c r="E132" s="1">
        <v>2761.23</v>
      </c>
      <c r="F132" s="1">
        <v>23.66</v>
      </c>
      <c r="G132" s="1">
        <v>-2.35</v>
      </c>
      <c r="H132" s="4">
        <v>11866617</v>
      </c>
      <c r="I132" s="29">
        <f t="shared" si="87"/>
        <v>64.752500000000012</v>
      </c>
      <c r="J132" s="29">
        <f t="shared" si="88"/>
        <v>-1.8366666666666669</v>
      </c>
      <c r="K132" s="29">
        <f t="shared" si="89"/>
        <v>2688.3650000000002</v>
      </c>
      <c r="L132" s="29">
        <f t="shared" si="90"/>
        <v>22.092500000000001</v>
      </c>
      <c r="M132" s="29">
        <f t="shared" si="91"/>
        <v>-1.4624999999999999</v>
      </c>
      <c r="N132" s="4">
        <f t="shared" si="92"/>
        <v>13302125.25</v>
      </c>
      <c r="O132" s="5">
        <f t="shared" si="100"/>
        <v>5.3352675693101093E-2</v>
      </c>
      <c r="P132" s="5">
        <f t="shared" si="101"/>
        <v>2.8186274509803919</v>
      </c>
      <c r="Q132" s="5">
        <f t="shared" si="102"/>
        <v>8.0130545252765639E-3</v>
      </c>
      <c r="R132" s="5">
        <f t="shared" si="103"/>
        <v>3.8174637999122574E-2</v>
      </c>
      <c r="S132" s="5">
        <f t="shared" si="104"/>
        <v>0.20512820512820529</v>
      </c>
      <c r="T132" s="5">
        <f t="shared" si="93"/>
        <v>-9.9841543634592633E-2</v>
      </c>
    </row>
    <row r="133" spans="2:20" x14ac:dyDescent="0.15">
      <c r="B133" s="17">
        <v>43644</v>
      </c>
      <c r="C133" s="1">
        <v>66.510000000000005</v>
      </c>
      <c r="D133" s="5">
        <v>8.06</v>
      </c>
      <c r="E133" s="1">
        <v>2765.85</v>
      </c>
      <c r="F133" s="1">
        <v>23.63</v>
      </c>
      <c r="G133" s="1">
        <v>-1.8</v>
      </c>
      <c r="H133" s="4">
        <v>13980131</v>
      </c>
      <c r="I133" s="29">
        <f t="shared" si="87"/>
        <v>63.774999999999999</v>
      </c>
      <c r="J133" s="29">
        <f t="shared" si="88"/>
        <v>0.56999999999999984</v>
      </c>
      <c r="K133" s="29">
        <f t="shared" si="89"/>
        <v>2723.8625000000002</v>
      </c>
      <c r="L133" s="29">
        <f t="shared" si="90"/>
        <v>22.602499999999999</v>
      </c>
      <c r="M133" s="29">
        <f t="shared" si="91"/>
        <v>-1.8250000000000002</v>
      </c>
      <c r="N133" s="4">
        <f t="shared" si="92"/>
        <v>13044218.75</v>
      </c>
      <c r="O133" s="5">
        <f t="shared" si="100"/>
        <v>1.7750573833205996E-2</v>
      </c>
      <c r="P133" s="5">
        <f t="shared" si="101"/>
        <v>3.4659820282413323E-2</v>
      </c>
      <c r="Q133" s="5">
        <f t="shared" si="102"/>
        <v>1.6731673927923296E-3</v>
      </c>
      <c r="R133" s="5">
        <f t="shared" si="103"/>
        <v>-1.2679628064243831E-3</v>
      </c>
      <c r="S133" s="5">
        <f t="shared" si="104"/>
        <v>-0.23404255319148937</v>
      </c>
      <c r="T133" s="5">
        <f t="shared" si="93"/>
        <v>0.17810585780260713</v>
      </c>
    </row>
    <row r="134" spans="2:20" x14ac:dyDescent="0.15">
      <c r="B134" s="17">
        <v>43651</v>
      </c>
      <c r="C134" s="1">
        <v>64.44</v>
      </c>
      <c r="D134" s="5">
        <v>5.43</v>
      </c>
      <c r="E134" s="1">
        <v>2835.35</v>
      </c>
      <c r="F134" s="1">
        <v>23.85</v>
      </c>
      <c r="G134" s="1">
        <v>-2</v>
      </c>
      <c r="H134" s="4">
        <v>13765048</v>
      </c>
      <c r="I134" s="29">
        <f t="shared" si="87"/>
        <v>64.284999999999997</v>
      </c>
      <c r="J134" s="29">
        <f t="shared" si="88"/>
        <v>3.7075</v>
      </c>
      <c r="K134" s="29">
        <f t="shared" si="89"/>
        <v>2748.9925000000003</v>
      </c>
      <c r="L134" s="29">
        <f t="shared" si="90"/>
        <v>23.099999999999998</v>
      </c>
      <c r="M134" s="29">
        <f t="shared" si="91"/>
        <v>-2.0250000000000004</v>
      </c>
      <c r="N134" s="4">
        <f t="shared" si="92"/>
        <v>12761125.5</v>
      </c>
      <c r="O134" s="5">
        <f t="shared" si="100"/>
        <v>-3.1123139377537301E-2</v>
      </c>
      <c r="P134" s="5">
        <f t="shared" si="101"/>
        <v>-0.32630272952853601</v>
      </c>
      <c r="Q134" s="5">
        <f t="shared" si="102"/>
        <v>2.5127899199161252E-2</v>
      </c>
      <c r="R134" s="5">
        <f t="shared" si="103"/>
        <v>9.3101988997039697E-3</v>
      </c>
      <c r="S134" s="5">
        <f t="shared" si="104"/>
        <v>0.11111111111111116</v>
      </c>
      <c r="T134" s="5">
        <f t="shared" si="93"/>
        <v>-1.5384905906818735E-2</v>
      </c>
    </row>
    <row r="135" spans="2:20" x14ac:dyDescent="0.15">
      <c r="B135" s="17">
        <v>43658</v>
      </c>
      <c r="C135" s="1">
        <v>67</v>
      </c>
      <c r="D135" s="5">
        <v>9.1300000000000008</v>
      </c>
      <c r="E135" s="1">
        <v>2777.58</v>
      </c>
      <c r="F135" s="1">
        <v>23.92</v>
      </c>
      <c r="G135" s="1">
        <v>-2</v>
      </c>
      <c r="H135" s="4">
        <v>14058458</v>
      </c>
      <c r="I135" s="29">
        <f t="shared" si="87"/>
        <v>64.584999999999994</v>
      </c>
      <c r="J135" s="29">
        <f t="shared" si="88"/>
        <v>5.83</v>
      </c>
      <c r="K135" s="29">
        <f t="shared" si="89"/>
        <v>2775.4275000000002</v>
      </c>
      <c r="L135" s="29">
        <f t="shared" si="90"/>
        <v>23.482500000000002</v>
      </c>
      <c r="M135" s="29">
        <f t="shared" si="91"/>
        <v>-2.0249999999999999</v>
      </c>
      <c r="N135" s="4">
        <f t="shared" si="92"/>
        <v>13198651.25</v>
      </c>
      <c r="O135" s="5">
        <f t="shared" si="100"/>
        <v>3.9726877715704489E-2</v>
      </c>
      <c r="P135" s="5">
        <f t="shared" si="101"/>
        <v>0.68139963167587503</v>
      </c>
      <c r="Q135" s="5">
        <f t="shared" si="102"/>
        <v>-2.0374909623150583E-2</v>
      </c>
      <c r="R135" s="5">
        <f t="shared" si="103"/>
        <v>2.9350104821803669E-3</v>
      </c>
      <c r="S135" s="5">
        <f t="shared" si="104"/>
        <v>0</v>
      </c>
      <c r="T135" s="5">
        <f t="shared" si="93"/>
        <v>2.1315581318713805E-2</v>
      </c>
    </row>
    <row r="136" spans="2:20" x14ac:dyDescent="0.15">
      <c r="B136" s="17">
        <v>43665</v>
      </c>
      <c r="C136" s="1">
        <v>62.65</v>
      </c>
      <c r="D136" s="5">
        <v>2.79</v>
      </c>
      <c r="E136" s="1">
        <v>2700.57</v>
      </c>
      <c r="F136" s="1">
        <v>23.66</v>
      </c>
      <c r="G136" s="1">
        <v>-2</v>
      </c>
      <c r="H136" s="4">
        <v>12305294</v>
      </c>
      <c r="I136" s="29">
        <f t="shared" si="87"/>
        <v>65.825000000000003</v>
      </c>
      <c r="J136" s="29">
        <f t="shared" si="88"/>
        <v>7.6025000000000009</v>
      </c>
      <c r="K136" s="29">
        <f t="shared" si="89"/>
        <v>2785.0025000000001</v>
      </c>
      <c r="L136" s="29">
        <f t="shared" si="90"/>
        <v>23.765000000000001</v>
      </c>
      <c r="M136" s="29">
        <f t="shared" si="91"/>
        <v>-2.0375000000000001</v>
      </c>
      <c r="N136" s="4">
        <f t="shared" si="92"/>
        <v>13417563.5</v>
      </c>
      <c r="O136" s="5">
        <f t="shared" si="100"/>
        <v>-6.4925373134328335E-2</v>
      </c>
      <c r="P136" s="5">
        <f t="shared" si="101"/>
        <v>-0.69441401971522454</v>
      </c>
      <c r="Q136" s="5">
        <f t="shared" si="102"/>
        <v>-2.7725574060873059E-2</v>
      </c>
      <c r="R136" s="5">
        <f t="shared" si="103"/>
        <v>-1.0869565217391353E-2</v>
      </c>
      <c r="S136" s="5">
        <f t="shared" si="104"/>
        <v>0</v>
      </c>
      <c r="T136" s="5">
        <f t="shared" si="93"/>
        <v>-0.12470528417839277</v>
      </c>
    </row>
    <row r="137" spans="2:20" x14ac:dyDescent="0.15">
      <c r="B137" s="17">
        <v>43672</v>
      </c>
      <c r="C137" s="1">
        <v>63.39</v>
      </c>
      <c r="D137" s="5">
        <v>5.95</v>
      </c>
      <c r="E137" s="1">
        <v>2715.68</v>
      </c>
      <c r="F137" s="1">
        <v>23.64</v>
      </c>
      <c r="G137" s="1">
        <v>0.2</v>
      </c>
      <c r="H137" s="4">
        <v>16413849</v>
      </c>
      <c r="I137" s="29">
        <f t="shared" si="87"/>
        <v>65.149999999999991</v>
      </c>
      <c r="J137" s="29">
        <f t="shared" si="88"/>
        <v>6.3525</v>
      </c>
      <c r="K137" s="29">
        <f t="shared" si="89"/>
        <v>2769.8374999999996</v>
      </c>
      <c r="L137" s="29">
        <f t="shared" si="90"/>
        <v>23.765000000000001</v>
      </c>
      <c r="M137" s="29">
        <f t="shared" si="91"/>
        <v>-1.95</v>
      </c>
      <c r="N137" s="4">
        <f t="shared" si="92"/>
        <v>13527232.75</v>
      </c>
      <c r="O137" s="5">
        <f t="shared" si="100"/>
        <v>1.1811652035115694E-2</v>
      </c>
      <c r="P137" s="5">
        <f t="shared" si="101"/>
        <v>1.1326164874551972</v>
      </c>
      <c r="Q137" s="5">
        <f t="shared" si="102"/>
        <v>5.5951151053295067E-3</v>
      </c>
      <c r="R137" s="5">
        <f t="shared" si="103"/>
        <v>-8.4530853761621838E-4</v>
      </c>
      <c r="S137" s="5">
        <f t="shared" si="104"/>
        <v>-1.1000000000000001</v>
      </c>
      <c r="T137" s="5">
        <f t="shared" si="93"/>
        <v>0.33388515544610309</v>
      </c>
    </row>
    <row r="138" spans="2:20" x14ac:dyDescent="0.15">
      <c r="B138" s="17">
        <v>43679</v>
      </c>
      <c r="C138" s="1">
        <v>61.17</v>
      </c>
      <c r="D138" s="5">
        <v>3.49</v>
      </c>
      <c r="E138" s="1">
        <v>2674.9</v>
      </c>
      <c r="F138" s="1">
        <v>22.57</v>
      </c>
      <c r="G138" s="1">
        <v>0.8</v>
      </c>
      <c r="H138" s="4">
        <v>15368207</v>
      </c>
      <c r="I138" s="29">
        <f t="shared" si="87"/>
        <v>64.37</v>
      </c>
      <c r="J138" s="29">
        <f t="shared" si="88"/>
        <v>5.8250000000000002</v>
      </c>
      <c r="K138" s="29">
        <f t="shared" si="89"/>
        <v>2757.2950000000001</v>
      </c>
      <c r="L138" s="29">
        <f t="shared" si="90"/>
        <v>23.767500000000002</v>
      </c>
      <c r="M138" s="29">
        <f t="shared" si="91"/>
        <v>-1.45</v>
      </c>
      <c r="N138" s="4">
        <f t="shared" si="92"/>
        <v>14135662.25</v>
      </c>
      <c r="O138" s="5">
        <f t="shared" si="100"/>
        <v>-3.5021296734500718E-2</v>
      </c>
      <c r="P138" s="5">
        <f t="shared" si="101"/>
        <v>-0.41344537815126048</v>
      </c>
      <c r="Q138" s="5">
        <f t="shared" si="102"/>
        <v>-1.501649678901773E-2</v>
      </c>
      <c r="R138" s="5">
        <f t="shared" si="103"/>
        <v>-4.5262267343485596E-2</v>
      </c>
      <c r="S138" s="5">
        <f t="shared" si="104"/>
        <v>3</v>
      </c>
      <c r="T138" s="5">
        <f t="shared" si="93"/>
        <v>-6.3704862887431268E-2</v>
      </c>
    </row>
    <row r="139" spans="2:20" x14ac:dyDescent="0.15">
      <c r="B139" s="17">
        <v>43686</v>
      </c>
      <c r="C139" s="1">
        <v>58.42</v>
      </c>
      <c r="D139" s="5">
        <v>0.26</v>
      </c>
      <c r="E139" s="1">
        <v>2679.71</v>
      </c>
      <c r="F139" s="1">
        <v>22.38</v>
      </c>
      <c r="G139" s="1">
        <v>-0.25</v>
      </c>
      <c r="H139" s="4">
        <v>14949161</v>
      </c>
      <c r="I139" s="29">
        <f t="shared" si="87"/>
        <v>63.552500000000009</v>
      </c>
      <c r="J139" s="29">
        <f t="shared" si="88"/>
        <v>5.34</v>
      </c>
      <c r="K139" s="29">
        <f t="shared" si="89"/>
        <v>2717.1824999999999</v>
      </c>
      <c r="L139" s="29">
        <f t="shared" si="90"/>
        <v>23.447499999999998</v>
      </c>
      <c r="M139" s="29">
        <f t="shared" si="91"/>
        <v>-0.75</v>
      </c>
      <c r="N139" s="4">
        <f t="shared" si="92"/>
        <v>14536452</v>
      </c>
      <c r="O139" s="5">
        <f t="shared" si="100"/>
        <v>-4.4956678110184778E-2</v>
      </c>
      <c r="P139" s="5">
        <f t="shared" si="101"/>
        <v>-0.92550143266475648</v>
      </c>
      <c r="Q139" s="5">
        <f t="shared" si="102"/>
        <v>1.7981980634789174E-3</v>
      </c>
      <c r="R139" s="5">
        <f t="shared" si="103"/>
        <v>-8.4182543198937365E-3</v>
      </c>
      <c r="S139" s="5">
        <f t="shared" si="104"/>
        <v>-1.3125</v>
      </c>
      <c r="T139" s="5">
        <f t="shared" si="93"/>
        <v>-2.7267071558835676E-2</v>
      </c>
    </row>
    <row r="140" spans="2:20" x14ac:dyDescent="0.15">
      <c r="B140" s="17">
        <v>43693</v>
      </c>
      <c r="C140" s="1">
        <v>58.64</v>
      </c>
      <c r="D140" s="5">
        <v>4.28</v>
      </c>
      <c r="E140" s="1">
        <v>2615.1999999999998</v>
      </c>
      <c r="F140" s="1">
        <v>21.47</v>
      </c>
      <c r="G140" s="1">
        <v>-0.75</v>
      </c>
      <c r="H140" s="4">
        <v>13163153</v>
      </c>
      <c r="I140" s="29">
        <f t="shared" si="87"/>
        <v>61.407499999999999</v>
      </c>
      <c r="J140" s="29">
        <f t="shared" si="88"/>
        <v>3.1225000000000001</v>
      </c>
      <c r="K140" s="29">
        <f t="shared" si="89"/>
        <v>2692.7150000000001</v>
      </c>
      <c r="L140" s="29">
        <f t="shared" si="90"/>
        <v>23.0625</v>
      </c>
      <c r="M140" s="29">
        <f t="shared" si="91"/>
        <v>-0.3125</v>
      </c>
      <c r="N140" s="4">
        <f t="shared" si="92"/>
        <v>14759127.75</v>
      </c>
      <c r="O140" s="5">
        <f t="shared" si="100"/>
        <v>3.765833618623704E-3</v>
      </c>
      <c r="P140" s="5">
        <f t="shared" si="101"/>
        <v>15.461538461538463</v>
      </c>
      <c r="Q140" s="5">
        <f t="shared" si="102"/>
        <v>-2.4073500490724875E-2</v>
      </c>
      <c r="R140" s="5">
        <f t="shared" si="103"/>
        <v>-4.0661304736371751E-2</v>
      </c>
      <c r="S140" s="5">
        <f t="shared" si="104"/>
        <v>2</v>
      </c>
      <c r="T140" s="5">
        <f t="shared" si="93"/>
        <v>-0.11947212288368558</v>
      </c>
    </row>
    <row r="141" spans="2:20" x14ac:dyDescent="0.15">
      <c r="B141" s="17">
        <v>43700</v>
      </c>
      <c r="C141" s="1">
        <v>58.94</v>
      </c>
      <c r="D141" s="5">
        <v>1.57</v>
      </c>
      <c r="E141" s="1">
        <v>2660.74</v>
      </c>
      <c r="F141" s="1">
        <v>21.74</v>
      </c>
      <c r="G141" s="1">
        <v>-0.75</v>
      </c>
      <c r="H141" s="4">
        <v>18023241</v>
      </c>
      <c r="I141" s="29">
        <f t="shared" si="87"/>
        <v>60.405000000000001</v>
      </c>
      <c r="J141" s="29">
        <f t="shared" si="88"/>
        <v>3.4950000000000001</v>
      </c>
      <c r="K141" s="29">
        <f t="shared" si="89"/>
        <v>2671.3724999999999</v>
      </c>
      <c r="L141" s="29">
        <f t="shared" si="90"/>
        <v>22.515000000000001</v>
      </c>
      <c r="M141" s="29">
        <f t="shared" si="91"/>
        <v>0</v>
      </c>
      <c r="N141" s="4">
        <f t="shared" si="92"/>
        <v>14973592.5</v>
      </c>
      <c r="O141" s="5">
        <f t="shared" si="100"/>
        <v>5.1159618008185248E-3</v>
      </c>
      <c r="P141" s="5">
        <f t="shared" si="101"/>
        <v>-0.63317757009345788</v>
      </c>
      <c r="Q141" s="5">
        <f t="shared" si="102"/>
        <v>1.7413582135209493E-2</v>
      </c>
      <c r="R141" s="5">
        <f t="shared" si="103"/>
        <v>1.2575687005123459E-2</v>
      </c>
      <c r="S141" s="5">
        <f t="shared" si="104"/>
        <v>0</v>
      </c>
      <c r="T141" s="5">
        <f t="shared" si="93"/>
        <v>0.36921913769444137</v>
      </c>
    </row>
    <row r="142" spans="2:20" x14ac:dyDescent="0.15">
      <c r="B142" s="17">
        <v>43707</v>
      </c>
      <c r="C142" s="1">
        <v>60.43</v>
      </c>
      <c r="D142" s="5">
        <v>2.2400000000000002</v>
      </c>
      <c r="E142" s="1">
        <v>2740.04</v>
      </c>
      <c r="F142" s="1">
        <v>22.26</v>
      </c>
      <c r="G142" s="1">
        <v>-1</v>
      </c>
      <c r="H142" s="4">
        <v>15123148</v>
      </c>
      <c r="I142" s="29">
        <f t="shared" si="87"/>
        <v>59.292500000000004</v>
      </c>
      <c r="J142" s="29">
        <f t="shared" si="88"/>
        <v>2.4000000000000004</v>
      </c>
      <c r="K142" s="29">
        <f t="shared" si="89"/>
        <v>2657.6374999999998</v>
      </c>
      <c r="L142" s="29">
        <f t="shared" si="90"/>
        <v>22.04</v>
      </c>
      <c r="M142" s="29">
        <f t="shared" si="91"/>
        <v>-0.23749999999999999</v>
      </c>
      <c r="N142" s="4">
        <f t="shared" si="92"/>
        <v>15375940.5</v>
      </c>
      <c r="O142" s="5">
        <f t="shared" si="100"/>
        <v>2.5279945707499252E-2</v>
      </c>
      <c r="P142" s="5">
        <f t="shared" si="101"/>
        <v>0.42675159235668803</v>
      </c>
      <c r="Q142" s="5">
        <f t="shared" si="102"/>
        <v>2.9803738809504265E-2</v>
      </c>
      <c r="R142" s="5">
        <f t="shared" si="103"/>
        <v>2.3919043238270543E-2</v>
      </c>
      <c r="S142" s="5">
        <f t="shared" si="104"/>
        <v>0.33333333333333326</v>
      </c>
      <c r="T142" s="5">
        <f t="shared" si="93"/>
        <v>-0.16090851806287232</v>
      </c>
    </row>
    <row r="143" spans="2:20" x14ac:dyDescent="0.15">
      <c r="B143" s="17">
        <v>43714</v>
      </c>
      <c r="C143" s="1">
        <v>61.78</v>
      </c>
      <c r="D143" s="5">
        <v>0.77</v>
      </c>
      <c r="E143" s="1">
        <v>2797.55</v>
      </c>
      <c r="F143" s="1">
        <v>23.07</v>
      </c>
      <c r="G143" s="1">
        <v>-2.2000000000000002</v>
      </c>
      <c r="H143" s="4">
        <v>14196672</v>
      </c>
      <c r="I143" s="29">
        <f t="shared" si="87"/>
        <v>59.107500000000002</v>
      </c>
      <c r="J143" s="29">
        <f t="shared" si="88"/>
        <v>2.0875000000000004</v>
      </c>
      <c r="K143" s="29">
        <f t="shared" si="89"/>
        <v>2673.9224999999997</v>
      </c>
      <c r="L143" s="29">
        <f t="shared" si="90"/>
        <v>21.962499999999999</v>
      </c>
      <c r="M143" s="29">
        <f t="shared" si="91"/>
        <v>-0.6875</v>
      </c>
      <c r="N143" s="4">
        <f t="shared" si="92"/>
        <v>15314675.75</v>
      </c>
      <c r="O143" s="5">
        <f t="shared" si="100"/>
        <v>2.2339897401952635E-2</v>
      </c>
      <c r="P143" s="5">
        <f t="shared" si="101"/>
        <v>-0.65625</v>
      </c>
      <c r="Q143" s="5">
        <f t="shared" si="102"/>
        <v>2.0988744689858674E-2</v>
      </c>
      <c r="R143" s="5">
        <f t="shared" si="103"/>
        <v>3.638814016172498E-2</v>
      </c>
      <c r="S143" s="5">
        <f t="shared" si="104"/>
        <v>1.2000000000000002</v>
      </c>
      <c r="T143" s="5">
        <f t="shared" si="93"/>
        <v>-6.1262112888136766E-2</v>
      </c>
    </row>
    <row r="144" spans="2:20" x14ac:dyDescent="0.15">
      <c r="B144" s="17">
        <v>43721</v>
      </c>
      <c r="C144" s="1">
        <v>60.25</v>
      </c>
      <c r="D144" s="5">
        <v>0.52</v>
      </c>
      <c r="E144" s="1">
        <v>2791.74</v>
      </c>
      <c r="F144" s="1">
        <v>23.61</v>
      </c>
      <c r="G144" s="1">
        <v>-1.65</v>
      </c>
      <c r="H144" s="4">
        <v>13023830</v>
      </c>
      <c r="I144" s="29">
        <f t="shared" si="87"/>
        <v>59.947499999999998</v>
      </c>
      <c r="J144" s="29">
        <f t="shared" si="88"/>
        <v>2.2149999999999999</v>
      </c>
      <c r="K144" s="29">
        <f t="shared" si="89"/>
        <v>2703.3824999999997</v>
      </c>
      <c r="L144" s="29">
        <f t="shared" si="90"/>
        <v>22.134999999999998</v>
      </c>
      <c r="M144" s="29">
        <f t="shared" si="91"/>
        <v>-1.175</v>
      </c>
      <c r="N144" s="4">
        <f t="shared" si="92"/>
        <v>15126553.5</v>
      </c>
      <c r="O144" s="5">
        <f t="shared" si="100"/>
        <v>-2.476529621236645E-2</v>
      </c>
      <c r="P144" s="5">
        <f t="shared" si="101"/>
        <v>-0.32467532467532467</v>
      </c>
      <c r="Q144" s="5">
        <f t="shared" si="102"/>
        <v>-2.0768172150633646E-3</v>
      </c>
      <c r="R144" s="5">
        <f t="shared" si="103"/>
        <v>2.3407022106632036E-2</v>
      </c>
      <c r="S144" s="5">
        <f t="shared" si="104"/>
        <v>-0.25000000000000011</v>
      </c>
      <c r="T144" s="5">
        <f t="shared" si="93"/>
        <v>-8.2613868940551671E-2</v>
      </c>
    </row>
    <row r="145" spans="2:20" x14ac:dyDescent="0.15">
      <c r="B145" s="17">
        <v>43728</v>
      </c>
      <c r="C145" s="1">
        <v>64.77</v>
      </c>
      <c r="D145" s="5">
        <v>2.74</v>
      </c>
      <c r="E145" s="1">
        <v>2796.41</v>
      </c>
      <c r="F145" s="1">
        <v>23.43</v>
      </c>
      <c r="G145" s="1">
        <v>-0.9</v>
      </c>
      <c r="H145" s="4">
        <v>10243935</v>
      </c>
      <c r="I145" s="29">
        <f t="shared" si="87"/>
        <v>60.35</v>
      </c>
      <c r="J145" s="29">
        <f t="shared" si="88"/>
        <v>1.2749999999999999</v>
      </c>
      <c r="K145" s="29">
        <f t="shared" si="89"/>
        <v>2747.5174999999999</v>
      </c>
      <c r="L145" s="29">
        <f t="shared" si="90"/>
        <v>22.669999999999998</v>
      </c>
      <c r="M145" s="29">
        <f t="shared" si="91"/>
        <v>-1.4</v>
      </c>
      <c r="N145" s="4">
        <f t="shared" si="92"/>
        <v>15091722.75</v>
      </c>
      <c r="O145" s="5">
        <f t="shared" si="100"/>
        <v>7.5020746887966672E-2</v>
      </c>
      <c r="P145" s="5">
        <f t="shared" si="101"/>
        <v>4.2692307692307692</v>
      </c>
      <c r="Q145" s="5">
        <f t="shared" si="102"/>
        <v>1.6727918788999041E-3</v>
      </c>
      <c r="R145" s="5">
        <f t="shared" si="103"/>
        <v>-7.6238881829733263E-3</v>
      </c>
      <c r="S145" s="5">
        <f t="shared" si="104"/>
        <v>-0.45454545454545447</v>
      </c>
      <c r="T145" s="5">
        <f t="shared" si="93"/>
        <v>-0.21344681249678477</v>
      </c>
    </row>
    <row r="146" spans="2:20" x14ac:dyDescent="0.15">
      <c r="B146" s="17">
        <v>43735</v>
      </c>
      <c r="C146" s="1">
        <v>61.91</v>
      </c>
      <c r="D146" s="5">
        <v>-1.72</v>
      </c>
      <c r="E146" s="1">
        <v>2757.98</v>
      </c>
      <c r="F146" s="1">
        <v>22.98</v>
      </c>
      <c r="G146" s="1">
        <v>-2.85</v>
      </c>
      <c r="H146" s="4">
        <v>8236559</v>
      </c>
      <c r="I146" s="29">
        <f t="shared" si="87"/>
        <v>61.807500000000005</v>
      </c>
      <c r="J146" s="29">
        <f t="shared" si="88"/>
        <v>1.5675000000000001</v>
      </c>
      <c r="K146" s="29">
        <f t="shared" si="89"/>
        <v>2781.4349999999999</v>
      </c>
      <c r="L146" s="29">
        <f t="shared" si="90"/>
        <v>23.092500000000001</v>
      </c>
      <c r="M146" s="29">
        <f t="shared" si="91"/>
        <v>-1.4375</v>
      </c>
      <c r="N146" s="4">
        <f t="shared" si="92"/>
        <v>13146896.25</v>
      </c>
      <c r="O146" s="5">
        <f t="shared" si="100"/>
        <v>-4.415624517523542E-2</v>
      </c>
      <c r="P146" s="5">
        <f t="shared" si="101"/>
        <v>-1.6277372262773722</v>
      </c>
      <c r="Q146" s="5">
        <f t="shared" si="102"/>
        <v>-1.3742620002074046E-2</v>
      </c>
      <c r="R146" s="5">
        <f t="shared" si="103"/>
        <v>-1.9206145966709331E-2</v>
      </c>
      <c r="S146" s="5">
        <f t="shared" si="104"/>
        <v>2.1666666666666665</v>
      </c>
      <c r="T146" s="5">
        <f t="shared" si="93"/>
        <v>-0.19595751046838938</v>
      </c>
    </row>
    <row r="147" spans="2:20" x14ac:dyDescent="0.15">
      <c r="B147" s="17">
        <v>43742</v>
      </c>
      <c r="C147" s="1">
        <v>58.43</v>
      </c>
      <c r="D147" s="5">
        <v>-1.59</v>
      </c>
      <c r="E147" s="1">
        <v>2692.55</v>
      </c>
      <c r="F147" s="1">
        <v>22.51</v>
      </c>
      <c r="G147" s="1">
        <v>-2.1</v>
      </c>
      <c r="H147" s="4">
        <v>11728656</v>
      </c>
      <c r="I147" s="29">
        <f t="shared" si="87"/>
        <v>62.177500000000002</v>
      </c>
      <c r="J147" s="29">
        <f t="shared" si="88"/>
        <v>0.57750000000000012</v>
      </c>
      <c r="K147" s="29">
        <f t="shared" si="89"/>
        <v>2785.92</v>
      </c>
      <c r="L147" s="29">
        <f t="shared" si="90"/>
        <v>23.272500000000001</v>
      </c>
      <c r="M147" s="29">
        <f t="shared" si="91"/>
        <v>-1.9</v>
      </c>
      <c r="N147" s="4">
        <f t="shared" si="92"/>
        <v>11425249</v>
      </c>
      <c r="O147" s="5">
        <f t="shared" si="100"/>
        <v>-5.6210628331448853E-2</v>
      </c>
      <c r="P147" s="5">
        <f t="shared" si="101"/>
        <v>-7.5581395348837122E-2</v>
      </c>
      <c r="Q147" s="5">
        <f t="shared" si="102"/>
        <v>-2.3723884872261514E-2</v>
      </c>
      <c r="R147" s="5">
        <f t="shared" si="103"/>
        <v>-2.0452567449956383E-2</v>
      </c>
      <c r="S147" s="5">
        <f t="shared" si="104"/>
        <v>-0.26315789473684215</v>
      </c>
      <c r="T147" s="5">
        <f t="shared" si="93"/>
        <v>0.42397523043300001</v>
      </c>
    </row>
    <row r="148" spans="2:20" x14ac:dyDescent="0.15">
      <c r="B148" s="17">
        <v>43749</v>
      </c>
      <c r="C148" s="1">
        <v>60.68</v>
      </c>
      <c r="D148" s="5">
        <v>3.26</v>
      </c>
      <c r="E148" s="1">
        <v>2708.07</v>
      </c>
      <c r="F148" s="1">
        <v>22.92</v>
      </c>
      <c r="G148" s="1">
        <v>-1.6</v>
      </c>
      <c r="H148" s="4">
        <v>11860171</v>
      </c>
      <c r="I148" s="29">
        <f t="shared" si="87"/>
        <v>61.34</v>
      </c>
      <c r="J148" s="29">
        <f t="shared" si="88"/>
        <v>-1.2499999999999956E-2</v>
      </c>
      <c r="K148" s="29">
        <f t="shared" si="89"/>
        <v>2759.67</v>
      </c>
      <c r="L148" s="29">
        <f t="shared" si="90"/>
        <v>23.1325</v>
      </c>
      <c r="M148" s="29">
        <f t="shared" si="91"/>
        <v>-1.875</v>
      </c>
      <c r="N148" s="4">
        <f t="shared" si="92"/>
        <v>10808245</v>
      </c>
      <c r="O148" s="5">
        <f t="shared" si="100"/>
        <v>3.8507615950710283E-2</v>
      </c>
      <c r="P148" s="5">
        <f t="shared" si="101"/>
        <v>-3.0503144654088046</v>
      </c>
      <c r="Q148" s="5">
        <f t="shared" si="102"/>
        <v>5.7640526638316203E-3</v>
      </c>
      <c r="R148" s="5">
        <f t="shared" si="103"/>
        <v>1.8214127054642315E-2</v>
      </c>
      <c r="S148" s="5">
        <f t="shared" si="104"/>
        <v>-0.23809523809523814</v>
      </c>
      <c r="T148" s="5">
        <f t="shared" si="93"/>
        <v>1.1213134735983399E-2</v>
      </c>
    </row>
    <row r="149" spans="2:20" x14ac:dyDescent="0.15">
      <c r="B149" s="17">
        <v>43756</v>
      </c>
      <c r="C149" s="1">
        <v>59.3</v>
      </c>
      <c r="D149" s="5">
        <v>1.8</v>
      </c>
      <c r="E149" s="1">
        <v>2752.91</v>
      </c>
      <c r="F149" s="1">
        <v>23.02</v>
      </c>
      <c r="G149" s="1">
        <v>-2.1</v>
      </c>
      <c r="H149" s="4">
        <v>11664488</v>
      </c>
      <c r="I149" s="29">
        <f t="shared" si="87"/>
        <v>61.447499999999998</v>
      </c>
      <c r="J149" s="29">
        <f t="shared" si="88"/>
        <v>0.67249999999999999</v>
      </c>
      <c r="K149" s="29">
        <f t="shared" si="89"/>
        <v>2738.7524999999996</v>
      </c>
      <c r="L149" s="29">
        <f t="shared" si="90"/>
        <v>22.96</v>
      </c>
      <c r="M149" s="29">
        <f t="shared" si="91"/>
        <v>-1.8624999999999998</v>
      </c>
      <c r="N149" s="4">
        <f t="shared" si="92"/>
        <v>10517330.25</v>
      </c>
      <c r="O149" s="5">
        <f t="shared" si="100"/>
        <v>-2.2742254449571564E-2</v>
      </c>
      <c r="P149" s="5">
        <f t="shared" si="101"/>
        <v>-0.44785276073619629</v>
      </c>
      <c r="Q149" s="5">
        <f t="shared" si="102"/>
        <v>1.6557917631375707E-2</v>
      </c>
      <c r="R149" s="5">
        <f t="shared" si="103"/>
        <v>4.3630017452005454E-3</v>
      </c>
      <c r="S149" s="5">
        <f t="shared" si="104"/>
        <v>0.3125</v>
      </c>
      <c r="T149" s="5">
        <f t="shared" si="93"/>
        <v>-1.6499171892209619E-2</v>
      </c>
    </row>
    <row r="150" spans="2:20" x14ac:dyDescent="0.15">
      <c r="B150" s="17">
        <v>43763</v>
      </c>
      <c r="C150" s="1">
        <v>62.03</v>
      </c>
      <c r="D150" s="5">
        <v>4.58</v>
      </c>
      <c r="E150" s="1">
        <v>2873.41</v>
      </c>
      <c r="F150" s="1">
        <v>24.11</v>
      </c>
      <c r="G150" s="1">
        <v>-0.65</v>
      </c>
      <c r="H150" s="4">
        <v>8073516</v>
      </c>
      <c r="I150" s="29">
        <f t="shared" si="87"/>
        <v>60.08</v>
      </c>
      <c r="J150" s="29">
        <f t="shared" si="88"/>
        <v>0.43749999999999994</v>
      </c>
      <c r="K150" s="29">
        <f t="shared" si="89"/>
        <v>2727.8775000000001</v>
      </c>
      <c r="L150" s="29">
        <f t="shared" si="90"/>
        <v>22.857499999999998</v>
      </c>
      <c r="M150" s="29">
        <f t="shared" si="91"/>
        <v>-2.1625000000000001</v>
      </c>
      <c r="N150" s="4">
        <f t="shared" si="92"/>
        <v>10872468.5</v>
      </c>
      <c r="O150" s="5">
        <f t="shared" si="100"/>
        <v>4.6037099494097955E-2</v>
      </c>
      <c r="P150" s="5">
        <f t="shared" si="101"/>
        <v>1.5444444444444443</v>
      </c>
      <c r="Q150" s="5">
        <f t="shared" si="102"/>
        <v>4.3771863228365682E-2</v>
      </c>
      <c r="R150" s="5">
        <f t="shared" si="103"/>
        <v>4.7350130321459627E-2</v>
      </c>
      <c r="S150" s="5">
        <f t="shared" si="104"/>
        <v>-0.69047619047619047</v>
      </c>
      <c r="T150" s="5">
        <f t="shared" si="93"/>
        <v>-0.30785508973904385</v>
      </c>
    </row>
    <row r="151" spans="2:20" x14ac:dyDescent="0.15">
      <c r="B151" s="17">
        <v>43770</v>
      </c>
      <c r="C151" s="1">
        <v>61.55</v>
      </c>
      <c r="D151" s="5">
        <v>1.6</v>
      </c>
      <c r="E151" s="1">
        <v>2930.4</v>
      </c>
      <c r="F151" s="1">
        <v>24.75</v>
      </c>
      <c r="G151" s="1">
        <v>0.4</v>
      </c>
      <c r="H151" s="4">
        <v>14527054</v>
      </c>
      <c r="I151" s="29">
        <f t="shared" si="87"/>
        <v>60.11</v>
      </c>
      <c r="J151" s="29">
        <f t="shared" si="88"/>
        <v>2.0125000000000002</v>
      </c>
      <c r="K151" s="29">
        <f t="shared" si="89"/>
        <v>2756.7350000000001</v>
      </c>
      <c r="L151" s="29">
        <f t="shared" si="90"/>
        <v>23.14</v>
      </c>
      <c r="M151" s="29">
        <f t="shared" si="91"/>
        <v>-1.6125000000000003</v>
      </c>
      <c r="N151" s="4">
        <f t="shared" si="92"/>
        <v>10831707.75</v>
      </c>
      <c r="O151" s="5">
        <f t="shared" si="100"/>
        <v>-7.738191197807609E-3</v>
      </c>
      <c r="P151" s="5">
        <f t="shared" si="101"/>
        <v>-0.6506550218340611</v>
      </c>
      <c r="Q151" s="5">
        <f t="shared" si="102"/>
        <v>1.9833577526353841E-2</v>
      </c>
      <c r="R151" s="5">
        <f t="shared" si="103"/>
        <v>2.6545002073828261E-2</v>
      </c>
      <c r="S151" s="5">
        <f t="shared" si="104"/>
        <v>-1.6153846153846154</v>
      </c>
      <c r="T151" s="5">
        <f t="shared" si="93"/>
        <v>0.79934665392376747</v>
      </c>
    </row>
    <row r="152" spans="2:20" x14ac:dyDescent="0.15">
      <c r="B152" s="17">
        <v>43777</v>
      </c>
      <c r="C152" s="1">
        <v>62.61</v>
      </c>
      <c r="D152" s="5">
        <v>-0.36</v>
      </c>
      <c r="E152" s="1">
        <v>2973.19</v>
      </c>
      <c r="F152" s="1">
        <v>24.97</v>
      </c>
      <c r="G152" s="1">
        <v>0.4</v>
      </c>
      <c r="H152" s="4">
        <v>13941599.903846154</v>
      </c>
      <c r="I152" s="29">
        <f t="shared" si="87"/>
        <v>60.89</v>
      </c>
      <c r="J152" s="29">
        <f t="shared" si="88"/>
        <v>2.81</v>
      </c>
      <c r="K152" s="29">
        <f t="shared" si="89"/>
        <v>2816.1974999999998</v>
      </c>
      <c r="L152" s="29">
        <f t="shared" si="90"/>
        <v>23.7</v>
      </c>
      <c r="M152" s="29">
        <f t="shared" si="91"/>
        <v>-0.98750000000000016</v>
      </c>
      <c r="N152" s="4">
        <f t="shared" si="92"/>
        <v>11531307.25</v>
      </c>
      <c r="O152" s="5">
        <f t="shared" si="100"/>
        <v>1.7221770917952961E-2</v>
      </c>
      <c r="P152" s="5">
        <f t="shared" si="101"/>
        <v>-1.2250000000000001</v>
      </c>
      <c r="Q152" s="5">
        <f t="shared" si="102"/>
        <v>1.460210210210211E-2</v>
      </c>
      <c r="R152" s="5">
        <f t="shared" si="103"/>
        <v>8.8888888888889461E-3</v>
      </c>
      <c r="S152" s="5">
        <f t="shared" si="104"/>
        <v>0</v>
      </c>
      <c r="T152" s="5">
        <f t="shared" si="93"/>
        <v>-4.0300951325289103E-2</v>
      </c>
    </row>
    <row r="153" spans="2:20" x14ac:dyDescent="0.15">
      <c r="B153" s="17">
        <v>43784</v>
      </c>
      <c r="C153" s="1">
        <v>63.45</v>
      </c>
      <c r="D153" s="5">
        <v>-0.85</v>
      </c>
      <c r="E153" s="1">
        <v>2934.82</v>
      </c>
      <c r="F153" s="1">
        <v>24.73</v>
      </c>
      <c r="G153" s="1">
        <v>0.4</v>
      </c>
      <c r="H153" s="4">
        <v>12737889</v>
      </c>
      <c r="I153" s="29">
        <f t="shared" si="87"/>
        <v>61.372500000000002</v>
      </c>
      <c r="J153" s="29">
        <f t="shared" si="88"/>
        <v>1.905</v>
      </c>
      <c r="K153" s="29">
        <f t="shared" si="89"/>
        <v>2882.4775</v>
      </c>
      <c r="L153" s="29">
        <f t="shared" si="90"/>
        <v>24.212499999999999</v>
      </c>
      <c r="M153" s="29">
        <f t="shared" si="91"/>
        <v>-0.48750000000000004</v>
      </c>
      <c r="N153" s="4">
        <f t="shared" si="92"/>
        <v>12051664.475961538</v>
      </c>
      <c r="O153" s="5">
        <f t="shared" si="100"/>
        <v>1.3416387158600829E-2</v>
      </c>
      <c r="P153" s="5">
        <f t="shared" si="101"/>
        <v>1.3611111111111112</v>
      </c>
      <c r="Q153" s="5">
        <f t="shared" si="102"/>
        <v>-1.2905330638136148E-2</v>
      </c>
      <c r="R153" s="5">
        <f t="shared" si="103"/>
        <v>-9.6115338406086437E-3</v>
      </c>
      <c r="S153" s="5">
        <f t="shared" si="104"/>
        <v>0</v>
      </c>
      <c r="T153" s="5">
        <f t="shared" si="93"/>
        <v>-8.6339509966433581E-2</v>
      </c>
    </row>
    <row r="154" spans="2:20" x14ac:dyDescent="0.15">
      <c r="B154" s="17">
        <v>43791</v>
      </c>
      <c r="C154" s="1">
        <v>63.5</v>
      </c>
      <c r="D154" s="5">
        <v>-0.22</v>
      </c>
      <c r="E154" s="1">
        <v>2947.68</v>
      </c>
      <c r="F154" s="1">
        <v>24.63</v>
      </c>
      <c r="G154" s="1">
        <v>-0.95</v>
      </c>
      <c r="H154" s="4">
        <v>13488404</v>
      </c>
      <c r="I154" s="29">
        <f t="shared" si="87"/>
        <v>62.41</v>
      </c>
      <c r="J154" s="29">
        <f t="shared" si="88"/>
        <v>1.2424999999999999</v>
      </c>
      <c r="K154" s="29">
        <f t="shared" si="89"/>
        <v>2927.9549999999999</v>
      </c>
      <c r="L154" s="29">
        <f t="shared" si="90"/>
        <v>24.64</v>
      </c>
      <c r="M154" s="29">
        <f t="shared" si="91"/>
        <v>0.13750000000000001</v>
      </c>
      <c r="N154" s="4">
        <f t="shared" si="92"/>
        <v>12320014.725961538</v>
      </c>
      <c r="O154" s="5">
        <f t="shared" si="100"/>
        <v>7.8802206461769941E-4</v>
      </c>
      <c r="P154" s="5">
        <f t="shared" si="101"/>
        <v>-0.74117647058823533</v>
      </c>
      <c r="Q154" s="5">
        <f t="shared" si="102"/>
        <v>4.3818700976550051E-3</v>
      </c>
      <c r="R154" s="5">
        <f t="shared" si="103"/>
        <v>-4.043671653861769E-3</v>
      </c>
      <c r="S154" s="5">
        <f t="shared" si="104"/>
        <v>-3.3749999999999996</v>
      </c>
      <c r="T154" s="5">
        <f t="shared" si="93"/>
        <v>5.8919888530980291E-2</v>
      </c>
    </row>
    <row r="155" spans="2:20" hidden="1" x14ac:dyDescent="0.15">
      <c r="B155" s="17">
        <v>43797</v>
      </c>
      <c r="C155" s="1">
        <v>63.92</v>
      </c>
      <c r="D155" s="1" t="s">
        <v>34</v>
      </c>
      <c r="E155" s="1" t="s">
        <v>34</v>
      </c>
      <c r="F155" s="1" t="s">
        <v>34</v>
      </c>
      <c r="G155" s="1" t="s">
        <v>34</v>
      </c>
      <c r="H155" s="4">
        <v>13337613</v>
      </c>
      <c r="I155" s="29">
        <f t="shared" ref="I155:I173" si="105">AVERAGE(C151:C154)</f>
        <v>62.777500000000003</v>
      </c>
      <c r="J155" s="29">
        <f t="shared" ref="J155:J173" si="106">AVERAGE(D151:D154)</f>
        <v>4.2500000000000059E-2</v>
      </c>
      <c r="K155" s="29">
        <f t="shared" ref="K155:K173" si="107">AVERAGE(E151:E154)</f>
        <v>2946.5225</v>
      </c>
      <c r="L155" s="29">
        <f t="shared" ref="L155:L173" si="108">AVERAGE(F151:F154)</f>
        <v>24.77</v>
      </c>
      <c r="M155" s="29">
        <f t="shared" ref="M155:M173" si="109">AVERAGE(G151:G154)</f>
        <v>6.2500000000000056E-2</v>
      </c>
      <c r="N155" s="4">
        <f t="shared" ref="N155:N173" si="110">AVERAGE(H151:H154)</f>
        <v>13673736.725961538</v>
      </c>
      <c r="O155" s="5">
        <f>IFERROR(C155/C154-1,0)</f>
        <v>6.6141732283464538E-3</v>
      </c>
      <c r="P155" s="5">
        <f>IFERROR(D155/D154-1,0)</f>
        <v>0</v>
      </c>
      <c r="Q155" s="5">
        <f>IFERROR(E155/E154-1,0)</f>
        <v>0</v>
      </c>
      <c r="R155" s="5">
        <f>IFERROR(F155/F154-1,0)</f>
        <v>0</v>
      </c>
      <c r="S155" s="5">
        <f>IFERROR(G155/G154-1,0)</f>
        <v>0</v>
      </c>
      <c r="T155" s="5">
        <f t="shared" ref="T155:T173" si="111">IFERROR(H155/H154-1,0)</f>
        <v>-1.1179306313778836E-2</v>
      </c>
    </row>
    <row r="156" spans="2:20" x14ac:dyDescent="0.15">
      <c r="B156" s="17">
        <v>43805</v>
      </c>
      <c r="C156" s="1">
        <v>64.27</v>
      </c>
      <c r="D156" s="5">
        <v>-1.92</v>
      </c>
      <c r="E156" s="1">
        <v>2928.76</v>
      </c>
      <c r="F156" s="1">
        <v>24.47</v>
      </c>
      <c r="G156" s="1">
        <v>-2</v>
      </c>
      <c r="H156" s="4">
        <v>14365312</v>
      </c>
      <c r="I156" s="29">
        <f t="shared" si="105"/>
        <v>63.370000000000005</v>
      </c>
      <c r="J156" s="29">
        <f t="shared" si="106"/>
        <v>-0.47666666666666663</v>
      </c>
      <c r="K156" s="29">
        <f t="shared" si="107"/>
        <v>2951.896666666667</v>
      </c>
      <c r="L156" s="29">
        <f t="shared" si="108"/>
        <v>24.776666666666667</v>
      </c>
      <c r="M156" s="29">
        <f t="shared" si="109"/>
        <v>-4.9999999999999968E-2</v>
      </c>
      <c r="N156" s="4">
        <f t="shared" si="110"/>
        <v>13376376.475961538</v>
      </c>
      <c r="O156" s="5">
        <f t="shared" ref="O156:O173" si="112">IFERROR(C156/C155-1,0)</f>
        <v>5.4755944931164091E-3</v>
      </c>
      <c r="P156" s="5">
        <f t="shared" ref="P156:P173" si="113">IFERROR(D156/D155-1,0)</f>
        <v>0</v>
      </c>
      <c r="Q156" s="5">
        <f t="shared" ref="Q156:Q173" si="114">IFERROR(E156/E155-1,0)</f>
        <v>0</v>
      </c>
      <c r="R156" s="5">
        <f t="shared" ref="R156:R173" si="115">IFERROR(F156/F155-1,0)</f>
        <v>0</v>
      </c>
      <c r="S156" s="5">
        <f t="shared" ref="S156:S173" si="116">IFERROR(G156/G155-1,0)</f>
        <v>0</v>
      </c>
      <c r="T156" s="5">
        <f t="shared" si="111"/>
        <v>7.7052693011860462E-2</v>
      </c>
    </row>
    <row r="157" spans="2:20" x14ac:dyDescent="0.15">
      <c r="B157" s="17">
        <v>43812</v>
      </c>
      <c r="C157" s="1">
        <v>64.989999999999995</v>
      </c>
      <c r="D157" s="5">
        <v>-2</v>
      </c>
      <c r="E157" s="1">
        <v>2996.63</v>
      </c>
      <c r="F157" s="1">
        <v>25.58</v>
      </c>
      <c r="G157" s="1">
        <v>-2.5</v>
      </c>
      <c r="H157" s="4">
        <v>12606085</v>
      </c>
      <c r="I157" s="29">
        <f t="shared" si="105"/>
        <v>63.784999999999997</v>
      </c>
      <c r="J157" s="29">
        <f t="shared" si="106"/>
        <v>-0.9966666666666667</v>
      </c>
      <c r="K157" s="29">
        <f t="shared" si="107"/>
        <v>2937.0866666666666</v>
      </c>
      <c r="L157" s="29">
        <f t="shared" si="108"/>
        <v>24.61</v>
      </c>
      <c r="M157" s="29">
        <f t="shared" si="109"/>
        <v>-0.85</v>
      </c>
      <c r="N157" s="4">
        <f t="shared" si="110"/>
        <v>13482304.5</v>
      </c>
      <c r="O157" s="5">
        <f t="shared" si="112"/>
        <v>1.1202738447176008E-2</v>
      </c>
      <c r="P157" s="5">
        <f t="shared" si="113"/>
        <v>4.1666666666666741E-2</v>
      </c>
      <c r="Q157" s="5">
        <f t="shared" si="114"/>
        <v>2.3173629795544937E-2</v>
      </c>
      <c r="R157" s="5">
        <f t="shared" si="115"/>
        <v>4.5361667347772805E-2</v>
      </c>
      <c r="S157" s="5">
        <f t="shared" si="116"/>
        <v>0.25</v>
      </c>
      <c r="T157" s="5">
        <f t="shared" si="111"/>
        <v>-0.12246354273405269</v>
      </c>
    </row>
    <row r="158" spans="2:20" x14ac:dyDescent="0.15">
      <c r="B158" s="17">
        <v>43819</v>
      </c>
      <c r="C158" s="1">
        <v>66.099999999999994</v>
      </c>
      <c r="D158" s="5">
        <v>-0.79</v>
      </c>
      <c r="E158" s="1">
        <v>3015.93</v>
      </c>
      <c r="F158" s="1">
        <v>26</v>
      </c>
      <c r="G158" s="1">
        <v>-3.1</v>
      </c>
      <c r="H158" s="4">
        <v>15536455</v>
      </c>
      <c r="I158" s="29">
        <f t="shared" si="105"/>
        <v>64.17</v>
      </c>
      <c r="J158" s="29">
        <f t="shared" si="106"/>
        <v>-1.3800000000000001</v>
      </c>
      <c r="K158" s="29">
        <f t="shared" si="107"/>
        <v>2957.69</v>
      </c>
      <c r="L158" s="29">
        <f t="shared" si="108"/>
        <v>24.893333333333331</v>
      </c>
      <c r="M158" s="29">
        <f t="shared" si="109"/>
        <v>-1.8166666666666667</v>
      </c>
      <c r="N158" s="4">
        <f t="shared" si="110"/>
        <v>13449353.5</v>
      </c>
      <c r="O158" s="5">
        <f t="shared" si="112"/>
        <v>1.7079550700107804E-2</v>
      </c>
      <c r="P158" s="5">
        <f t="shared" si="113"/>
        <v>-0.60499999999999998</v>
      </c>
      <c r="Q158" s="5">
        <f t="shared" si="114"/>
        <v>6.440568238321065E-3</v>
      </c>
      <c r="R158" s="5">
        <f t="shared" si="115"/>
        <v>1.6419077404222104E-2</v>
      </c>
      <c r="S158" s="5">
        <f t="shared" si="116"/>
        <v>0.24</v>
      </c>
      <c r="T158" s="5">
        <f t="shared" si="111"/>
        <v>0.23245678575069095</v>
      </c>
    </row>
    <row r="159" spans="2:20" x14ac:dyDescent="0.15">
      <c r="B159" s="17">
        <v>43826</v>
      </c>
      <c r="C159" s="1">
        <v>68.2</v>
      </c>
      <c r="D159" s="5">
        <v>-0.89</v>
      </c>
      <c r="E159" s="1">
        <v>3050.47</v>
      </c>
      <c r="F159" s="1">
        <v>25.06</v>
      </c>
      <c r="G159" s="1">
        <v>-4.55</v>
      </c>
      <c r="H159" s="4">
        <v>13043148</v>
      </c>
      <c r="I159" s="29">
        <f t="shared" si="105"/>
        <v>64.819999999999993</v>
      </c>
      <c r="J159" s="29">
        <f t="shared" si="106"/>
        <v>-1.57</v>
      </c>
      <c r="K159" s="29">
        <f t="shared" si="107"/>
        <v>2980.44</v>
      </c>
      <c r="L159" s="29">
        <f t="shared" si="108"/>
        <v>25.349999999999998</v>
      </c>
      <c r="M159" s="29">
        <f t="shared" si="109"/>
        <v>-2.5333333333333332</v>
      </c>
      <c r="N159" s="4">
        <f t="shared" si="110"/>
        <v>13961366.25</v>
      </c>
      <c r="O159" s="5">
        <f t="shared" si="112"/>
        <v>3.1770045385779211E-2</v>
      </c>
      <c r="P159" s="5">
        <f t="shared" si="113"/>
        <v>0.12658227848101267</v>
      </c>
      <c r="Q159" s="5">
        <f t="shared" si="114"/>
        <v>1.1452520449745096E-2</v>
      </c>
      <c r="R159" s="5">
        <f t="shared" si="115"/>
        <v>-3.6153846153846203E-2</v>
      </c>
      <c r="S159" s="5">
        <f t="shared" si="116"/>
        <v>0.46774193548387077</v>
      </c>
      <c r="T159" s="5">
        <f t="shared" si="111"/>
        <v>-0.16048107499426345</v>
      </c>
    </row>
    <row r="160" spans="2:20" x14ac:dyDescent="0.15">
      <c r="B160" s="17">
        <v>43833</v>
      </c>
      <c r="C160" s="1">
        <v>68.7</v>
      </c>
      <c r="D160" s="5">
        <v>0</v>
      </c>
      <c r="E160" s="1">
        <v>3076.37</v>
      </c>
      <c r="F160" s="1">
        <v>25.1</v>
      </c>
      <c r="G160" s="1">
        <v>-3.5</v>
      </c>
      <c r="H160" s="4">
        <v>13577420</v>
      </c>
      <c r="I160" s="29">
        <f t="shared" si="105"/>
        <v>65.89</v>
      </c>
      <c r="J160" s="29">
        <f t="shared" si="106"/>
        <v>-1.4</v>
      </c>
      <c r="K160" s="29">
        <f t="shared" si="107"/>
        <v>2997.9474999999998</v>
      </c>
      <c r="L160" s="29">
        <f t="shared" si="108"/>
        <v>25.2775</v>
      </c>
      <c r="M160" s="29">
        <f t="shared" si="109"/>
        <v>-3.0374999999999996</v>
      </c>
      <c r="N160" s="4">
        <f t="shared" si="110"/>
        <v>13887750</v>
      </c>
      <c r="O160" s="5">
        <f t="shared" si="112"/>
        <v>7.3313782991202281E-3</v>
      </c>
      <c r="P160" s="5">
        <f t="shared" si="113"/>
        <v>-1</v>
      </c>
      <c r="Q160" s="5">
        <f t="shared" si="114"/>
        <v>8.4904949073421054E-3</v>
      </c>
      <c r="R160" s="5">
        <f t="shared" si="115"/>
        <v>1.5961691939345712E-3</v>
      </c>
      <c r="S160" s="5">
        <f t="shared" si="116"/>
        <v>-0.23076923076923073</v>
      </c>
      <c r="T160" s="5">
        <f t="shared" si="111"/>
        <v>4.0961890488400599E-2</v>
      </c>
    </row>
    <row r="161" spans="2:20" x14ac:dyDescent="0.15">
      <c r="B161" s="17">
        <v>43840</v>
      </c>
      <c r="C161" s="1">
        <v>65.099999999999994</v>
      </c>
      <c r="D161" s="5">
        <v>0.43</v>
      </c>
      <c r="E161" s="1">
        <v>3123.66</v>
      </c>
      <c r="F161" s="1">
        <v>26.01</v>
      </c>
      <c r="G161" s="1">
        <v>-2.4500000000000002</v>
      </c>
      <c r="H161" s="4">
        <v>15439292</v>
      </c>
      <c r="I161" s="29">
        <f t="shared" si="105"/>
        <v>66.997499999999988</v>
      </c>
      <c r="J161" s="29">
        <f t="shared" si="106"/>
        <v>-0.92</v>
      </c>
      <c r="K161" s="29">
        <f t="shared" si="107"/>
        <v>3034.8499999999995</v>
      </c>
      <c r="L161" s="29">
        <f t="shared" si="108"/>
        <v>25.435000000000002</v>
      </c>
      <c r="M161" s="29">
        <f t="shared" si="109"/>
        <v>-3.4124999999999996</v>
      </c>
      <c r="N161" s="4">
        <f t="shared" si="110"/>
        <v>13690777</v>
      </c>
      <c r="O161" s="5">
        <f t="shared" si="112"/>
        <v>-5.2401746724890952E-2</v>
      </c>
      <c r="P161" s="5">
        <f t="shared" si="113"/>
        <v>0</v>
      </c>
      <c r="Q161" s="5">
        <f t="shared" si="114"/>
        <v>1.5372013119358208E-2</v>
      </c>
      <c r="R161" s="5">
        <f t="shared" si="115"/>
        <v>3.6254980079681198E-2</v>
      </c>
      <c r="S161" s="5">
        <f t="shared" si="116"/>
        <v>-0.29999999999999993</v>
      </c>
      <c r="T161" s="5">
        <f t="shared" si="111"/>
        <v>0.13713002912188021</v>
      </c>
    </row>
    <row r="162" spans="2:20" x14ac:dyDescent="0.15">
      <c r="B162" s="17">
        <v>43847</v>
      </c>
      <c r="C162" s="1">
        <v>65.349999999999994</v>
      </c>
      <c r="D162" s="5">
        <v>-0.66</v>
      </c>
      <c r="E162" s="1">
        <v>3196.88</v>
      </c>
      <c r="F162" s="1">
        <v>26.57</v>
      </c>
      <c r="G162" s="1">
        <v>-1.75</v>
      </c>
      <c r="H162" s="4">
        <v>14063671</v>
      </c>
      <c r="I162" s="29">
        <f t="shared" si="105"/>
        <v>67.025000000000006</v>
      </c>
      <c r="J162" s="29">
        <f t="shared" si="106"/>
        <v>-0.31250000000000006</v>
      </c>
      <c r="K162" s="29">
        <f t="shared" si="107"/>
        <v>3066.6075000000001</v>
      </c>
      <c r="L162" s="29">
        <f t="shared" si="108"/>
        <v>25.5425</v>
      </c>
      <c r="M162" s="29">
        <f t="shared" si="109"/>
        <v>-3.4000000000000004</v>
      </c>
      <c r="N162" s="4">
        <f t="shared" si="110"/>
        <v>14399078.75</v>
      </c>
      <c r="O162" s="5">
        <f t="shared" si="112"/>
        <v>3.8402457757296116E-3</v>
      </c>
      <c r="P162" s="5">
        <f t="shared" si="113"/>
        <v>-2.5348837209302326</v>
      </c>
      <c r="Q162" s="5">
        <f t="shared" si="114"/>
        <v>2.3440451265502649E-2</v>
      </c>
      <c r="R162" s="5">
        <f t="shared" si="115"/>
        <v>2.1530180699730783E-2</v>
      </c>
      <c r="S162" s="5">
        <f t="shared" si="116"/>
        <v>-0.28571428571428581</v>
      </c>
      <c r="T162" s="5">
        <f t="shared" si="111"/>
        <v>-8.9098709966752399E-2</v>
      </c>
    </row>
    <row r="163" spans="2:20" x14ac:dyDescent="0.15">
      <c r="B163" s="17">
        <v>43854</v>
      </c>
      <c r="C163" s="1">
        <v>60.56</v>
      </c>
      <c r="D163" s="5">
        <v>1.3</v>
      </c>
      <c r="E163" s="1">
        <v>3146.2</v>
      </c>
      <c r="F163" s="1">
        <v>25.86</v>
      </c>
      <c r="G163" s="1">
        <v>-1.7</v>
      </c>
      <c r="H163" s="4">
        <v>9377612</v>
      </c>
      <c r="I163" s="29">
        <f t="shared" si="105"/>
        <v>66.837500000000006</v>
      </c>
      <c r="J163" s="29">
        <f t="shared" si="106"/>
        <v>-0.28000000000000003</v>
      </c>
      <c r="K163" s="29">
        <f t="shared" si="107"/>
        <v>3111.8450000000003</v>
      </c>
      <c r="L163" s="29">
        <f t="shared" si="108"/>
        <v>25.685000000000002</v>
      </c>
      <c r="M163" s="29">
        <f t="shared" si="109"/>
        <v>-3.0625</v>
      </c>
      <c r="N163" s="4">
        <f t="shared" si="110"/>
        <v>14030882.75</v>
      </c>
      <c r="O163" s="5">
        <f t="shared" si="112"/>
        <v>-7.3297628156082539E-2</v>
      </c>
      <c r="P163" s="5">
        <f t="shared" si="113"/>
        <v>-2.9696969696969697</v>
      </c>
      <c r="Q163" s="5">
        <f t="shared" si="114"/>
        <v>-1.5852956632717019E-2</v>
      </c>
      <c r="R163" s="5">
        <f t="shared" si="115"/>
        <v>-2.6721866767030478E-2</v>
      </c>
      <c r="S163" s="5">
        <f t="shared" si="116"/>
        <v>-2.8571428571428581E-2</v>
      </c>
      <c r="T163" s="5">
        <f t="shared" si="111"/>
        <v>-0.33320311602852482</v>
      </c>
    </row>
    <row r="164" spans="2:20" x14ac:dyDescent="0.15">
      <c r="B164" s="17">
        <v>43861</v>
      </c>
      <c r="C164" s="1">
        <v>58.19</v>
      </c>
      <c r="D164" s="5">
        <v>0.08</v>
      </c>
      <c r="E164" s="1">
        <v>3076.65</v>
      </c>
      <c r="F164" s="1">
        <v>24.6</v>
      </c>
      <c r="G164" s="1">
        <v>-1</v>
      </c>
      <c r="H164" s="4">
        <v>11726893</v>
      </c>
      <c r="I164" s="29">
        <f t="shared" si="105"/>
        <v>64.927500000000009</v>
      </c>
      <c r="J164" s="29">
        <f t="shared" si="106"/>
        <v>0.26750000000000002</v>
      </c>
      <c r="K164" s="29">
        <f t="shared" si="107"/>
        <v>3135.7775000000001</v>
      </c>
      <c r="L164" s="29">
        <f t="shared" si="108"/>
        <v>25.885000000000002</v>
      </c>
      <c r="M164" s="29">
        <f t="shared" si="109"/>
        <v>-2.35</v>
      </c>
      <c r="N164" s="4">
        <f t="shared" si="110"/>
        <v>13114498.75</v>
      </c>
      <c r="O164" s="5">
        <f t="shared" si="112"/>
        <v>-3.9134742404227318E-2</v>
      </c>
      <c r="P164" s="5">
        <f t="shared" si="113"/>
        <v>-0.93846153846153846</v>
      </c>
      <c r="Q164" s="5">
        <f t="shared" si="114"/>
        <v>-2.2106032674337195E-2</v>
      </c>
      <c r="R164" s="5">
        <f t="shared" si="115"/>
        <v>-4.8723897911832847E-2</v>
      </c>
      <c r="S164" s="5">
        <f t="shared" si="116"/>
        <v>-0.41176470588235292</v>
      </c>
      <c r="T164" s="5">
        <f t="shared" si="111"/>
        <v>0.25052017507228919</v>
      </c>
    </row>
    <row r="165" spans="2:20" x14ac:dyDescent="0.15">
      <c r="B165" s="17">
        <v>43868</v>
      </c>
      <c r="C165" s="1">
        <v>54.5</v>
      </c>
      <c r="D165" s="5">
        <v>3.5</v>
      </c>
      <c r="E165" s="1">
        <v>3087.63</v>
      </c>
      <c r="F165" s="1">
        <v>24.6</v>
      </c>
      <c r="G165" s="1">
        <v>-1.5</v>
      </c>
      <c r="H165" s="4">
        <v>16403442</v>
      </c>
      <c r="I165" s="29">
        <f t="shared" si="105"/>
        <v>62.3</v>
      </c>
      <c r="J165" s="29">
        <f t="shared" si="106"/>
        <v>0.28750000000000003</v>
      </c>
      <c r="K165" s="29">
        <f t="shared" si="107"/>
        <v>3135.8474999999999</v>
      </c>
      <c r="L165" s="29">
        <f t="shared" si="108"/>
        <v>25.759999999999998</v>
      </c>
      <c r="M165" s="29">
        <f t="shared" si="109"/>
        <v>-1.7250000000000001</v>
      </c>
      <c r="N165" s="4">
        <f t="shared" si="110"/>
        <v>12651867</v>
      </c>
      <c r="O165" s="5">
        <f t="shared" si="112"/>
        <v>-6.341295755284404E-2</v>
      </c>
      <c r="P165" s="5">
        <f t="shared" si="113"/>
        <v>42.75</v>
      </c>
      <c r="Q165" s="5">
        <f t="shared" si="114"/>
        <v>3.5688167324849918E-3</v>
      </c>
      <c r="R165" s="5">
        <f t="shared" si="115"/>
        <v>0</v>
      </c>
      <c r="S165" s="5">
        <f t="shared" si="116"/>
        <v>0.5</v>
      </c>
      <c r="T165" s="5">
        <f t="shared" si="111"/>
        <v>0.39878840883088129</v>
      </c>
    </row>
    <row r="166" spans="2:20" x14ac:dyDescent="0.15">
      <c r="B166" s="17">
        <v>43875</v>
      </c>
      <c r="C166" s="1">
        <v>57.24</v>
      </c>
      <c r="D166" s="5">
        <v>6.42</v>
      </c>
      <c r="E166" s="1">
        <v>3096.88</v>
      </c>
      <c r="F166" s="1">
        <v>24.79</v>
      </c>
      <c r="G166" s="1">
        <v>-0.9</v>
      </c>
      <c r="H166" s="4">
        <v>14940721</v>
      </c>
      <c r="I166" s="29">
        <f t="shared" si="105"/>
        <v>59.65</v>
      </c>
      <c r="J166" s="29">
        <f t="shared" si="106"/>
        <v>1.0549999999999999</v>
      </c>
      <c r="K166" s="29">
        <f t="shared" si="107"/>
        <v>3126.84</v>
      </c>
      <c r="L166" s="29">
        <f t="shared" si="108"/>
        <v>25.407499999999999</v>
      </c>
      <c r="M166" s="29">
        <f t="shared" si="109"/>
        <v>-1.4875</v>
      </c>
      <c r="N166" s="4">
        <f t="shared" si="110"/>
        <v>12892904.5</v>
      </c>
      <c r="O166" s="5">
        <f t="shared" si="112"/>
        <v>5.0275229357798157E-2</v>
      </c>
      <c r="P166" s="5">
        <f t="shared" si="113"/>
        <v>0.8342857142857143</v>
      </c>
      <c r="Q166" s="5">
        <f t="shared" si="114"/>
        <v>2.995825276992381E-3</v>
      </c>
      <c r="R166" s="5">
        <f t="shared" si="115"/>
        <v>7.7235772357722166E-3</v>
      </c>
      <c r="S166" s="5">
        <f t="shared" si="116"/>
        <v>-0.4</v>
      </c>
      <c r="T166" s="5">
        <f t="shared" si="111"/>
        <v>-8.917158971879191E-2</v>
      </c>
    </row>
    <row r="167" spans="2:20" x14ac:dyDescent="0.15">
      <c r="B167" s="17">
        <v>43882</v>
      </c>
      <c r="C167" s="1">
        <v>58.36</v>
      </c>
      <c r="D167" s="5">
        <v>3.75</v>
      </c>
      <c r="E167" s="1">
        <v>3106.03</v>
      </c>
      <c r="F167" s="1">
        <v>24.79</v>
      </c>
      <c r="G167" s="1">
        <v>-1.95</v>
      </c>
      <c r="H167" s="4">
        <v>14500632</v>
      </c>
      <c r="I167" s="29">
        <f t="shared" si="105"/>
        <v>57.622500000000002</v>
      </c>
      <c r="J167" s="29">
        <f t="shared" si="106"/>
        <v>2.8250000000000002</v>
      </c>
      <c r="K167" s="29">
        <f t="shared" si="107"/>
        <v>3101.84</v>
      </c>
      <c r="L167" s="29">
        <f t="shared" si="108"/>
        <v>24.962499999999999</v>
      </c>
      <c r="M167" s="29">
        <f t="shared" si="109"/>
        <v>-1.2750000000000001</v>
      </c>
      <c r="N167" s="4">
        <f t="shared" si="110"/>
        <v>13112167</v>
      </c>
      <c r="O167" s="5">
        <f t="shared" si="112"/>
        <v>1.9566736547868668E-2</v>
      </c>
      <c r="P167" s="5">
        <f t="shared" si="113"/>
        <v>-0.41588785046728971</v>
      </c>
      <c r="Q167" s="5">
        <f t="shared" si="114"/>
        <v>2.9545865516262815E-3</v>
      </c>
      <c r="R167" s="5">
        <f t="shared" si="115"/>
        <v>0</v>
      </c>
      <c r="S167" s="5">
        <f t="shared" si="116"/>
        <v>1.1666666666666665</v>
      </c>
      <c r="T167" s="5">
        <f t="shared" si="111"/>
        <v>-2.9455673524724779E-2</v>
      </c>
    </row>
    <row r="168" spans="2:20" x14ac:dyDescent="0.15">
      <c r="B168" s="17">
        <v>43889</v>
      </c>
      <c r="C168" s="1">
        <v>50.5</v>
      </c>
      <c r="D168" s="5">
        <v>-8.16</v>
      </c>
      <c r="E168" s="1">
        <v>2785.08</v>
      </c>
      <c r="F168" s="1">
        <v>21.37</v>
      </c>
      <c r="G168" s="1">
        <v>-2.2000000000000002</v>
      </c>
      <c r="H168" s="4">
        <v>14197637</v>
      </c>
      <c r="I168" s="29">
        <f t="shared" si="105"/>
        <v>57.072500000000005</v>
      </c>
      <c r="J168" s="29">
        <f t="shared" si="106"/>
        <v>3.4375</v>
      </c>
      <c r="K168" s="29">
        <f t="shared" si="107"/>
        <v>3091.7975000000001</v>
      </c>
      <c r="L168" s="29">
        <f t="shared" si="108"/>
        <v>24.695</v>
      </c>
      <c r="M168" s="29">
        <f t="shared" si="109"/>
        <v>-1.3374999999999999</v>
      </c>
      <c r="N168" s="4">
        <f t="shared" si="110"/>
        <v>14392922</v>
      </c>
      <c r="O168" s="5">
        <f t="shared" si="112"/>
        <v>-0.13468128855380401</v>
      </c>
      <c r="P168" s="5">
        <f t="shared" si="113"/>
        <v>-3.1760000000000002</v>
      </c>
      <c r="Q168" s="5">
        <f t="shared" si="114"/>
        <v>-0.10333126209341192</v>
      </c>
      <c r="R168" s="5">
        <f t="shared" si="115"/>
        <v>-0.13795885437676481</v>
      </c>
      <c r="S168" s="5">
        <f t="shared" si="116"/>
        <v>0.12820512820512842</v>
      </c>
      <c r="T168" s="5">
        <f t="shared" si="111"/>
        <v>-2.0895296149850529E-2</v>
      </c>
    </row>
    <row r="169" spans="2:20" x14ac:dyDescent="0.15">
      <c r="B169" s="17">
        <v>43896</v>
      </c>
      <c r="C169" s="1">
        <v>45.5</v>
      </c>
      <c r="D169" s="5">
        <v>-2.86</v>
      </c>
      <c r="E169" s="1">
        <v>2719.51</v>
      </c>
      <c r="F169" s="1">
        <v>20.62</v>
      </c>
      <c r="G169" s="1">
        <v>-1.65</v>
      </c>
      <c r="H169" s="4">
        <v>15461780</v>
      </c>
      <c r="I169" s="29">
        <f t="shared" si="105"/>
        <v>55.150000000000006</v>
      </c>
      <c r="J169" s="29">
        <f t="shared" si="106"/>
        <v>1.3774999999999999</v>
      </c>
      <c r="K169" s="29">
        <f t="shared" si="107"/>
        <v>3018.9050000000002</v>
      </c>
      <c r="L169" s="29">
        <f t="shared" si="108"/>
        <v>23.887500000000003</v>
      </c>
      <c r="M169" s="29">
        <f t="shared" si="109"/>
        <v>-1.6375</v>
      </c>
      <c r="N169" s="4">
        <f t="shared" si="110"/>
        <v>15010608</v>
      </c>
      <c r="O169" s="5">
        <f t="shared" si="112"/>
        <v>-9.9009900990098987E-2</v>
      </c>
      <c r="P169" s="5">
        <f t="shared" si="113"/>
        <v>-0.64950980392156865</v>
      </c>
      <c r="Q169" s="5">
        <f t="shared" si="114"/>
        <v>-2.3543309348384889E-2</v>
      </c>
      <c r="R169" s="5">
        <f t="shared" si="115"/>
        <v>-3.509592887225077E-2</v>
      </c>
      <c r="S169" s="5">
        <f t="shared" si="116"/>
        <v>-0.25000000000000011</v>
      </c>
      <c r="T169" s="5">
        <f t="shared" si="111"/>
        <v>8.9038971766921549E-2</v>
      </c>
    </row>
    <row r="170" spans="2:20" x14ac:dyDescent="0.15">
      <c r="B170" s="17">
        <v>43903</v>
      </c>
      <c r="C170" s="1">
        <v>34.97</v>
      </c>
      <c r="D170" s="5">
        <v>-11.17</v>
      </c>
      <c r="E170" s="1">
        <v>2316.38</v>
      </c>
      <c r="F170" s="1">
        <v>17.34</v>
      </c>
      <c r="G170" s="1">
        <v>-3.15</v>
      </c>
      <c r="H170" s="4">
        <v>7917559</v>
      </c>
      <c r="I170" s="29">
        <f t="shared" si="105"/>
        <v>52.9</v>
      </c>
      <c r="J170" s="29">
        <f t="shared" si="106"/>
        <v>-0.21250000000000002</v>
      </c>
      <c r="K170" s="29">
        <f t="shared" si="107"/>
        <v>2926.875</v>
      </c>
      <c r="L170" s="29">
        <f t="shared" si="108"/>
        <v>22.892500000000002</v>
      </c>
      <c r="M170" s="29">
        <f t="shared" si="109"/>
        <v>-1.6750000000000003</v>
      </c>
      <c r="N170" s="4">
        <f t="shared" si="110"/>
        <v>14775192.5</v>
      </c>
      <c r="O170" s="5">
        <f t="shared" si="112"/>
        <v>-0.23142857142857143</v>
      </c>
      <c r="P170" s="5">
        <f t="shared" si="113"/>
        <v>2.9055944055944058</v>
      </c>
      <c r="Q170" s="5">
        <f t="shared" si="114"/>
        <v>-0.14823626315034699</v>
      </c>
      <c r="R170" s="5">
        <f t="shared" si="115"/>
        <v>-0.15906886517943752</v>
      </c>
      <c r="S170" s="5">
        <f t="shared" si="116"/>
        <v>0.90909090909090917</v>
      </c>
      <c r="T170" s="5">
        <f t="shared" si="111"/>
        <v>-0.48792706919901851</v>
      </c>
    </row>
    <row r="171" spans="2:20" x14ac:dyDescent="0.15">
      <c r="B171" s="17">
        <v>43910</v>
      </c>
      <c r="C171" s="1">
        <v>27.21</v>
      </c>
      <c r="D171" s="5">
        <v>-0.51</v>
      </c>
      <c r="E171" s="1">
        <v>2331.61</v>
      </c>
      <c r="F171" s="1">
        <v>14.8</v>
      </c>
      <c r="G171" s="1">
        <v>-4.2</v>
      </c>
      <c r="H171" s="4">
        <v>8199491</v>
      </c>
      <c r="I171" s="29">
        <f t="shared" si="105"/>
        <v>47.332500000000003</v>
      </c>
      <c r="J171" s="29">
        <f t="shared" si="106"/>
        <v>-4.6099999999999994</v>
      </c>
      <c r="K171" s="29">
        <f t="shared" si="107"/>
        <v>2731.75</v>
      </c>
      <c r="L171" s="29">
        <f t="shared" si="108"/>
        <v>21.03</v>
      </c>
      <c r="M171" s="29">
        <f t="shared" si="109"/>
        <v>-2.2375000000000003</v>
      </c>
      <c r="N171" s="4">
        <f t="shared" si="110"/>
        <v>13019402</v>
      </c>
      <c r="O171" s="5">
        <f t="shared" si="112"/>
        <v>-0.2219044895624821</v>
      </c>
      <c r="P171" s="5">
        <f t="shared" si="113"/>
        <v>-0.95434198746642795</v>
      </c>
      <c r="Q171" s="5">
        <f t="shared" si="114"/>
        <v>6.5749143059428139E-3</v>
      </c>
      <c r="R171" s="5">
        <f t="shared" si="115"/>
        <v>-0.14648212226066892</v>
      </c>
      <c r="S171" s="5">
        <f t="shared" si="116"/>
        <v>0.33333333333333348</v>
      </c>
      <c r="T171" s="5">
        <f t="shared" si="111"/>
        <v>3.5608449523394814E-2</v>
      </c>
    </row>
    <row r="172" spans="2:20" x14ac:dyDescent="0.15">
      <c r="B172" s="17">
        <v>43917</v>
      </c>
      <c r="C172" s="1">
        <v>25.1</v>
      </c>
      <c r="D172" s="5">
        <v>7.71</v>
      </c>
      <c r="E172" s="1">
        <v>2401.11</v>
      </c>
      <c r="F172" s="1">
        <v>16.23</v>
      </c>
      <c r="G172" s="1">
        <v>-4.3499999999999996</v>
      </c>
      <c r="H172" s="4">
        <v>10697260</v>
      </c>
      <c r="I172" s="29">
        <f t="shared" si="105"/>
        <v>39.545000000000002</v>
      </c>
      <c r="J172" s="29">
        <f t="shared" si="106"/>
        <v>-5.6749999999999998</v>
      </c>
      <c r="K172" s="29">
        <f t="shared" si="107"/>
        <v>2538.145</v>
      </c>
      <c r="L172" s="29">
        <f t="shared" si="108"/>
        <v>18.532499999999999</v>
      </c>
      <c r="M172" s="29">
        <f t="shared" si="109"/>
        <v>-2.8</v>
      </c>
      <c r="N172" s="4">
        <f t="shared" si="110"/>
        <v>11444116.75</v>
      </c>
      <c r="O172" s="5">
        <f t="shared" si="112"/>
        <v>-7.7545020213156901E-2</v>
      </c>
      <c r="P172" s="5">
        <f t="shared" si="113"/>
        <v>-16.117647058823529</v>
      </c>
      <c r="Q172" s="5">
        <f t="shared" si="114"/>
        <v>2.9807729423016793E-2</v>
      </c>
      <c r="R172" s="5">
        <f t="shared" si="115"/>
        <v>9.6621621621621578E-2</v>
      </c>
      <c r="S172" s="5">
        <f t="shared" si="116"/>
        <v>3.5714285714285587E-2</v>
      </c>
      <c r="T172" s="5">
        <f t="shared" si="111"/>
        <v>0.3046248846422297</v>
      </c>
    </row>
    <row r="173" spans="2:20" x14ac:dyDescent="0.15">
      <c r="B173" s="17">
        <v>43924</v>
      </c>
      <c r="C173" s="1">
        <v>34.65</v>
      </c>
      <c r="D173" s="5">
        <v>15.14</v>
      </c>
      <c r="E173" s="1">
        <v>2572.23</v>
      </c>
      <c r="F173" s="1">
        <v>17.77</v>
      </c>
      <c r="G173" s="1">
        <v>-4.3499999999999996</v>
      </c>
      <c r="H173" s="4">
        <v>11448124</v>
      </c>
      <c r="I173" s="29">
        <f t="shared" si="105"/>
        <v>33.195</v>
      </c>
      <c r="J173" s="29">
        <f t="shared" si="106"/>
        <v>-1.7074999999999998</v>
      </c>
      <c r="K173" s="29">
        <f t="shared" si="107"/>
        <v>2442.1525000000001</v>
      </c>
      <c r="L173" s="29">
        <f t="shared" si="108"/>
        <v>17.247500000000002</v>
      </c>
      <c r="M173" s="29">
        <f t="shared" si="109"/>
        <v>-3.3374999999999999</v>
      </c>
      <c r="N173" s="4">
        <f t="shared" si="110"/>
        <v>10569022.5</v>
      </c>
      <c r="O173" s="5">
        <f t="shared" si="112"/>
        <v>0.38047808764940227</v>
      </c>
      <c r="P173" s="5">
        <f t="shared" si="113"/>
        <v>0.96368352788586265</v>
      </c>
      <c r="Q173" s="5">
        <f t="shared" si="114"/>
        <v>7.126703899446496E-2</v>
      </c>
      <c r="R173" s="5">
        <f t="shared" si="115"/>
        <v>9.488601355514481E-2</v>
      </c>
      <c r="S173" s="5">
        <f t="shared" si="116"/>
        <v>0</v>
      </c>
      <c r="T173" s="5">
        <f t="shared" si="111"/>
        <v>7.0192180053583852E-2</v>
      </c>
    </row>
    <row r="174" spans="2:20" hidden="1" x14ac:dyDescent="0.15">
      <c r="B174" s="17">
        <v>43930</v>
      </c>
      <c r="C174" s="1">
        <v>32.03</v>
      </c>
      <c r="D174" s="1" t="s">
        <v>34</v>
      </c>
      <c r="E174" s="1" t="s">
        <v>34</v>
      </c>
      <c r="F174" s="1">
        <v>18.78</v>
      </c>
      <c r="G174" s="1">
        <v>-3.7</v>
      </c>
      <c r="H174" s="4">
        <v>8943021</v>
      </c>
      <c r="I174" s="29">
        <f t="shared" ref="I174:I176" si="117">AVERAGE(C170:C173)</f>
        <v>30.482500000000002</v>
      </c>
      <c r="J174" s="29">
        <f t="shared" ref="J174:J176" si="118">AVERAGE(D170:D173)</f>
        <v>2.7925000000000004</v>
      </c>
      <c r="K174" s="29">
        <f t="shared" ref="K174:K176" si="119">AVERAGE(E170:E173)</f>
        <v>2405.3325</v>
      </c>
      <c r="L174" s="29">
        <f t="shared" ref="L174:L176" si="120">AVERAGE(F170:F173)</f>
        <v>16.535</v>
      </c>
      <c r="M174" s="29">
        <f t="shared" ref="M174:M176" si="121">AVERAGE(G170:G173)</f>
        <v>-4.0124999999999993</v>
      </c>
      <c r="N174" s="4">
        <f t="shared" ref="N174:N176" si="122">AVERAGE(H170:H173)</f>
        <v>9565608.5</v>
      </c>
      <c r="O174" s="5">
        <f>IFERROR(C174/C173-1,0)</f>
        <v>-7.5613275613275577E-2</v>
      </c>
      <c r="P174" s="5">
        <f>IFERROR(D174/D173-1,0)</f>
        <v>0</v>
      </c>
      <c r="Q174" s="5">
        <f>IFERROR(E174/E173-1,0)</f>
        <v>0</v>
      </c>
      <c r="R174" s="5">
        <f>IFERROR(F174/F173-1,0)</f>
        <v>5.6837366347777252E-2</v>
      </c>
      <c r="S174" s="5">
        <f>IFERROR(G174/G173-1,0)</f>
        <v>-0.14942528735632177</v>
      </c>
      <c r="T174" s="5">
        <f t="shared" ref="T174:T176" si="123">IFERROR(H174/H173-1,0)</f>
        <v>-0.21882214064068484</v>
      </c>
    </row>
    <row r="175" spans="2:20" x14ac:dyDescent="0.15">
      <c r="B175" s="17">
        <v>43938</v>
      </c>
      <c r="C175" s="1">
        <v>28.25</v>
      </c>
      <c r="D175" s="5">
        <v>8.02</v>
      </c>
      <c r="E175" s="1">
        <v>2534.9699999999998</v>
      </c>
      <c r="F175" s="1">
        <v>18.38</v>
      </c>
      <c r="G175" s="1">
        <v>-4.3</v>
      </c>
      <c r="H175" s="4">
        <v>7034657</v>
      </c>
      <c r="I175" s="29">
        <f t="shared" si="117"/>
        <v>29.747500000000002</v>
      </c>
      <c r="J175" s="29">
        <f t="shared" si="118"/>
        <v>7.4466666666666663</v>
      </c>
      <c r="K175" s="29">
        <f t="shared" si="119"/>
        <v>2434.9833333333336</v>
      </c>
      <c r="L175" s="29">
        <f t="shared" si="120"/>
        <v>16.895</v>
      </c>
      <c r="M175" s="29">
        <f t="shared" si="121"/>
        <v>-4.1500000000000004</v>
      </c>
      <c r="N175" s="4">
        <f t="shared" si="122"/>
        <v>9821974</v>
      </c>
      <c r="O175" s="5">
        <f t="shared" ref="O175:O176" si="124">IFERROR(C175/C174-1,0)</f>
        <v>-0.11801436153605993</v>
      </c>
      <c r="P175" s="5">
        <f t="shared" ref="P175:P176" si="125">IFERROR(D175/D174-1,0)</f>
        <v>0</v>
      </c>
      <c r="Q175" s="5">
        <f t="shared" ref="Q175:Q176" si="126">IFERROR(E175/E174-1,0)</f>
        <v>0</v>
      </c>
      <c r="R175" s="5">
        <f t="shared" ref="R175:R176" si="127">IFERROR(F175/F174-1,0)</f>
        <v>-2.1299254526091715E-2</v>
      </c>
      <c r="S175" s="5">
        <f t="shared" ref="S175:S176" si="128">IFERROR(G175/G174-1,0)</f>
        <v>0.16216216216216206</v>
      </c>
      <c r="T175" s="5">
        <f t="shared" si="123"/>
        <v>-0.21339142555966262</v>
      </c>
    </row>
    <row r="176" spans="2:20" x14ac:dyDescent="0.15">
      <c r="B176" s="17">
        <v>43945</v>
      </c>
      <c r="C176" s="1">
        <v>21.8</v>
      </c>
      <c r="D176" s="5">
        <v>6.45</v>
      </c>
      <c r="E176" s="1">
        <v>2562.0300000000002</v>
      </c>
      <c r="F176" s="1">
        <v>18.41</v>
      </c>
      <c r="G176" s="1">
        <v>0.35</v>
      </c>
      <c r="H176" s="4">
        <v>7764517</v>
      </c>
      <c r="I176" s="29">
        <f t="shared" si="117"/>
        <v>30.0075</v>
      </c>
      <c r="J176" s="29">
        <f t="shared" si="118"/>
        <v>10.290000000000001</v>
      </c>
      <c r="K176" s="29">
        <f t="shared" si="119"/>
        <v>2502.77</v>
      </c>
      <c r="L176" s="29">
        <f t="shared" si="120"/>
        <v>17.79</v>
      </c>
      <c r="M176" s="29">
        <f t="shared" si="121"/>
        <v>-4.1749999999999998</v>
      </c>
      <c r="N176" s="4">
        <f t="shared" si="122"/>
        <v>9530765.5</v>
      </c>
      <c r="O176" s="5">
        <f t="shared" si="124"/>
        <v>-0.22831858407079642</v>
      </c>
      <c r="P176" s="5">
        <f t="shared" si="125"/>
        <v>-0.19576059850374061</v>
      </c>
      <c r="Q176" s="5">
        <f t="shared" si="126"/>
        <v>1.0674682540621871E-2</v>
      </c>
      <c r="R176" s="5">
        <f t="shared" si="127"/>
        <v>1.6322089227420733E-3</v>
      </c>
      <c r="S176" s="5">
        <f t="shared" si="128"/>
        <v>-1.0813953488372092</v>
      </c>
      <c r="T176" s="5">
        <f t="shared" si="123"/>
        <v>0.10375203794584431</v>
      </c>
    </row>
    <row r="177" spans="2:20" hidden="1" x14ac:dyDescent="0.15">
      <c r="B177" s="17">
        <v>43952</v>
      </c>
      <c r="C177" s="1">
        <v>26.6</v>
      </c>
      <c r="D177" s="1">
        <v>11.91</v>
      </c>
      <c r="E177" s="1" t="s">
        <v>34</v>
      </c>
      <c r="F177" s="1">
        <v>18.329999999999998</v>
      </c>
      <c r="G177" s="1">
        <v>0.5</v>
      </c>
      <c r="H177" s="4">
        <v>10565229</v>
      </c>
      <c r="I177" s="4"/>
      <c r="J177" s="4"/>
      <c r="K177" s="4"/>
      <c r="L177" s="4"/>
      <c r="M177" s="4"/>
      <c r="P177" s="5"/>
      <c r="Q177" s="5"/>
      <c r="R177" s="5"/>
      <c r="S177" s="5"/>
      <c r="T177" s="5"/>
    </row>
    <row r="178" spans="2:20" hidden="1" x14ac:dyDescent="0.15">
      <c r="B178" s="17">
        <v>43959</v>
      </c>
      <c r="C178" s="1">
        <v>30.86</v>
      </c>
      <c r="D178" s="1">
        <v>9.6300000000000008</v>
      </c>
      <c r="E178" s="1">
        <v>2641.55</v>
      </c>
      <c r="F178" s="1">
        <v>19.36</v>
      </c>
      <c r="G178" s="1" t="s">
        <v>34</v>
      </c>
      <c r="H178" s="4">
        <v>10259376</v>
      </c>
      <c r="I178" s="29">
        <f t="shared" ref="I178:I182" si="129">AVERAGE(C174:C177)</f>
        <v>27.17</v>
      </c>
      <c r="J178" s="29">
        <f t="shared" ref="J178:J182" si="130">AVERAGE(D174:D177)</f>
        <v>8.793333333333333</v>
      </c>
      <c r="K178" s="29">
        <f t="shared" ref="K178:K182" si="131">AVERAGE(E174:E177)</f>
        <v>2548.5</v>
      </c>
      <c r="L178" s="29">
        <f t="shared" ref="L178:L182" si="132">AVERAGE(F174:F177)</f>
        <v>18.474999999999998</v>
      </c>
      <c r="M178" s="29">
        <f t="shared" ref="M178:M182" si="133">AVERAGE(G174:G177)</f>
        <v>-1.7875000000000001</v>
      </c>
      <c r="N178" s="4">
        <f t="shared" ref="N178:N182" si="134">AVERAGE(H174:H177)</f>
        <v>8576856</v>
      </c>
      <c r="O178" s="5">
        <f>IFERROR(C178/C177-1,0)</f>
        <v>0.16015037593984949</v>
      </c>
      <c r="P178" s="5">
        <f>IFERROR(D178/D177-1,0)</f>
        <v>-0.19143576826196473</v>
      </c>
      <c r="Q178" s="5">
        <f>IFERROR(E178/E177-1,0)</f>
        <v>0</v>
      </c>
      <c r="R178" s="5">
        <f>IFERROR(F178/F177-1,0)</f>
        <v>5.6192034915439226E-2</v>
      </c>
      <c r="S178" s="5">
        <f>IFERROR(G178/G177-1,0)</f>
        <v>0</v>
      </c>
      <c r="T178" s="5">
        <f t="shared" ref="T178:T182" si="135">IFERROR(H178/H177-1,0)</f>
        <v>-2.8949017574536273E-2</v>
      </c>
    </row>
    <row r="179" spans="2:20" x14ac:dyDescent="0.15">
      <c r="B179" s="17">
        <v>43966</v>
      </c>
      <c r="C179" s="1">
        <v>32.74</v>
      </c>
      <c r="D179" s="5">
        <v>2.4900000000000002</v>
      </c>
      <c r="E179" s="1">
        <v>2593.91</v>
      </c>
      <c r="F179" s="1">
        <v>18.89</v>
      </c>
      <c r="G179" s="1">
        <v>0.4</v>
      </c>
      <c r="H179" s="4">
        <v>5126581</v>
      </c>
      <c r="I179" s="29">
        <f t="shared" si="129"/>
        <v>26.877500000000001</v>
      </c>
      <c r="J179" s="29">
        <f t="shared" si="130"/>
        <v>9.0024999999999995</v>
      </c>
      <c r="K179" s="29">
        <f t="shared" si="131"/>
        <v>2579.5166666666669</v>
      </c>
      <c r="L179" s="29">
        <f t="shared" si="132"/>
        <v>18.619999999999997</v>
      </c>
      <c r="M179" s="29">
        <f t="shared" si="133"/>
        <v>-1.1499999999999999</v>
      </c>
      <c r="N179" s="4">
        <f t="shared" si="134"/>
        <v>8905944.75</v>
      </c>
      <c r="O179" s="5">
        <f t="shared" ref="O179:O182" si="136">IFERROR(C179/C178-1,0)</f>
        <v>6.0920285158781784E-2</v>
      </c>
      <c r="P179" s="5">
        <f t="shared" ref="P179:P182" si="137">IFERROR(D179/D178-1,0)</f>
        <v>-0.74143302180685355</v>
      </c>
      <c r="Q179" s="5">
        <f t="shared" ref="Q179:Q182" si="138">IFERROR(E179/E178-1,0)</f>
        <v>-1.803486589313108E-2</v>
      </c>
      <c r="R179" s="5">
        <f t="shared" ref="R179:R182" si="139">IFERROR(F179/F178-1,0)</f>
        <v>-2.4276859504132164E-2</v>
      </c>
      <c r="S179" s="5">
        <f t="shared" ref="S179:S182" si="140">IFERROR(G179/G178-1,0)</f>
        <v>0</v>
      </c>
      <c r="T179" s="5">
        <f t="shared" si="135"/>
        <v>-0.50030284492936028</v>
      </c>
    </row>
    <row r="180" spans="2:20" x14ac:dyDescent="0.15">
      <c r="B180" s="17">
        <v>43973</v>
      </c>
      <c r="C180" s="1">
        <v>35.119999999999997</v>
      </c>
      <c r="D180" s="5">
        <v>4.84</v>
      </c>
      <c r="E180" s="1">
        <v>2709.38</v>
      </c>
      <c r="F180" s="1">
        <v>20.14</v>
      </c>
      <c r="G180" s="1">
        <v>0.75</v>
      </c>
      <c r="H180" s="4">
        <v>3518702</v>
      </c>
      <c r="I180" s="29">
        <f t="shared" si="129"/>
        <v>28</v>
      </c>
      <c r="J180" s="29">
        <f t="shared" si="130"/>
        <v>7.620000000000001</v>
      </c>
      <c r="K180" s="29">
        <f t="shared" si="131"/>
        <v>2599.1633333333334</v>
      </c>
      <c r="L180" s="29">
        <f t="shared" si="132"/>
        <v>18.747499999999999</v>
      </c>
      <c r="M180" s="29">
        <f t="shared" si="133"/>
        <v>0.41666666666666669</v>
      </c>
      <c r="N180" s="4">
        <f t="shared" si="134"/>
        <v>8428925.75</v>
      </c>
      <c r="O180" s="5">
        <f t="shared" si="136"/>
        <v>7.2693952351863045E-2</v>
      </c>
      <c r="P180" s="5">
        <f t="shared" si="137"/>
        <v>0.94377510040160617</v>
      </c>
      <c r="Q180" s="5">
        <f t="shared" si="138"/>
        <v>4.4515808181471384E-2</v>
      </c>
      <c r="R180" s="5">
        <f t="shared" si="139"/>
        <v>6.6172578083642186E-2</v>
      </c>
      <c r="S180" s="5">
        <f t="shared" si="140"/>
        <v>0.875</v>
      </c>
      <c r="T180" s="5">
        <f t="shared" si="135"/>
        <v>-0.31363573500545494</v>
      </c>
    </row>
    <row r="181" spans="2:20" x14ac:dyDescent="0.15">
      <c r="B181" s="17">
        <v>43980</v>
      </c>
      <c r="C181" s="1">
        <v>35.31</v>
      </c>
      <c r="D181" s="5">
        <v>-0.48</v>
      </c>
      <c r="E181" s="1">
        <v>2734.83</v>
      </c>
      <c r="F181" s="1">
        <v>20.62</v>
      </c>
      <c r="G181" s="1">
        <v>1.7</v>
      </c>
      <c r="H181" s="4">
        <v>6015094</v>
      </c>
      <c r="I181" s="29">
        <f t="shared" si="129"/>
        <v>31.33</v>
      </c>
      <c r="J181" s="29">
        <f t="shared" si="130"/>
        <v>7.2175000000000002</v>
      </c>
      <c r="K181" s="29">
        <f t="shared" si="131"/>
        <v>2648.28</v>
      </c>
      <c r="L181" s="29">
        <f t="shared" si="132"/>
        <v>19.18</v>
      </c>
      <c r="M181" s="29">
        <f t="shared" si="133"/>
        <v>0.54999999999999993</v>
      </c>
      <c r="N181" s="4">
        <f t="shared" si="134"/>
        <v>7367472</v>
      </c>
      <c r="O181" s="5">
        <f t="shared" si="136"/>
        <v>5.4100227790434552E-3</v>
      </c>
      <c r="P181" s="5">
        <f t="shared" si="137"/>
        <v>-1.0991735537190084</v>
      </c>
      <c r="Q181" s="5">
        <f t="shared" si="138"/>
        <v>9.3932929304858526E-3</v>
      </c>
      <c r="R181" s="5">
        <f t="shared" si="139"/>
        <v>2.3833167825223489E-2</v>
      </c>
      <c r="S181" s="5">
        <f t="shared" si="140"/>
        <v>1.2666666666666666</v>
      </c>
      <c r="T181" s="5">
        <f t="shared" si="135"/>
        <v>0.70946388753580147</v>
      </c>
    </row>
    <row r="182" spans="2:20" x14ac:dyDescent="0.15">
      <c r="B182" s="17">
        <v>43987</v>
      </c>
      <c r="C182" s="1">
        <v>42.07</v>
      </c>
      <c r="D182" s="5">
        <v>4.33</v>
      </c>
      <c r="E182" s="1">
        <v>2792.74</v>
      </c>
      <c r="F182" s="1">
        <v>21.42</v>
      </c>
      <c r="G182" s="1">
        <v>1.4</v>
      </c>
      <c r="H182" s="4">
        <v>6823030</v>
      </c>
      <c r="I182" s="29">
        <f t="shared" si="129"/>
        <v>33.5075</v>
      </c>
      <c r="J182" s="29">
        <f t="shared" si="130"/>
        <v>4.12</v>
      </c>
      <c r="K182" s="29">
        <f t="shared" si="131"/>
        <v>2669.9175</v>
      </c>
      <c r="L182" s="29">
        <f t="shared" si="132"/>
        <v>19.752500000000001</v>
      </c>
      <c r="M182" s="29">
        <f t="shared" si="133"/>
        <v>0.94999999999999984</v>
      </c>
      <c r="N182" s="4">
        <f t="shared" si="134"/>
        <v>6229938.25</v>
      </c>
      <c r="O182" s="5">
        <f t="shared" si="136"/>
        <v>0.19144718210138767</v>
      </c>
      <c r="P182" s="5">
        <f t="shared" si="137"/>
        <v>-10.020833333333334</v>
      </c>
      <c r="Q182" s="5">
        <f t="shared" si="138"/>
        <v>2.117499076725049E-2</v>
      </c>
      <c r="R182" s="5">
        <f t="shared" si="139"/>
        <v>3.8797284190106751E-2</v>
      </c>
      <c r="S182" s="5">
        <f t="shared" si="140"/>
        <v>-0.17647058823529416</v>
      </c>
      <c r="T182" s="5">
        <f t="shared" si="135"/>
        <v>0.13431810043201331</v>
      </c>
    </row>
    <row r="183" spans="2:20" hidden="1" x14ac:dyDescent="0.15">
      <c r="B183" s="17">
        <v>43994</v>
      </c>
      <c r="C183" s="1">
        <v>39.04</v>
      </c>
      <c r="D183" s="1">
        <v>1</v>
      </c>
      <c r="E183" s="1" t="s">
        <v>34</v>
      </c>
      <c r="F183" s="1">
        <v>20.92</v>
      </c>
      <c r="G183" s="1">
        <v>1.4</v>
      </c>
      <c r="H183" s="4">
        <v>5421290</v>
      </c>
      <c r="I183" s="29">
        <f t="shared" ref="I183:I210" si="141">AVERAGE(C179:C182)</f>
        <v>36.31</v>
      </c>
      <c r="J183" s="29">
        <f t="shared" ref="J183:J210" si="142">AVERAGE(D179:D182)</f>
        <v>2.7949999999999999</v>
      </c>
      <c r="K183" s="29">
        <f t="shared" ref="K183:K210" si="143">AVERAGE(E179:E182)</f>
        <v>2707.7150000000001</v>
      </c>
      <c r="L183" s="29">
        <f t="shared" ref="L183:L210" si="144">AVERAGE(F179:F182)</f>
        <v>20.267500000000002</v>
      </c>
      <c r="M183" s="29">
        <f t="shared" ref="M183:M210" si="145">AVERAGE(G179:G182)</f>
        <v>1.0625</v>
      </c>
      <c r="N183" s="4">
        <f t="shared" ref="N183:N210" si="146">AVERAGE(H179:H182)</f>
        <v>5370851.75</v>
      </c>
      <c r="O183" s="5">
        <f>IFERROR(C183/C182-1,0)</f>
        <v>-7.2022819111005498E-2</v>
      </c>
      <c r="P183" s="5">
        <f>IFERROR(D183/D182-1,0)</f>
        <v>-0.76905311778290997</v>
      </c>
      <c r="Q183" s="5">
        <f>IFERROR(E183/E182-1,0)</f>
        <v>0</v>
      </c>
      <c r="R183" s="5">
        <f>IFERROR(F183/F182-1,0)</f>
        <v>-2.3342670401493959E-2</v>
      </c>
      <c r="S183" s="5">
        <f>IFERROR(G183/G182-1,0)</f>
        <v>0</v>
      </c>
      <c r="T183" s="5">
        <f t="shared" ref="T183:T210" si="147">IFERROR(H183/H182-1,0)</f>
        <v>-0.2054424500551808</v>
      </c>
    </row>
    <row r="184" spans="2:20" x14ac:dyDescent="0.15">
      <c r="B184" s="17">
        <v>44001</v>
      </c>
      <c r="C184" s="1">
        <v>41.92</v>
      </c>
      <c r="D184" s="5">
        <v>3.47</v>
      </c>
      <c r="E184" s="1">
        <v>2758.67</v>
      </c>
      <c r="F184" s="1">
        <v>20.85</v>
      </c>
      <c r="G184" s="1">
        <v>1.55</v>
      </c>
      <c r="H184" s="4">
        <v>8094331</v>
      </c>
      <c r="I184" s="29">
        <f t="shared" si="141"/>
        <v>37.884999999999998</v>
      </c>
      <c r="J184" s="29">
        <f t="shared" si="142"/>
        <v>2.4224999999999999</v>
      </c>
      <c r="K184" s="29">
        <f t="shared" si="143"/>
        <v>2745.65</v>
      </c>
      <c r="L184" s="29">
        <f t="shared" si="144"/>
        <v>20.775000000000002</v>
      </c>
      <c r="M184" s="29">
        <f t="shared" si="145"/>
        <v>1.3125</v>
      </c>
      <c r="N184" s="4">
        <f t="shared" si="146"/>
        <v>5444529</v>
      </c>
      <c r="O184" s="5">
        <f t="shared" ref="O184:O185" si="148">IFERROR(C184/C183-1,0)</f>
        <v>7.3770491803278659E-2</v>
      </c>
      <c r="P184" s="5">
        <f t="shared" ref="P184:P185" si="149">IFERROR(D184/D183-1,0)</f>
        <v>2.4700000000000002</v>
      </c>
      <c r="Q184" s="5">
        <f t="shared" ref="Q184:Q185" si="150">IFERROR(E184/E183-1,0)</f>
        <v>0</v>
      </c>
      <c r="R184" s="5">
        <f t="shared" ref="R184:R185" si="151">IFERROR(F184/F183-1,0)</f>
        <v>-3.3460803059273125E-3</v>
      </c>
      <c r="S184" s="5">
        <f t="shared" ref="S184:S185" si="152">IFERROR(G184/G183-1,0)</f>
        <v>0.10714285714285721</v>
      </c>
      <c r="T184" s="5">
        <f t="shared" si="147"/>
        <v>0.49306364352395837</v>
      </c>
    </row>
    <row r="185" spans="2:20" x14ac:dyDescent="0.15">
      <c r="B185" s="17">
        <v>44008</v>
      </c>
      <c r="C185" s="1">
        <v>40.67</v>
      </c>
      <c r="D185" s="5">
        <v>-3.01</v>
      </c>
      <c r="E185" s="1">
        <v>2761.74</v>
      </c>
      <c r="F185" s="1">
        <v>21.17</v>
      </c>
      <c r="G185" s="1">
        <v>1.95</v>
      </c>
      <c r="H185" s="4">
        <v>7471269</v>
      </c>
      <c r="I185" s="29">
        <f t="shared" si="141"/>
        <v>39.584999999999994</v>
      </c>
      <c r="J185" s="29">
        <f t="shared" si="142"/>
        <v>2.08</v>
      </c>
      <c r="K185" s="29">
        <f t="shared" si="143"/>
        <v>2762.08</v>
      </c>
      <c r="L185" s="29">
        <f t="shared" si="144"/>
        <v>20.952500000000001</v>
      </c>
      <c r="M185" s="29">
        <f t="shared" si="145"/>
        <v>1.5125</v>
      </c>
      <c r="N185" s="4">
        <f t="shared" si="146"/>
        <v>6588436.25</v>
      </c>
      <c r="O185" s="5">
        <f t="shared" si="148"/>
        <v>-2.9818702290076327E-2</v>
      </c>
      <c r="P185" s="5">
        <f t="shared" si="149"/>
        <v>-1.8674351585014408</v>
      </c>
      <c r="Q185" s="5">
        <f t="shared" si="150"/>
        <v>1.1128551077148607E-3</v>
      </c>
      <c r="R185" s="5">
        <f t="shared" si="151"/>
        <v>1.534772182254196E-2</v>
      </c>
      <c r="S185" s="5">
        <f t="shared" si="152"/>
        <v>0.25806451612903225</v>
      </c>
      <c r="T185" s="5">
        <f t="shared" si="147"/>
        <v>-7.6975107640149587E-2</v>
      </c>
    </row>
    <row r="186" spans="2:20" hidden="1" x14ac:dyDescent="0.15">
      <c r="B186" s="17">
        <v>44015</v>
      </c>
      <c r="C186" s="1">
        <v>42.78</v>
      </c>
      <c r="D186" s="1">
        <v>1.78</v>
      </c>
      <c r="E186" s="1">
        <v>2801.66</v>
      </c>
      <c r="F186" s="1" t="s">
        <v>34</v>
      </c>
      <c r="G186" s="1">
        <v>1.25</v>
      </c>
      <c r="H186" s="4">
        <v>10106319</v>
      </c>
      <c r="I186" s="29">
        <f t="shared" si="141"/>
        <v>40.924999999999997</v>
      </c>
      <c r="J186" s="29">
        <f t="shared" si="142"/>
        <v>1.4475000000000002</v>
      </c>
      <c r="K186" s="29">
        <f t="shared" si="143"/>
        <v>2771.0499999999997</v>
      </c>
      <c r="L186" s="29">
        <f t="shared" si="144"/>
        <v>21.090000000000003</v>
      </c>
      <c r="M186" s="29">
        <f t="shared" si="145"/>
        <v>1.575</v>
      </c>
      <c r="N186" s="4">
        <f t="shared" si="146"/>
        <v>6952480</v>
      </c>
      <c r="O186" s="5">
        <f>IFERROR(C186/C185-1,0)</f>
        <v>5.188099336119989E-2</v>
      </c>
      <c r="P186" s="5">
        <f>IFERROR(D186/D185-1,0)</f>
        <v>-1.5913621262458473</v>
      </c>
      <c r="Q186" s="5">
        <f>IFERROR(E186/E185-1,0)</f>
        <v>1.4454655398408178E-2</v>
      </c>
      <c r="R186" s="5">
        <f>IFERROR(F186/F185-1,0)</f>
        <v>0</v>
      </c>
      <c r="S186" s="5">
        <f>IFERROR(G186/G185-1,0)</f>
        <v>-0.35897435897435892</v>
      </c>
      <c r="T186" s="5">
        <f t="shared" si="147"/>
        <v>0.35269108902383239</v>
      </c>
    </row>
    <row r="187" spans="2:20" x14ac:dyDescent="0.15">
      <c r="B187" s="17">
        <v>44022</v>
      </c>
      <c r="C187" s="1">
        <v>43.17</v>
      </c>
      <c r="D187" s="5">
        <v>0.01</v>
      </c>
      <c r="E187" s="1">
        <v>2800.94</v>
      </c>
      <c r="F187" s="1">
        <v>21.43</v>
      </c>
      <c r="G187" s="1">
        <v>1.05</v>
      </c>
      <c r="H187" s="4">
        <v>8785475</v>
      </c>
      <c r="I187" s="29">
        <f t="shared" si="141"/>
        <v>41.102500000000006</v>
      </c>
      <c r="J187" s="29">
        <f t="shared" si="142"/>
        <v>0.81000000000000028</v>
      </c>
      <c r="K187" s="29">
        <f t="shared" si="143"/>
        <v>2774.0233333333331</v>
      </c>
      <c r="L187" s="29">
        <f t="shared" si="144"/>
        <v>20.98</v>
      </c>
      <c r="M187" s="29">
        <f t="shared" si="145"/>
        <v>1.5375000000000001</v>
      </c>
      <c r="N187" s="4">
        <f t="shared" si="146"/>
        <v>7773302.25</v>
      </c>
      <c r="O187" s="5">
        <f t="shared" ref="O187:O210" si="153">IFERROR(C187/C186-1,0)</f>
        <v>9.1164095371669696E-3</v>
      </c>
      <c r="P187" s="5">
        <f t="shared" ref="P187:P210" si="154">IFERROR(D187/D186-1,0)</f>
        <v>-0.9943820224719101</v>
      </c>
      <c r="Q187" s="5">
        <f t="shared" ref="Q187:Q210" si="155">IFERROR(E187/E186-1,0)</f>
        <v>-2.5699049849015054E-4</v>
      </c>
      <c r="R187" s="5">
        <f t="shared" ref="R187:R210" si="156">IFERROR(F187/F186-1,0)</f>
        <v>0</v>
      </c>
      <c r="S187" s="5">
        <f t="shared" ref="S187:S210" si="157">IFERROR(G187/G186-1,0)</f>
        <v>-0.15999999999999992</v>
      </c>
      <c r="T187" s="5">
        <f t="shared" si="147"/>
        <v>-0.13069486526202068</v>
      </c>
    </row>
    <row r="188" spans="2:20" x14ac:dyDescent="0.15">
      <c r="B188" s="17">
        <v>44029</v>
      </c>
      <c r="C188" s="1">
        <v>43.1</v>
      </c>
      <c r="D188" s="5">
        <v>-0.62</v>
      </c>
      <c r="E188" s="1">
        <v>2774.79</v>
      </c>
      <c r="F188" s="1">
        <v>21.23</v>
      </c>
      <c r="G188" s="1">
        <v>1.05</v>
      </c>
      <c r="H188" s="4">
        <v>5125048</v>
      </c>
      <c r="I188" s="29">
        <f t="shared" si="141"/>
        <v>42.135000000000005</v>
      </c>
      <c r="J188" s="29">
        <f t="shared" si="142"/>
        <v>0.5625</v>
      </c>
      <c r="K188" s="29">
        <f t="shared" si="143"/>
        <v>2780.7525000000001</v>
      </c>
      <c r="L188" s="29">
        <f t="shared" si="144"/>
        <v>21.150000000000002</v>
      </c>
      <c r="M188" s="29">
        <f t="shared" si="145"/>
        <v>1.45</v>
      </c>
      <c r="N188" s="4">
        <f t="shared" si="146"/>
        <v>8614348.5</v>
      </c>
      <c r="O188" s="5">
        <f t="shared" si="153"/>
        <v>-1.6214964095436768E-3</v>
      </c>
      <c r="P188" s="5">
        <f t="shared" si="154"/>
        <v>-63</v>
      </c>
      <c r="Q188" s="5">
        <f t="shared" si="155"/>
        <v>-9.3361514348754282E-3</v>
      </c>
      <c r="R188" s="5">
        <f t="shared" si="156"/>
        <v>-9.3327111525898232E-3</v>
      </c>
      <c r="S188" s="5">
        <f t="shared" si="157"/>
        <v>0</v>
      </c>
      <c r="T188" s="5">
        <f t="shared" si="147"/>
        <v>-0.41664531513663172</v>
      </c>
    </row>
    <row r="189" spans="2:20" x14ac:dyDescent="0.15">
      <c r="B189" s="17">
        <v>44036</v>
      </c>
      <c r="C189" s="1">
        <v>43.42</v>
      </c>
      <c r="D189" s="5">
        <v>0.23</v>
      </c>
      <c r="E189" s="1">
        <v>2863.12</v>
      </c>
      <c r="F189" s="1">
        <v>22.27</v>
      </c>
      <c r="G189" s="1">
        <v>0.25</v>
      </c>
      <c r="H189" s="4">
        <v>7475875</v>
      </c>
      <c r="I189" s="29">
        <f t="shared" si="141"/>
        <v>42.43</v>
      </c>
      <c r="J189" s="29">
        <f t="shared" si="142"/>
        <v>-0.45999999999999996</v>
      </c>
      <c r="K189" s="29">
        <f t="shared" si="143"/>
        <v>2784.7825000000003</v>
      </c>
      <c r="L189" s="29">
        <f t="shared" si="144"/>
        <v>21.276666666666667</v>
      </c>
      <c r="M189" s="29">
        <f t="shared" si="145"/>
        <v>1.325</v>
      </c>
      <c r="N189" s="4">
        <f t="shared" si="146"/>
        <v>7872027.75</v>
      </c>
      <c r="O189" s="5">
        <f t="shared" si="153"/>
        <v>7.4245939675174899E-3</v>
      </c>
      <c r="P189" s="5">
        <f t="shared" si="154"/>
        <v>-1.370967741935484</v>
      </c>
      <c r="Q189" s="5">
        <f t="shared" si="155"/>
        <v>3.1833039617412462E-2</v>
      </c>
      <c r="R189" s="5">
        <f t="shared" si="156"/>
        <v>4.8987282147903821E-2</v>
      </c>
      <c r="S189" s="5">
        <f t="shared" si="157"/>
        <v>-0.76190476190476186</v>
      </c>
      <c r="T189" s="5">
        <f t="shared" si="147"/>
        <v>0.45869365516186389</v>
      </c>
    </row>
    <row r="190" spans="2:20" x14ac:dyDescent="0.15">
      <c r="B190" s="17">
        <v>44043</v>
      </c>
      <c r="C190" s="1">
        <v>43.32</v>
      </c>
      <c r="D190" s="5">
        <v>-1.37</v>
      </c>
      <c r="E190" s="1">
        <v>2911.57</v>
      </c>
      <c r="F190" s="1">
        <v>21.9</v>
      </c>
      <c r="G190" s="1">
        <v>-0.05</v>
      </c>
      <c r="H190" s="4">
        <v>9242883</v>
      </c>
      <c r="I190" s="29">
        <f t="shared" si="141"/>
        <v>43.117500000000007</v>
      </c>
      <c r="J190" s="29">
        <f t="shared" si="142"/>
        <v>0.35</v>
      </c>
      <c r="K190" s="29">
        <f t="shared" si="143"/>
        <v>2810.1274999999996</v>
      </c>
      <c r="L190" s="29">
        <f t="shared" si="144"/>
        <v>21.643333333333331</v>
      </c>
      <c r="M190" s="29">
        <f t="shared" si="145"/>
        <v>0.89999999999999991</v>
      </c>
      <c r="N190" s="4">
        <f t="shared" si="146"/>
        <v>7873179.25</v>
      </c>
      <c r="O190" s="5">
        <f t="shared" si="153"/>
        <v>-2.3030861354215171E-3</v>
      </c>
      <c r="P190" s="5">
        <f t="shared" si="154"/>
        <v>-6.9565217391304346</v>
      </c>
      <c r="Q190" s="5">
        <f t="shared" si="155"/>
        <v>1.6922098968957133E-2</v>
      </c>
      <c r="R190" s="5">
        <f t="shared" si="156"/>
        <v>-1.6614279299506096E-2</v>
      </c>
      <c r="S190" s="5">
        <f t="shared" si="157"/>
        <v>-1.2</v>
      </c>
      <c r="T190" s="5">
        <f t="shared" si="147"/>
        <v>0.23636136238232974</v>
      </c>
    </row>
    <row r="191" spans="2:20" x14ac:dyDescent="0.15">
      <c r="B191" s="17">
        <v>44050</v>
      </c>
      <c r="C191" s="1">
        <v>44.69</v>
      </c>
      <c r="D191" s="5">
        <v>1.1399999999999999</v>
      </c>
      <c r="E191" s="1">
        <v>2972.35</v>
      </c>
      <c r="F191" s="1">
        <v>22.51</v>
      </c>
      <c r="G191" s="1">
        <v>-0.5</v>
      </c>
      <c r="H191" s="4">
        <v>9239971</v>
      </c>
      <c r="I191" s="29">
        <f t="shared" si="141"/>
        <v>43.252499999999998</v>
      </c>
      <c r="J191" s="29">
        <f t="shared" si="142"/>
        <v>-0.4375</v>
      </c>
      <c r="K191" s="29">
        <f t="shared" si="143"/>
        <v>2837.6049999999996</v>
      </c>
      <c r="L191" s="29">
        <f t="shared" si="144"/>
        <v>21.707499999999996</v>
      </c>
      <c r="M191" s="29">
        <f t="shared" si="145"/>
        <v>0.57500000000000007</v>
      </c>
      <c r="N191" s="4">
        <f t="shared" si="146"/>
        <v>7657320.25</v>
      </c>
      <c r="O191" s="5">
        <f t="shared" si="153"/>
        <v>3.1625115420129246E-2</v>
      </c>
      <c r="P191" s="5">
        <f t="shared" si="154"/>
        <v>-1.8321167883211678</v>
      </c>
      <c r="Q191" s="5">
        <f t="shared" si="155"/>
        <v>2.0875335300198694E-2</v>
      </c>
      <c r="R191" s="5">
        <f t="shared" si="156"/>
        <v>2.7853881278538939E-2</v>
      </c>
      <c r="S191" s="5">
        <f t="shared" si="157"/>
        <v>9</v>
      </c>
      <c r="T191" s="5">
        <f t="shared" si="147"/>
        <v>-3.1505321445701728E-4</v>
      </c>
    </row>
    <row r="192" spans="2:20" x14ac:dyDescent="0.15">
      <c r="B192" s="17">
        <v>44057</v>
      </c>
      <c r="C192" s="1">
        <v>44.95</v>
      </c>
      <c r="D192" s="5">
        <v>0.82</v>
      </c>
      <c r="E192" s="1">
        <v>3061.99</v>
      </c>
      <c r="F192" s="1">
        <v>23.5</v>
      </c>
      <c r="G192" s="1">
        <v>-1.05</v>
      </c>
      <c r="H192" s="4">
        <v>8054896</v>
      </c>
      <c r="I192" s="29">
        <f t="shared" si="141"/>
        <v>43.6325</v>
      </c>
      <c r="J192" s="29">
        <f t="shared" si="142"/>
        <v>-0.15500000000000008</v>
      </c>
      <c r="K192" s="29">
        <f t="shared" si="143"/>
        <v>2880.4575</v>
      </c>
      <c r="L192" s="29">
        <f t="shared" si="144"/>
        <v>21.977500000000003</v>
      </c>
      <c r="M192" s="29">
        <f t="shared" si="145"/>
        <v>0.1875</v>
      </c>
      <c r="N192" s="4">
        <f t="shared" si="146"/>
        <v>7770944.25</v>
      </c>
      <c r="O192" s="5">
        <f t="shared" si="153"/>
        <v>5.8178563437012443E-3</v>
      </c>
      <c r="P192" s="5">
        <f t="shared" si="154"/>
        <v>-0.2807017543859649</v>
      </c>
      <c r="Q192" s="5">
        <f t="shared" si="155"/>
        <v>3.0157955826198179E-2</v>
      </c>
      <c r="R192" s="5">
        <f t="shared" si="156"/>
        <v>4.3980453131941211E-2</v>
      </c>
      <c r="S192" s="5">
        <f t="shared" si="157"/>
        <v>1.1000000000000001</v>
      </c>
      <c r="T192" s="5">
        <f t="shared" si="147"/>
        <v>-0.12825527266265224</v>
      </c>
    </row>
    <row r="193" spans="2:20" x14ac:dyDescent="0.15">
      <c r="B193" s="17">
        <v>44064</v>
      </c>
      <c r="C193" s="1">
        <v>44.26</v>
      </c>
      <c r="D193" s="5">
        <v>0.43</v>
      </c>
      <c r="E193" s="1">
        <v>2995.61</v>
      </c>
      <c r="F193" s="1">
        <v>22.59</v>
      </c>
      <c r="G193" s="1">
        <v>-0.35</v>
      </c>
      <c r="H193" s="4">
        <v>6738608</v>
      </c>
      <c r="I193" s="29">
        <f t="shared" si="141"/>
        <v>44.094999999999999</v>
      </c>
      <c r="J193" s="29">
        <f t="shared" si="142"/>
        <v>0.20499999999999993</v>
      </c>
      <c r="K193" s="29">
        <f t="shared" si="143"/>
        <v>2952.2575000000002</v>
      </c>
      <c r="L193" s="29">
        <f t="shared" si="144"/>
        <v>22.545000000000002</v>
      </c>
      <c r="M193" s="29">
        <f t="shared" si="145"/>
        <v>-0.33750000000000002</v>
      </c>
      <c r="N193" s="4">
        <f t="shared" si="146"/>
        <v>8503406.25</v>
      </c>
      <c r="O193" s="5">
        <f t="shared" si="153"/>
        <v>-1.5350389321468372E-2</v>
      </c>
      <c r="P193" s="5">
        <f t="shared" si="154"/>
        <v>-0.47560975609756095</v>
      </c>
      <c r="Q193" s="5">
        <f t="shared" si="155"/>
        <v>-2.1678712210033257E-2</v>
      </c>
      <c r="R193" s="5">
        <f t="shared" si="156"/>
        <v>-3.8723404255319172E-2</v>
      </c>
      <c r="S193" s="5">
        <f t="shared" si="157"/>
        <v>-0.66666666666666674</v>
      </c>
      <c r="T193" s="5">
        <f t="shared" si="147"/>
        <v>-0.16341464868075273</v>
      </c>
    </row>
    <row r="194" spans="2:20" x14ac:dyDescent="0.15">
      <c r="B194" s="17">
        <v>44071</v>
      </c>
      <c r="C194" s="1">
        <v>45.08</v>
      </c>
      <c r="D194" s="5">
        <v>-1.18</v>
      </c>
      <c r="E194" s="1">
        <v>2980.17</v>
      </c>
      <c r="F194" s="1">
        <v>22.69</v>
      </c>
      <c r="G194" s="1">
        <v>0.75</v>
      </c>
      <c r="H194" s="4">
        <v>9377813</v>
      </c>
      <c r="I194" s="29">
        <f t="shared" si="141"/>
        <v>44.304999999999993</v>
      </c>
      <c r="J194" s="29">
        <f t="shared" si="142"/>
        <v>0.25499999999999995</v>
      </c>
      <c r="K194" s="29">
        <f t="shared" si="143"/>
        <v>2985.38</v>
      </c>
      <c r="L194" s="29">
        <f t="shared" si="144"/>
        <v>22.625</v>
      </c>
      <c r="M194" s="29">
        <f t="shared" si="145"/>
        <v>-0.48750000000000004</v>
      </c>
      <c r="N194" s="4">
        <f t="shared" si="146"/>
        <v>8319089.5</v>
      </c>
      <c r="O194" s="5">
        <f t="shared" si="153"/>
        <v>1.8526886579304014E-2</v>
      </c>
      <c r="P194" s="5">
        <f t="shared" si="154"/>
        <v>-3.7441860465116279</v>
      </c>
      <c r="Q194" s="5">
        <f t="shared" si="155"/>
        <v>-5.154208992492415E-3</v>
      </c>
      <c r="R194" s="5">
        <f t="shared" si="156"/>
        <v>4.4267374944666482E-3</v>
      </c>
      <c r="S194" s="5">
        <f t="shared" si="157"/>
        <v>-3.1428571428571428</v>
      </c>
      <c r="T194" s="5">
        <f t="shared" si="147"/>
        <v>0.39165432979630221</v>
      </c>
    </row>
    <row r="195" spans="2:20" x14ac:dyDescent="0.15">
      <c r="B195" s="17">
        <v>44078</v>
      </c>
      <c r="C195" s="1">
        <v>42.35</v>
      </c>
      <c r="D195" s="5">
        <v>-1.55</v>
      </c>
      <c r="E195" s="1">
        <v>2921.55</v>
      </c>
      <c r="F195" s="1">
        <v>22.05</v>
      </c>
      <c r="G195" s="1">
        <v>0.75</v>
      </c>
      <c r="H195" s="4">
        <v>9982943</v>
      </c>
      <c r="I195" s="29">
        <f t="shared" si="141"/>
        <v>44.745000000000005</v>
      </c>
      <c r="J195" s="29">
        <f t="shared" si="142"/>
        <v>0.30250000000000005</v>
      </c>
      <c r="K195" s="29">
        <f t="shared" si="143"/>
        <v>3002.53</v>
      </c>
      <c r="L195" s="29">
        <f t="shared" si="144"/>
        <v>22.822500000000002</v>
      </c>
      <c r="M195" s="29">
        <f t="shared" si="145"/>
        <v>-0.28749999999999998</v>
      </c>
      <c r="N195" s="4">
        <f t="shared" si="146"/>
        <v>8352822</v>
      </c>
      <c r="O195" s="5">
        <f t="shared" si="153"/>
        <v>-6.0559006211180044E-2</v>
      </c>
      <c r="P195" s="5">
        <f t="shared" si="154"/>
        <v>0.31355932203389836</v>
      </c>
      <c r="Q195" s="5">
        <f t="shared" si="155"/>
        <v>-1.9670018824429425E-2</v>
      </c>
      <c r="R195" s="5">
        <f t="shared" si="156"/>
        <v>-2.8206258263552275E-2</v>
      </c>
      <c r="S195" s="5">
        <f t="shared" si="157"/>
        <v>0</v>
      </c>
      <c r="T195" s="5">
        <f t="shared" si="147"/>
        <v>6.4527838207053101E-2</v>
      </c>
    </row>
    <row r="196" spans="2:20" x14ac:dyDescent="0.15">
      <c r="B196" s="17">
        <v>44085</v>
      </c>
      <c r="C196" s="1">
        <v>39.92</v>
      </c>
      <c r="D196" s="5">
        <v>-1.21</v>
      </c>
      <c r="E196" s="1">
        <v>2910.51</v>
      </c>
      <c r="F196" s="1">
        <v>21.71</v>
      </c>
      <c r="G196" s="1">
        <v>-0.35</v>
      </c>
      <c r="H196" s="4">
        <v>7474777</v>
      </c>
      <c r="I196" s="29">
        <f t="shared" si="141"/>
        <v>44.160000000000004</v>
      </c>
      <c r="J196" s="29">
        <f t="shared" si="142"/>
        <v>-0.37</v>
      </c>
      <c r="K196" s="29">
        <f t="shared" si="143"/>
        <v>2989.83</v>
      </c>
      <c r="L196" s="29">
        <f t="shared" si="144"/>
        <v>22.7075</v>
      </c>
      <c r="M196" s="29">
        <f t="shared" si="145"/>
        <v>2.5000000000000022E-2</v>
      </c>
      <c r="N196" s="4">
        <f t="shared" si="146"/>
        <v>8538565</v>
      </c>
      <c r="O196" s="5">
        <f t="shared" si="153"/>
        <v>-5.7378984651711873E-2</v>
      </c>
      <c r="P196" s="5">
        <f t="shared" si="154"/>
        <v>-0.21935483870967742</v>
      </c>
      <c r="Q196" s="5">
        <f t="shared" si="155"/>
        <v>-3.7788160394310877E-3</v>
      </c>
      <c r="R196" s="5">
        <f t="shared" si="156"/>
        <v>-1.5419501133786873E-2</v>
      </c>
      <c r="S196" s="5">
        <f t="shared" si="157"/>
        <v>-1.4666666666666666</v>
      </c>
      <c r="T196" s="5">
        <f t="shared" si="147"/>
        <v>-0.25124514885039406</v>
      </c>
    </row>
    <row r="197" spans="2:20" x14ac:dyDescent="0.15">
      <c r="B197" s="17">
        <v>44092</v>
      </c>
      <c r="C197" s="1">
        <v>43.04</v>
      </c>
      <c r="D197" s="5">
        <v>4.79</v>
      </c>
      <c r="E197" s="1">
        <v>2951.79</v>
      </c>
      <c r="F197" s="1">
        <v>21.87</v>
      </c>
      <c r="G197" s="1">
        <v>-0.35</v>
      </c>
      <c r="H197" s="4">
        <v>5418536</v>
      </c>
      <c r="I197" s="29">
        <f t="shared" si="141"/>
        <v>42.902500000000003</v>
      </c>
      <c r="J197" s="29">
        <f t="shared" si="142"/>
        <v>-0.87749999999999995</v>
      </c>
      <c r="K197" s="29">
        <f t="shared" si="143"/>
        <v>2951.9600000000005</v>
      </c>
      <c r="L197" s="29">
        <f t="shared" si="144"/>
        <v>22.259999999999998</v>
      </c>
      <c r="M197" s="29">
        <f t="shared" si="145"/>
        <v>0.19999999999999998</v>
      </c>
      <c r="N197" s="4">
        <f t="shared" si="146"/>
        <v>8393535.25</v>
      </c>
      <c r="O197" s="5">
        <f t="shared" si="153"/>
        <v>7.8156312625250468E-2</v>
      </c>
      <c r="P197" s="5">
        <f t="shared" si="154"/>
        <v>-4.9586776859504136</v>
      </c>
      <c r="Q197" s="5">
        <f t="shared" si="155"/>
        <v>1.4183081315645607E-2</v>
      </c>
      <c r="R197" s="5">
        <f t="shared" si="156"/>
        <v>7.369875633348677E-3</v>
      </c>
      <c r="S197" s="5">
        <f t="shared" si="157"/>
        <v>0</v>
      </c>
      <c r="T197" s="5">
        <f t="shared" si="147"/>
        <v>-0.27509061474342311</v>
      </c>
    </row>
    <row r="198" spans="2:20" x14ac:dyDescent="0.15">
      <c r="B198" s="17">
        <v>44099</v>
      </c>
      <c r="C198" s="1">
        <v>41.79</v>
      </c>
      <c r="D198" s="5">
        <v>1.17</v>
      </c>
      <c r="E198" s="1">
        <v>2896.83</v>
      </c>
      <c r="F198" s="1">
        <v>20.86</v>
      </c>
      <c r="G198" s="1">
        <v>0.1</v>
      </c>
      <c r="H198" s="4">
        <v>8051938</v>
      </c>
      <c r="I198" s="29">
        <f t="shared" si="141"/>
        <v>42.597500000000004</v>
      </c>
      <c r="J198" s="29">
        <f t="shared" si="142"/>
        <v>0.21250000000000002</v>
      </c>
      <c r="K198" s="29">
        <f t="shared" si="143"/>
        <v>2941.0050000000001</v>
      </c>
      <c r="L198" s="29">
        <f t="shared" si="144"/>
        <v>22.080000000000002</v>
      </c>
      <c r="M198" s="29">
        <f t="shared" si="145"/>
        <v>0.19999999999999998</v>
      </c>
      <c r="N198" s="4">
        <f t="shared" si="146"/>
        <v>8063517.25</v>
      </c>
      <c r="O198" s="5">
        <f t="shared" si="153"/>
        <v>-2.9042750929368033E-2</v>
      </c>
      <c r="P198" s="5">
        <f t="shared" si="154"/>
        <v>-0.75574112734864296</v>
      </c>
      <c r="Q198" s="5">
        <f t="shared" si="155"/>
        <v>-1.8619210716209533E-2</v>
      </c>
      <c r="R198" s="5">
        <f t="shared" si="156"/>
        <v>-4.6181984453589453E-2</v>
      </c>
      <c r="S198" s="5">
        <f t="shared" si="157"/>
        <v>-1.2857142857142858</v>
      </c>
      <c r="T198" s="5">
        <f t="shared" si="147"/>
        <v>0.48599880115219318</v>
      </c>
    </row>
    <row r="199" spans="2:20" x14ac:dyDescent="0.15">
      <c r="B199" s="17">
        <v>44106</v>
      </c>
      <c r="C199" s="1">
        <v>38.9</v>
      </c>
      <c r="D199" s="5">
        <v>0.82</v>
      </c>
      <c r="E199" s="1">
        <v>2852.42</v>
      </c>
      <c r="F199" s="1">
        <v>20.7</v>
      </c>
      <c r="G199" s="1">
        <v>-0.1</v>
      </c>
      <c r="H199" s="4">
        <v>9501568</v>
      </c>
      <c r="I199" s="29">
        <f t="shared" si="141"/>
        <v>41.774999999999999</v>
      </c>
      <c r="J199" s="29">
        <f t="shared" si="142"/>
        <v>0.8</v>
      </c>
      <c r="K199" s="29">
        <f t="shared" si="143"/>
        <v>2920.17</v>
      </c>
      <c r="L199" s="29">
        <f t="shared" si="144"/>
        <v>21.622500000000002</v>
      </c>
      <c r="M199" s="29">
        <f t="shared" si="145"/>
        <v>3.7500000000000012E-2</v>
      </c>
      <c r="N199" s="4">
        <f t="shared" si="146"/>
        <v>7732048.5</v>
      </c>
      <c r="O199" s="5">
        <f t="shared" si="153"/>
        <v>-6.9155300311079193E-2</v>
      </c>
      <c r="P199" s="5">
        <f t="shared" si="154"/>
        <v>-0.29914529914529919</v>
      </c>
      <c r="Q199" s="5">
        <f t="shared" si="155"/>
        <v>-1.5330550981590196E-2</v>
      </c>
      <c r="R199" s="5">
        <f t="shared" si="156"/>
        <v>-7.6701821668264669E-3</v>
      </c>
      <c r="S199" s="5">
        <f t="shared" si="157"/>
        <v>-2</v>
      </c>
      <c r="T199" s="5">
        <f t="shared" si="147"/>
        <v>0.18003491830165608</v>
      </c>
    </row>
    <row r="200" spans="2:20" x14ac:dyDescent="0.15">
      <c r="B200" s="17">
        <v>44113</v>
      </c>
      <c r="C200" s="1">
        <v>42.82</v>
      </c>
      <c r="D200" s="5">
        <v>4.8899999999999997</v>
      </c>
      <c r="E200" s="1">
        <v>2834.09</v>
      </c>
      <c r="F200" s="1">
        <v>21.19</v>
      </c>
      <c r="G200" s="1">
        <v>-0.35</v>
      </c>
      <c r="H200" s="4">
        <v>7760162</v>
      </c>
      <c r="I200" s="29">
        <f t="shared" si="141"/>
        <v>40.912500000000001</v>
      </c>
      <c r="J200" s="29">
        <f t="shared" si="142"/>
        <v>1.3925000000000001</v>
      </c>
      <c r="K200" s="29">
        <f t="shared" si="143"/>
        <v>2902.8875000000003</v>
      </c>
      <c r="L200" s="29">
        <f t="shared" si="144"/>
        <v>21.285</v>
      </c>
      <c r="M200" s="29">
        <f t="shared" si="145"/>
        <v>-0.17499999999999999</v>
      </c>
      <c r="N200" s="4">
        <f t="shared" si="146"/>
        <v>7611704.75</v>
      </c>
      <c r="O200" s="5">
        <f t="shared" si="153"/>
        <v>0.1007712082262211</v>
      </c>
      <c r="P200" s="5">
        <f t="shared" si="154"/>
        <v>4.963414634146341</v>
      </c>
      <c r="Q200" s="5">
        <f t="shared" si="155"/>
        <v>-6.4261223802946077E-3</v>
      </c>
      <c r="R200" s="5">
        <f t="shared" si="156"/>
        <v>2.3671497584541124E-2</v>
      </c>
      <c r="S200" s="5">
        <f t="shared" si="157"/>
        <v>2.4999999999999996</v>
      </c>
      <c r="T200" s="5">
        <f t="shared" si="147"/>
        <v>-0.18327564460939505</v>
      </c>
    </row>
    <row r="201" spans="2:20" x14ac:dyDescent="0.15">
      <c r="B201" s="17">
        <v>44120</v>
      </c>
      <c r="C201" s="1">
        <v>42.85</v>
      </c>
      <c r="D201" s="5">
        <v>2.69</v>
      </c>
      <c r="E201" s="1">
        <v>2799.54</v>
      </c>
      <c r="F201" s="1">
        <v>20.73</v>
      </c>
      <c r="G201" s="1">
        <v>0.5</v>
      </c>
      <c r="H201" s="4">
        <v>3667003</v>
      </c>
      <c r="I201" s="29">
        <f t="shared" si="141"/>
        <v>41.637499999999996</v>
      </c>
      <c r="J201" s="29">
        <f t="shared" si="142"/>
        <v>2.9175</v>
      </c>
      <c r="K201" s="29">
        <f t="shared" si="143"/>
        <v>2883.7825000000003</v>
      </c>
      <c r="L201" s="29">
        <f t="shared" si="144"/>
        <v>21.155000000000001</v>
      </c>
      <c r="M201" s="29">
        <f t="shared" si="145"/>
        <v>-0.17499999999999999</v>
      </c>
      <c r="N201" s="4">
        <f t="shared" si="146"/>
        <v>7683051</v>
      </c>
      <c r="O201" s="5">
        <f t="shared" si="153"/>
        <v>7.0060719290054863E-4</v>
      </c>
      <c r="P201" s="5">
        <f t="shared" si="154"/>
        <v>-0.44989775051124747</v>
      </c>
      <c r="Q201" s="5">
        <f t="shared" si="155"/>
        <v>-1.2190861969803457E-2</v>
      </c>
      <c r="R201" s="5">
        <f t="shared" si="156"/>
        <v>-2.17083529966966E-2</v>
      </c>
      <c r="S201" s="5">
        <f t="shared" si="157"/>
        <v>-2.4285714285714288</v>
      </c>
      <c r="T201" s="5">
        <f t="shared" si="147"/>
        <v>-0.52745793193492618</v>
      </c>
    </row>
    <row r="202" spans="2:20" x14ac:dyDescent="0.15">
      <c r="B202" s="17">
        <v>44127</v>
      </c>
      <c r="C202" s="1">
        <v>41.59</v>
      </c>
      <c r="D202" s="5">
        <v>1.49</v>
      </c>
      <c r="E202" s="1">
        <v>2816.7</v>
      </c>
      <c r="F202" s="1">
        <v>21.44</v>
      </c>
      <c r="G202" s="1">
        <v>0.35</v>
      </c>
      <c r="H202" s="4">
        <v>7947940</v>
      </c>
      <c r="I202" s="29">
        <f t="shared" si="141"/>
        <v>41.589999999999996</v>
      </c>
      <c r="J202" s="29">
        <f t="shared" si="142"/>
        <v>2.3924999999999996</v>
      </c>
      <c r="K202" s="29">
        <f t="shared" si="143"/>
        <v>2845.7200000000003</v>
      </c>
      <c r="L202" s="29">
        <f t="shared" si="144"/>
        <v>20.87</v>
      </c>
      <c r="M202" s="29">
        <f t="shared" si="145"/>
        <v>3.7500000000000006E-2</v>
      </c>
      <c r="N202" s="4">
        <f t="shared" si="146"/>
        <v>7245167.75</v>
      </c>
      <c r="O202" s="5">
        <f t="shared" si="153"/>
        <v>-2.9404900816802804E-2</v>
      </c>
      <c r="P202" s="5">
        <f t="shared" si="154"/>
        <v>-0.44609665427509293</v>
      </c>
      <c r="Q202" s="5">
        <f t="shared" si="155"/>
        <v>6.1295784307422441E-3</v>
      </c>
      <c r="R202" s="5">
        <f t="shared" si="156"/>
        <v>3.4249879401833105E-2</v>
      </c>
      <c r="S202" s="5">
        <f t="shared" si="157"/>
        <v>-0.30000000000000004</v>
      </c>
      <c r="T202" s="5">
        <f t="shared" si="147"/>
        <v>1.1674211883655401</v>
      </c>
    </row>
    <row r="203" spans="2:20" x14ac:dyDescent="0.15">
      <c r="B203" s="17">
        <v>44134</v>
      </c>
      <c r="C203" s="1">
        <v>37.450000000000003</v>
      </c>
      <c r="D203" s="5">
        <v>-1.93</v>
      </c>
      <c r="E203" s="1">
        <v>2690.59</v>
      </c>
      <c r="F203" s="1">
        <v>19.454999999999998</v>
      </c>
      <c r="G203" s="1">
        <v>0.7</v>
      </c>
      <c r="H203" s="4">
        <v>8507027</v>
      </c>
      <c r="I203" s="29">
        <f t="shared" si="141"/>
        <v>41.54</v>
      </c>
      <c r="J203" s="29">
        <f t="shared" si="142"/>
        <v>2.4725000000000001</v>
      </c>
      <c r="K203" s="29">
        <f t="shared" si="143"/>
        <v>2825.6875</v>
      </c>
      <c r="L203" s="29">
        <f t="shared" si="144"/>
        <v>21.015000000000001</v>
      </c>
      <c r="M203" s="29">
        <f t="shared" si="145"/>
        <v>0.1</v>
      </c>
      <c r="N203" s="4">
        <f t="shared" si="146"/>
        <v>7219168.25</v>
      </c>
      <c r="O203" s="5">
        <f t="shared" si="153"/>
        <v>-9.9543159413320481E-2</v>
      </c>
      <c r="P203" s="5">
        <f t="shared" si="154"/>
        <v>-2.2953020134228188</v>
      </c>
      <c r="Q203" s="5">
        <f t="shared" si="155"/>
        <v>-4.4772251215961845E-2</v>
      </c>
      <c r="R203" s="5">
        <f t="shared" si="156"/>
        <v>-9.2583955223880743E-2</v>
      </c>
      <c r="S203" s="5">
        <f t="shared" si="157"/>
        <v>1</v>
      </c>
      <c r="T203" s="5">
        <f t="shared" si="147"/>
        <v>7.0343636212653937E-2</v>
      </c>
    </row>
    <row r="204" spans="2:20" x14ac:dyDescent="0.15">
      <c r="B204" s="17">
        <v>44141</v>
      </c>
      <c r="C204" s="1">
        <v>39.6</v>
      </c>
      <c r="D204" s="5">
        <v>3.16</v>
      </c>
      <c r="E204" s="1">
        <v>2895.62</v>
      </c>
      <c r="F204" s="1">
        <v>21.44</v>
      </c>
      <c r="G204" s="1">
        <v>0.25</v>
      </c>
      <c r="H204" s="4">
        <v>9929663</v>
      </c>
      <c r="I204" s="29">
        <f t="shared" si="141"/>
        <v>41.177500000000002</v>
      </c>
      <c r="J204" s="29">
        <f t="shared" si="142"/>
        <v>1.7850000000000001</v>
      </c>
      <c r="K204" s="29">
        <f t="shared" si="143"/>
        <v>2785.23</v>
      </c>
      <c r="L204" s="29">
        <f t="shared" si="144"/>
        <v>20.703749999999999</v>
      </c>
      <c r="M204" s="29">
        <f t="shared" si="145"/>
        <v>0.3</v>
      </c>
      <c r="N204" s="4">
        <f t="shared" si="146"/>
        <v>6970533</v>
      </c>
      <c r="O204" s="5">
        <f t="shared" si="153"/>
        <v>5.7409879839786404E-2</v>
      </c>
      <c r="P204" s="5">
        <f t="shared" si="154"/>
        <v>-2.6373056994818653</v>
      </c>
      <c r="Q204" s="5">
        <f t="shared" si="155"/>
        <v>7.6202617269818029E-2</v>
      </c>
      <c r="R204" s="5">
        <f t="shared" si="156"/>
        <v>0.10203032639424325</v>
      </c>
      <c r="S204" s="5">
        <f t="shared" si="157"/>
        <v>-0.64285714285714279</v>
      </c>
      <c r="T204" s="5">
        <f t="shared" si="147"/>
        <v>0.16723069058085738</v>
      </c>
    </row>
    <row r="205" spans="2:20" x14ac:dyDescent="0.15">
      <c r="B205" s="17">
        <v>44148</v>
      </c>
      <c r="C205" s="1">
        <v>42.63</v>
      </c>
      <c r="D205" s="5">
        <v>-2.13</v>
      </c>
      <c r="E205" s="1">
        <v>3025.22</v>
      </c>
      <c r="F205" s="1">
        <v>22.44</v>
      </c>
      <c r="G205" s="1">
        <v>0.25</v>
      </c>
      <c r="H205" s="4">
        <v>9821605.0377358496</v>
      </c>
      <c r="I205" s="29">
        <f t="shared" si="141"/>
        <v>40.372500000000002</v>
      </c>
      <c r="J205" s="29">
        <f t="shared" si="142"/>
        <v>1.3525</v>
      </c>
      <c r="K205" s="29">
        <f t="shared" si="143"/>
        <v>2800.6125000000002</v>
      </c>
      <c r="L205" s="29">
        <f t="shared" si="144"/>
        <v>20.766249999999999</v>
      </c>
      <c r="M205" s="29">
        <f t="shared" si="145"/>
        <v>0.44999999999999996</v>
      </c>
      <c r="N205" s="4">
        <f t="shared" si="146"/>
        <v>7512908.25</v>
      </c>
      <c r="O205" s="5">
        <f t="shared" si="153"/>
        <v>7.6515151515151647E-2</v>
      </c>
      <c r="P205" s="5">
        <f t="shared" si="154"/>
        <v>-1.6740506329113924</v>
      </c>
      <c r="Q205" s="5">
        <f t="shared" si="155"/>
        <v>4.4757254059579532E-2</v>
      </c>
      <c r="R205" s="5">
        <f t="shared" si="156"/>
        <v>4.664179104477606E-2</v>
      </c>
      <c r="S205" s="5">
        <f t="shared" si="157"/>
        <v>0</v>
      </c>
      <c r="T205" s="5">
        <f t="shared" si="147"/>
        <v>-1.0882339336606983E-2</v>
      </c>
    </row>
    <row r="206" spans="2:20" x14ac:dyDescent="0.15">
      <c r="B206" s="17">
        <v>44155</v>
      </c>
      <c r="C206" s="1">
        <v>45.24</v>
      </c>
      <c r="D206" s="5">
        <v>0.2</v>
      </c>
      <c r="E206" s="1">
        <v>3051.04</v>
      </c>
      <c r="F206" s="1">
        <v>22.79</v>
      </c>
      <c r="G206" s="1">
        <v>0.35</v>
      </c>
      <c r="H206" s="4">
        <v>9666632</v>
      </c>
      <c r="I206" s="29">
        <f t="shared" si="141"/>
        <v>40.317500000000003</v>
      </c>
      <c r="J206" s="29">
        <f t="shared" si="142"/>
        <v>0.14750000000000008</v>
      </c>
      <c r="K206" s="29">
        <f t="shared" si="143"/>
        <v>2857.0324999999998</v>
      </c>
      <c r="L206" s="29">
        <f t="shared" si="144"/>
        <v>21.193749999999998</v>
      </c>
      <c r="M206" s="29">
        <f t="shared" si="145"/>
        <v>0.38749999999999996</v>
      </c>
      <c r="N206" s="4">
        <f t="shared" si="146"/>
        <v>9051558.7594339624</v>
      </c>
      <c r="O206" s="5">
        <f t="shared" si="153"/>
        <v>6.1224489795918435E-2</v>
      </c>
      <c r="P206" s="5">
        <f t="shared" si="154"/>
        <v>-1.0938967136150235</v>
      </c>
      <c r="Q206" s="5">
        <f t="shared" si="155"/>
        <v>8.5349164688850454E-3</v>
      </c>
      <c r="R206" s="5">
        <f t="shared" si="156"/>
        <v>1.559714795008893E-2</v>
      </c>
      <c r="S206" s="5">
        <f t="shared" si="157"/>
        <v>0.39999999999999991</v>
      </c>
      <c r="T206" s="5">
        <f t="shared" si="147"/>
        <v>-1.5778789428044004E-2</v>
      </c>
    </row>
    <row r="207" spans="2:20" x14ac:dyDescent="0.15">
      <c r="B207" s="17">
        <v>44162</v>
      </c>
      <c r="C207" s="1">
        <v>48.27</v>
      </c>
      <c r="D207" s="5">
        <v>1.79</v>
      </c>
      <c r="E207" s="1">
        <v>3142.68</v>
      </c>
      <c r="F207" s="1">
        <v>23.34</v>
      </c>
      <c r="G207" s="1">
        <v>-0.05</v>
      </c>
      <c r="H207" s="4">
        <v>8943195</v>
      </c>
      <c r="I207" s="29">
        <f t="shared" si="141"/>
        <v>41.230000000000004</v>
      </c>
      <c r="J207" s="29">
        <f t="shared" si="142"/>
        <v>-0.17499999999999993</v>
      </c>
      <c r="K207" s="29">
        <f t="shared" si="143"/>
        <v>2915.6175000000003</v>
      </c>
      <c r="L207" s="29">
        <f t="shared" si="144"/>
        <v>21.53125</v>
      </c>
      <c r="M207" s="29">
        <f t="shared" si="145"/>
        <v>0.38749999999999996</v>
      </c>
      <c r="N207" s="4">
        <f t="shared" si="146"/>
        <v>9481231.7594339624</v>
      </c>
      <c r="O207" s="5">
        <f t="shared" si="153"/>
        <v>6.6976127320955037E-2</v>
      </c>
      <c r="P207" s="5">
        <f t="shared" si="154"/>
        <v>7.9499999999999993</v>
      </c>
      <c r="Q207" s="5">
        <f t="shared" si="155"/>
        <v>3.0035659971681783E-2</v>
      </c>
      <c r="R207" s="5">
        <f t="shared" si="156"/>
        <v>2.4133391838525808E-2</v>
      </c>
      <c r="S207" s="5">
        <f t="shared" si="157"/>
        <v>-1.1428571428571428</v>
      </c>
      <c r="T207" s="5">
        <f t="shared" si="147"/>
        <v>-7.4838578731454719E-2</v>
      </c>
    </row>
    <row r="208" spans="2:20" x14ac:dyDescent="0.15">
      <c r="B208" s="17">
        <v>44169</v>
      </c>
      <c r="C208" s="1">
        <v>49.03</v>
      </c>
      <c r="D208" s="5">
        <v>0.21</v>
      </c>
      <c r="E208" s="1">
        <v>3184.72</v>
      </c>
      <c r="F208" s="1">
        <v>24.18</v>
      </c>
      <c r="G208" s="1">
        <v>-0.65</v>
      </c>
      <c r="H208" s="4">
        <v>9529745</v>
      </c>
      <c r="I208" s="29">
        <f t="shared" si="141"/>
        <v>43.935000000000002</v>
      </c>
      <c r="J208" s="29">
        <f t="shared" si="142"/>
        <v>0.75500000000000012</v>
      </c>
      <c r="K208" s="29">
        <f t="shared" si="143"/>
        <v>3028.6400000000003</v>
      </c>
      <c r="L208" s="29">
        <f t="shared" si="144"/>
        <v>22.502500000000001</v>
      </c>
      <c r="M208" s="29">
        <f t="shared" si="145"/>
        <v>0.19999999999999998</v>
      </c>
      <c r="N208" s="4">
        <f t="shared" si="146"/>
        <v>9590273.7594339624</v>
      </c>
      <c r="O208" s="5">
        <f t="shared" si="153"/>
        <v>1.5744769007665083E-2</v>
      </c>
      <c r="P208" s="5">
        <f t="shared" si="154"/>
        <v>-0.88268156424581012</v>
      </c>
      <c r="Q208" s="5">
        <f t="shared" si="155"/>
        <v>1.3377117619356671E-2</v>
      </c>
      <c r="R208" s="5">
        <f t="shared" si="156"/>
        <v>3.5989717223650297E-2</v>
      </c>
      <c r="S208" s="5">
        <f t="shared" si="157"/>
        <v>12</v>
      </c>
      <c r="T208" s="5">
        <f t="shared" si="147"/>
        <v>6.558618033040764E-2</v>
      </c>
    </row>
    <row r="209" spans="2:20" x14ac:dyDescent="0.15">
      <c r="B209" s="17">
        <v>44176</v>
      </c>
      <c r="C209" s="1">
        <v>50.07</v>
      </c>
      <c r="D209" s="5">
        <v>0.53</v>
      </c>
      <c r="E209" s="1">
        <v>3276.58</v>
      </c>
      <c r="F209" s="1">
        <v>25.1</v>
      </c>
      <c r="G209" s="1">
        <v>-0.65</v>
      </c>
      <c r="H209" s="4">
        <v>8053125</v>
      </c>
      <c r="I209" s="29">
        <f t="shared" si="141"/>
        <v>46.292500000000004</v>
      </c>
      <c r="J209" s="29">
        <f t="shared" si="142"/>
        <v>1.7500000000000022E-2</v>
      </c>
      <c r="K209" s="29">
        <f t="shared" si="143"/>
        <v>3100.915</v>
      </c>
      <c r="L209" s="29">
        <f t="shared" si="144"/>
        <v>23.1875</v>
      </c>
      <c r="M209" s="29">
        <f t="shared" si="145"/>
        <v>-2.5000000000000022E-2</v>
      </c>
      <c r="N209" s="4">
        <f t="shared" si="146"/>
        <v>9490294.2594339624</v>
      </c>
      <c r="O209" s="5">
        <f t="shared" si="153"/>
        <v>2.1211503161329803E-2</v>
      </c>
      <c r="P209" s="5">
        <f t="shared" si="154"/>
        <v>1.5238095238095242</v>
      </c>
      <c r="Q209" s="5">
        <f t="shared" si="155"/>
        <v>2.8843980004521708E-2</v>
      </c>
      <c r="R209" s="5">
        <f t="shared" si="156"/>
        <v>3.8047973531844637E-2</v>
      </c>
      <c r="S209" s="5">
        <f t="shared" si="157"/>
        <v>0</v>
      </c>
      <c r="T209" s="5">
        <f t="shared" si="147"/>
        <v>-0.15494853220101901</v>
      </c>
    </row>
    <row r="210" spans="2:20" x14ac:dyDescent="0.15">
      <c r="B210" s="17">
        <v>44183</v>
      </c>
      <c r="C210" s="1">
        <v>52.37</v>
      </c>
      <c r="D210" s="5">
        <v>1.78</v>
      </c>
      <c r="E210" s="1">
        <v>3273.75</v>
      </c>
      <c r="F210" s="1">
        <v>25.06</v>
      </c>
      <c r="G210" s="1">
        <v>-1.3</v>
      </c>
      <c r="H210" s="4">
        <v>8055902</v>
      </c>
      <c r="I210" s="29">
        <f t="shared" si="141"/>
        <v>48.152500000000003</v>
      </c>
      <c r="J210" s="29">
        <f t="shared" si="142"/>
        <v>0.68250000000000011</v>
      </c>
      <c r="K210" s="29">
        <f t="shared" si="143"/>
        <v>3163.7549999999997</v>
      </c>
      <c r="L210" s="29">
        <f t="shared" si="144"/>
        <v>23.852499999999999</v>
      </c>
      <c r="M210" s="29">
        <f t="shared" si="145"/>
        <v>-0.25</v>
      </c>
      <c r="N210" s="4">
        <f t="shared" si="146"/>
        <v>9048174.25</v>
      </c>
      <c r="O210" s="5">
        <f t="shared" si="153"/>
        <v>4.5935690033952481E-2</v>
      </c>
      <c r="P210" s="5">
        <f t="shared" si="154"/>
        <v>2.3584905660377355</v>
      </c>
      <c r="Q210" s="5">
        <f t="shared" si="155"/>
        <v>-8.6370544897418355E-4</v>
      </c>
      <c r="R210" s="5">
        <f t="shared" si="156"/>
        <v>-1.5936254980081221E-3</v>
      </c>
      <c r="S210" s="5">
        <f t="shared" si="157"/>
        <v>1</v>
      </c>
      <c r="T210" s="5">
        <f t="shared" si="147"/>
        <v>3.4483507954985448E-4</v>
      </c>
    </row>
    <row r="211" spans="2:20" hidden="1" x14ac:dyDescent="0.15">
      <c r="B211" s="17">
        <v>44189</v>
      </c>
      <c r="C211" s="1">
        <v>51.3</v>
      </c>
      <c r="D211" s="1" t="s">
        <v>34</v>
      </c>
      <c r="E211" s="1" t="s">
        <v>34</v>
      </c>
      <c r="F211" s="1">
        <v>23.98</v>
      </c>
      <c r="G211" s="1">
        <v>-1.5</v>
      </c>
      <c r="H211" s="4">
        <v>9227898</v>
      </c>
      <c r="I211" s="29">
        <f t="shared" ref="I211:I224" si="158">AVERAGE(C207:C210)</f>
        <v>49.935000000000002</v>
      </c>
      <c r="J211" s="29">
        <f t="shared" ref="J211:J224" si="159">AVERAGE(D207:D210)</f>
        <v>1.0775000000000001</v>
      </c>
      <c r="K211" s="29">
        <f t="shared" ref="K211:K224" si="160">AVERAGE(E207:E210)</f>
        <v>3219.4324999999999</v>
      </c>
      <c r="L211" s="29">
        <f t="shared" ref="L211:L224" si="161">AVERAGE(F207:F210)</f>
        <v>24.42</v>
      </c>
      <c r="M211" s="29">
        <f t="shared" ref="M211:M224" si="162">AVERAGE(G207:G210)</f>
        <v>-0.66250000000000009</v>
      </c>
      <c r="N211" s="4">
        <f t="shared" ref="N211:N224" si="163">AVERAGE(H207:H210)</f>
        <v>8645491.75</v>
      </c>
      <c r="O211" s="5">
        <f t="shared" ref="O211:S212" si="164">IFERROR(C211/C210-1,0)</f>
        <v>-2.0431544777544386E-2</v>
      </c>
      <c r="P211" s="5">
        <f t="shared" si="164"/>
        <v>0</v>
      </c>
      <c r="Q211" s="5">
        <f t="shared" si="164"/>
        <v>0</v>
      </c>
      <c r="R211" s="5">
        <f t="shared" si="164"/>
        <v>-4.3096568236232979E-2</v>
      </c>
      <c r="S211" s="5">
        <f t="shared" si="164"/>
        <v>0.15384615384615374</v>
      </c>
      <c r="T211" s="5">
        <f t="shared" ref="T211:T224" si="165">IFERROR(H211/H210-1,0)</f>
        <v>0.14548290185257962</v>
      </c>
    </row>
    <row r="212" spans="2:20" hidden="1" x14ac:dyDescent="0.15">
      <c r="B212" s="17">
        <v>44196</v>
      </c>
      <c r="C212" s="1">
        <v>51.72</v>
      </c>
      <c r="D212" s="1" t="s">
        <v>34</v>
      </c>
      <c r="E212" s="1" t="s">
        <v>34</v>
      </c>
      <c r="F212" s="1">
        <v>24.15</v>
      </c>
      <c r="G212" s="1" t="s">
        <v>34</v>
      </c>
      <c r="H212" s="4">
        <v>10658936</v>
      </c>
      <c r="I212" s="29">
        <f t="shared" si="158"/>
        <v>50.692499999999995</v>
      </c>
      <c r="J212" s="29">
        <f t="shared" si="159"/>
        <v>0.84</v>
      </c>
      <c r="K212" s="29">
        <f t="shared" si="160"/>
        <v>3245.0166666666664</v>
      </c>
      <c r="L212" s="29">
        <f t="shared" si="161"/>
        <v>24.580000000000002</v>
      </c>
      <c r="M212" s="29">
        <f t="shared" si="162"/>
        <v>-1.0249999999999999</v>
      </c>
      <c r="N212" s="4">
        <f t="shared" si="163"/>
        <v>8716667.5</v>
      </c>
      <c r="O212" s="5">
        <f t="shared" si="164"/>
        <v>8.1871345029240761E-3</v>
      </c>
      <c r="P212" s="5">
        <f t="shared" si="164"/>
        <v>0</v>
      </c>
      <c r="Q212" s="5">
        <f t="shared" si="164"/>
        <v>0</v>
      </c>
      <c r="R212" s="5">
        <f t="shared" si="164"/>
        <v>7.0892410341951706E-3</v>
      </c>
      <c r="S212" s="5">
        <f t="shared" si="164"/>
        <v>0</v>
      </c>
      <c r="T212" s="5">
        <f t="shared" si="165"/>
        <v>0.15507735347746587</v>
      </c>
    </row>
    <row r="213" spans="2:20" x14ac:dyDescent="0.15">
      <c r="B213" s="17">
        <v>44204</v>
      </c>
      <c r="C213" s="1">
        <v>56.36</v>
      </c>
      <c r="D213" s="5">
        <v>1.97</v>
      </c>
      <c r="E213" s="1">
        <v>3454.82</v>
      </c>
      <c r="F213" s="1">
        <v>25.79</v>
      </c>
      <c r="G213" s="1">
        <v>-1.4</v>
      </c>
      <c r="H213" s="4">
        <v>8204712</v>
      </c>
      <c r="I213" s="29">
        <f t="shared" si="158"/>
        <v>51.365000000000002</v>
      </c>
      <c r="J213" s="29">
        <f t="shared" si="159"/>
        <v>1.155</v>
      </c>
      <c r="K213" s="29">
        <f t="shared" si="160"/>
        <v>3275.165</v>
      </c>
      <c r="L213" s="29">
        <f t="shared" si="161"/>
        <v>24.572499999999998</v>
      </c>
      <c r="M213" s="29">
        <f t="shared" si="162"/>
        <v>-1.1500000000000001</v>
      </c>
      <c r="N213" s="4">
        <f t="shared" si="163"/>
        <v>8998965.25</v>
      </c>
      <c r="O213" s="5">
        <f t="shared" ref="O213:O224" si="166">IFERROR(C213/C212-1,0)</f>
        <v>8.9713843774168689E-2</v>
      </c>
      <c r="P213" s="5">
        <f t="shared" ref="P213:P224" si="167">IFERROR(D213/D212-1,0)</f>
        <v>0</v>
      </c>
      <c r="Q213" s="5">
        <f t="shared" ref="Q213:Q224" si="168">IFERROR(E213/E212-1,0)</f>
        <v>0</v>
      </c>
      <c r="R213" s="5">
        <f t="shared" ref="R213:R224" si="169">IFERROR(F213/F212-1,0)</f>
        <v>6.7908902691511397E-2</v>
      </c>
      <c r="S213" s="5">
        <f t="shared" ref="S213:S224" si="170">IFERROR(G213/G212-1,0)</f>
        <v>0</v>
      </c>
      <c r="T213" s="5">
        <f t="shared" si="165"/>
        <v>-0.23025037395852643</v>
      </c>
    </row>
    <row r="214" spans="2:20" x14ac:dyDescent="0.15">
      <c r="B214" s="17">
        <v>44211</v>
      </c>
      <c r="C214" s="1">
        <v>55</v>
      </c>
      <c r="D214" s="5">
        <v>-0.2</v>
      </c>
      <c r="E214" s="1">
        <v>3450.95</v>
      </c>
      <c r="F214" s="1">
        <v>25.7</v>
      </c>
      <c r="G214" s="1">
        <v>-0.6</v>
      </c>
      <c r="H214" s="4">
        <v>6887310</v>
      </c>
      <c r="I214" s="29">
        <f t="shared" si="158"/>
        <v>52.9375</v>
      </c>
      <c r="J214" s="29">
        <f t="shared" si="159"/>
        <v>1.875</v>
      </c>
      <c r="K214" s="29">
        <f t="shared" si="160"/>
        <v>3364.2849999999999</v>
      </c>
      <c r="L214" s="29">
        <f t="shared" si="161"/>
        <v>24.744999999999997</v>
      </c>
      <c r="M214" s="29">
        <f t="shared" si="162"/>
        <v>-1.3999999999999997</v>
      </c>
      <c r="N214" s="4">
        <f t="shared" si="163"/>
        <v>9036862</v>
      </c>
      <c r="O214" s="5">
        <f t="shared" si="166"/>
        <v>-2.4130589070262554E-2</v>
      </c>
      <c r="P214" s="5">
        <f t="shared" si="167"/>
        <v>-1.101522842639594</v>
      </c>
      <c r="Q214" s="5">
        <f t="shared" si="168"/>
        <v>-1.1201741335294946E-3</v>
      </c>
      <c r="R214" s="5">
        <f t="shared" si="169"/>
        <v>-3.489724699495933E-3</v>
      </c>
      <c r="S214" s="5">
        <f t="shared" si="170"/>
        <v>-0.5714285714285714</v>
      </c>
      <c r="T214" s="5">
        <f t="shared" si="165"/>
        <v>-0.16056651348639661</v>
      </c>
    </row>
    <row r="215" spans="2:20" x14ac:dyDescent="0.15">
      <c r="B215" s="17">
        <v>44218</v>
      </c>
      <c r="C215" s="1">
        <v>55.21</v>
      </c>
      <c r="D215" s="5">
        <v>-0.84</v>
      </c>
      <c r="E215" s="1">
        <v>3382.92</v>
      </c>
      <c r="F215" s="1">
        <v>24.67</v>
      </c>
      <c r="G215" s="1">
        <v>0</v>
      </c>
      <c r="H215" s="4">
        <v>6340025</v>
      </c>
      <c r="I215" s="29">
        <f t="shared" si="158"/>
        <v>53.594999999999999</v>
      </c>
      <c r="J215" s="29">
        <f t="shared" si="159"/>
        <v>0.88500000000000001</v>
      </c>
      <c r="K215" s="29">
        <f t="shared" si="160"/>
        <v>3452.8850000000002</v>
      </c>
      <c r="L215" s="29">
        <f t="shared" si="161"/>
        <v>24.904999999999998</v>
      </c>
      <c r="M215" s="29">
        <f t="shared" si="162"/>
        <v>-1.1666666666666667</v>
      </c>
      <c r="N215" s="4">
        <f t="shared" si="163"/>
        <v>8744714</v>
      </c>
      <c r="O215" s="5">
        <f t="shared" si="166"/>
        <v>3.8181818181819427E-3</v>
      </c>
      <c r="P215" s="5">
        <f t="shared" si="167"/>
        <v>3.1999999999999993</v>
      </c>
      <c r="Q215" s="5">
        <f t="shared" si="168"/>
        <v>-1.9713412248800966E-2</v>
      </c>
      <c r="R215" s="5">
        <f t="shared" si="169"/>
        <v>-4.0077821011673009E-2</v>
      </c>
      <c r="S215" s="5">
        <f t="shared" si="170"/>
        <v>-1</v>
      </c>
      <c r="T215" s="5">
        <f t="shared" si="165"/>
        <v>-7.9462809137384571E-2</v>
      </c>
    </row>
    <row r="216" spans="2:20" x14ac:dyDescent="0.15">
      <c r="B216" s="17">
        <v>44225</v>
      </c>
      <c r="C216" s="1">
        <v>55.89</v>
      </c>
      <c r="D216" s="5">
        <v>0.51</v>
      </c>
      <c r="E216" s="1">
        <v>3277.08</v>
      </c>
      <c r="F216" s="1">
        <v>23.65</v>
      </c>
      <c r="G216" s="1">
        <v>-0.6</v>
      </c>
      <c r="H216" s="4">
        <v>9971953</v>
      </c>
      <c r="I216" s="29">
        <f t="shared" si="158"/>
        <v>54.572499999999998</v>
      </c>
      <c r="J216" s="29">
        <f t="shared" si="159"/>
        <v>0.31</v>
      </c>
      <c r="K216" s="29">
        <f t="shared" si="160"/>
        <v>3429.5633333333335</v>
      </c>
      <c r="L216" s="29">
        <f t="shared" si="161"/>
        <v>25.077500000000001</v>
      </c>
      <c r="M216" s="29">
        <f t="shared" si="162"/>
        <v>-0.66666666666666663</v>
      </c>
      <c r="N216" s="4">
        <f t="shared" si="163"/>
        <v>8022745.75</v>
      </c>
      <c r="O216" s="5">
        <f t="shared" si="166"/>
        <v>1.2316609309907633E-2</v>
      </c>
      <c r="P216" s="5">
        <f t="shared" si="167"/>
        <v>-1.6071428571428572</v>
      </c>
      <c r="Q216" s="5">
        <f t="shared" si="168"/>
        <v>-3.1286580823667198E-2</v>
      </c>
      <c r="R216" s="5">
        <f t="shared" si="169"/>
        <v>-4.1345764085934489E-2</v>
      </c>
      <c r="S216" s="5">
        <f t="shared" si="170"/>
        <v>0</v>
      </c>
      <c r="T216" s="5">
        <f t="shared" si="165"/>
        <v>0.57285704709366292</v>
      </c>
    </row>
    <row r="217" spans="2:20" x14ac:dyDescent="0.15">
      <c r="B217" s="17">
        <v>44232</v>
      </c>
      <c r="C217" s="1">
        <v>59.62</v>
      </c>
      <c r="D217" s="5">
        <v>3.77</v>
      </c>
      <c r="E217" s="1">
        <v>3392.73</v>
      </c>
      <c r="F217" s="1">
        <v>24.93</v>
      </c>
      <c r="G217" s="1">
        <v>-0.75</v>
      </c>
      <c r="H217" s="4">
        <v>10207291</v>
      </c>
      <c r="I217" s="29">
        <f t="shared" si="158"/>
        <v>55.614999999999995</v>
      </c>
      <c r="J217" s="29">
        <f t="shared" si="159"/>
        <v>0.36</v>
      </c>
      <c r="K217" s="29">
        <f t="shared" si="160"/>
        <v>3391.4425000000001</v>
      </c>
      <c r="L217" s="29">
        <f t="shared" si="161"/>
        <v>24.952500000000001</v>
      </c>
      <c r="M217" s="29">
        <f t="shared" si="162"/>
        <v>-0.65</v>
      </c>
      <c r="N217" s="4">
        <f t="shared" si="163"/>
        <v>7851000</v>
      </c>
      <c r="O217" s="5">
        <f t="shared" si="166"/>
        <v>6.6738235820361425E-2</v>
      </c>
      <c r="P217" s="5">
        <f t="shared" si="167"/>
        <v>6.3921568627450975</v>
      </c>
      <c r="Q217" s="5">
        <f t="shared" si="168"/>
        <v>3.5290563550477883E-2</v>
      </c>
      <c r="R217" s="5">
        <f t="shared" si="169"/>
        <v>5.412262156448211E-2</v>
      </c>
      <c r="S217" s="5">
        <f t="shared" si="170"/>
        <v>0.25</v>
      </c>
      <c r="T217" s="5">
        <f t="shared" si="165"/>
        <v>2.3599990894461742E-2</v>
      </c>
    </row>
    <row r="218" spans="2:20" x14ac:dyDescent="0.15">
      <c r="B218" s="17">
        <v>44239</v>
      </c>
      <c r="C218" s="1">
        <v>62.71</v>
      </c>
      <c r="D218" s="5">
        <v>2.19</v>
      </c>
      <c r="E218" s="1">
        <v>3427.08</v>
      </c>
      <c r="F218" s="1">
        <v>25.41</v>
      </c>
      <c r="G218" s="1">
        <v>-1.8</v>
      </c>
      <c r="H218" s="4">
        <v>7613032</v>
      </c>
      <c r="I218" s="29">
        <f t="shared" si="158"/>
        <v>56.430000000000007</v>
      </c>
      <c r="J218" s="29">
        <f t="shared" si="159"/>
        <v>0.81</v>
      </c>
      <c r="K218" s="29">
        <f t="shared" si="160"/>
        <v>3375.92</v>
      </c>
      <c r="L218" s="29">
        <f t="shared" si="161"/>
        <v>24.737500000000004</v>
      </c>
      <c r="M218" s="29">
        <f t="shared" si="162"/>
        <v>-0.48749999999999999</v>
      </c>
      <c r="N218" s="4">
        <f t="shared" si="163"/>
        <v>8351644.75</v>
      </c>
      <c r="O218" s="5">
        <f t="shared" si="166"/>
        <v>5.1828245555182839E-2</v>
      </c>
      <c r="P218" s="5">
        <f t="shared" si="167"/>
        <v>-0.41909814323607431</v>
      </c>
      <c r="Q218" s="5">
        <f t="shared" si="168"/>
        <v>1.0124589932001715E-2</v>
      </c>
      <c r="R218" s="5">
        <f t="shared" si="169"/>
        <v>1.9253910950661979E-2</v>
      </c>
      <c r="S218" s="5">
        <f t="shared" si="170"/>
        <v>1.4</v>
      </c>
      <c r="T218" s="5">
        <f t="shared" si="165"/>
        <v>-0.25415744490874215</v>
      </c>
    </row>
    <row r="219" spans="2:20" x14ac:dyDescent="0.15">
      <c r="B219" s="17">
        <v>44246</v>
      </c>
      <c r="C219" s="1">
        <v>62.84</v>
      </c>
      <c r="D219" s="5">
        <v>2.87</v>
      </c>
      <c r="E219" s="1">
        <v>3457.68</v>
      </c>
      <c r="F219" s="1">
        <v>25.49</v>
      </c>
      <c r="G219" s="1">
        <v>-1.8</v>
      </c>
      <c r="H219" s="4">
        <v>8787257</v>
      </c>
      <c r="I219" s="29">
        <f t="shared" si="158"/>
        <v>58.357500000000002</v>
      </c>
      <c r="J219" s="29">
        <f t="shared" si="159"/>
        <v>1.4075</v>
      </c>
      <c r="K219" s="29">
        <f t="shared" si="160"/>
        <v>3369.9524999999999</v>
      </c>
      <c r="L219" s="29">
        <f t="shared" si="161"/>
        <v>24.664999999999999</v>
      </c>
      <c r="M219" s="29">
        <f t="shared" si="162"/>
        <v>-0.78750000000000009</v>
      </c>
      <c r="N219" s="4">
        <f t="shared" si="163"/>
        <v>8533075.25</v>
      </c>
      <c r="O219" s="5">
        <f t="shared" si="166"/>
        <v>2.0730346037314273E-3</v>
      </c>
      <c r="P219" s="5">
        <f t="shared" si="167"/>
        <v>0.31050228310502281</v>
      </c>
      <c r="Q219" s="5">
        <f t="shared" si="168"/>
        <v>8.9288840645680434E-3</v>
      </c>
      <c r="R219" s="5">
        <f t="shared" si="169"/>
        <v>3.1483667847302943E-3</v>
      </c>
      <c r="S219" s="5">
        <f t="shared" si="170"/>
        <v>0</v>
      </c>
      <c r="T219" s="5">
        <f t="shared" si="165"/>
        <v>0.1542388105028325</v>
      </c>
    </row>
    <row r="220" spans="2:20" x14ac:dyDescent="0.15">
      <c r="B220" s="17">
        <v>44253</v>
      </c>
      <c r="C220" s="1">
        <v>65.97</v>
      </c>
      <c r="D220" s="5">
        <v>2.42</v>
      </c>
      <c r="E220" s="1">
        <v>3346.64</v>
      </c>
      <c r="F220" s="1">
        <v>24.47</v>
      </c>
      <c r="G220" s="1">
        <v>-1.8</v>
      </c>
      <c r="H220" s="4">
        <v>11693113</v>
      </c>
      <c r="I220" s="29">
        <f t="shared" si="158"/>
        <v>60.265000000000001</v>
      </c>
      <c r="J220" s="29">
        <f t="shared" si="159"/>
        <v>2.335</v>
      </c>
      <c r="K220" s="29">
        <f t="shared" si="160"/>
        <v>3388.6424999999999</v>
      </c>
      <c r="L220" s="29">
        <f t="shared" si="161"/>
        <v>24.869999999999997</v>
      </c>
      <c r="M220" s="29">
        <f t="shared" si="162"/>
        <v>-1.2375</v>
      </c>
      <c r="N220" s="4">
        <f t="shared" si="163"/>
        <v>9144883.25</v>
      </c>
      <c r="O220" s="5">
        <f t="shared" si="166"/>
        <v>4.9809038828771302E-2</v>
      </c>
      <c r="P220" s="5">
        <f t="shared" si="167"/>
        <v>-0.15679442508710806</v>
      </c>
      <c r="Q220" s="5">
        <f t="shared" si="168"/>
        <v>-3.211401864834218E-2</v>
      </c>
      <c r="R220" s="5">
        <f t="shared" si="169"/>
        <v>-4.0015692428403304E-2</v>
      </c>
      <c r="S220" s="5">
        <f t="shared" si="170"/>
        <v>0</v>
      </c>
      <c r="T220" s="5">
        <f t="shared" si="165"/>
        <v>0.33068977042551495</v>
      </c>
    </row>
    <row r="221" spans="2:20" x14ac:dyDescent="0.15">
      <c r="B221" s="17">
        <v>44260</v>
      </c>
      <c r="C221" s="1">
        <v>69.69</v>
      </c>
      <c r="D221" s="5">
        <v>4.1900000000000004</v>
      </c>
      <c r="E221" s="1">
        <v>3414.13</v>
      </c>
      <c r="F221" s="1">
        <v>25.54</v>
      </c>
      <c r="G221" s="1">
        <v>-2.2999999999999998</v>
      </c>
      <c r="H221" s="4">
        <v>13080248</v>
      </c>
      <c r="I221" s="29">
        <f t="shared" si="158"/>
        <v>62.785000000000004</v>
      </c>
      <c r="J221" s="29">
        <f t="shared" si="159"/>
        <v>2.8125</v>
      </c>
      <c r="K221" s="29">
        <f t="shared" si="160"/>
        <v>3406.0324999999998</v>
      </c>
      <c r="L221" s="29">
        <f t="shared" si="161"/>
        <v>25.074999999999999</v>
      </c>
      <c r="M221" s="29">
        <f t="shared" si="162"/>
        <v>-1.5374999999999999</v>
      </c>
      <c r="N221" s="4">
        <f t="shared" si="163"/>
        <v>9575173.25</v>
      </c>
      <c r="O221" s="5">
        <f t="shared" si="166"/>
        <v>5.6389267849022318E-2</v>
      </c>
      <c r="P221" s="5">
        <f t="shared" si="167"/>
        <v>0.73140495867768607</v>
      </c>
      <c r="Q221" s="5">
        <f t="shared" si="168"/>
        <v>2.0166495350560698E-2</v>
      </c>
      <c r="R221" s="5">
        <f t="shared" si="169"/>
        <v>4.3727012668573817E-2</v>
      </c>
      <c r="S221" s="5">
        <f t="shared" si="170"/>
        <v>0.27777777777777768</v>
      </c>
      <c r="T221" s="5">
        <f t="shared" si="165"/>
        <v>0.11862837552326733</v>
      </c>
    </row>
    <row r="222" spans="2:20" x14ac:dyDescent="0.15">
      <c r="B222" s="17">
        <v>44267</v>
      </c>
      <c r="C222" s="1">
        <v>69.23</v>
      </c>
      <c r="D222" s="5">
        <v>3.54</v>
      </c>
      <c r="E222" s="1">
        <v>3539.5</v>
      </c>
      <c r="F222" s="1">
        <v>26.78</v>
      </c>
      <c r="G222" s="1">
        <v>-2.4500000000000002</v>
      </c>
      <c r="H222" s="4">
        <v>10251084</v>
      </c>
      <c r="I222" s="29">
        <f t="shared" si="158"/>
        <v>65.302500000000009</v>
      </c>
      <c r="J222" s="29">
        <f t="shared" si="159"/>
        <v>2.9175000000000004</v>
      </c>
      <c r="K222" s="29">
        <f t="shared" si="160"/>
        <v>3411.3824999999997</v>
      </c>
      <c r="L222" s="29">
        <f t="shared" si="161"/>
        <v>25.227499999999999</v>
      </c>
      <c r="M222" s="29">
        <f t="shared" si="162"/>
        <v>-1.925</v>
      </c>
      <c r="N222" s="4">
        <f t="shared" si="163"/>
        <v>10293412.5</v>
      </c>
      <c r="O222" s="5">
        <f t="shared" si="166"/>
        <v>-6.6006600660064585E-3</v>
      </c>
      <c r="P222" s="5">
        <f t="shared" si="167"/>
        <v>-0.15513126491646789</v>
      </c>
      <c r="Q222" s="5">
        <f t="shared" si="168"/>
        <v>3.6720921581779198E-2</v>
      </c>
      <c r="R222" s="5">
        <f t="shared" si="169"/>
        <v>4.8551292090837972E-2</v>
      </c>
      <c r="S222" s="5">
        <f t="shared" si="170"/>
        <v>6.5217391304347894E-2</v>
      </c>
      <c r="T222" s="5">
        <f t="shared" si="165"/>
        <v>-0.21629284093084478</v>
      </c>
    </row>
    <row r="223" spans="2:20" x14ac:dyDescent="0.15">
      <c r="B223" s="17">
        <v>44274</v>
      </c>
      <c r="C223" s="1">
        <v>64.459999999999994</v>
      </c>
      <c r="D223" s="5">
        <v>-4.26</v>
      </c>
      <c r="E223" s="1">
        <v>3475.26</v>
      </c>
      <c r="F223" s="1">
        <v>25.89</v>
      </c>
      <c r="G223" s="1">
        <v>-1.8</v>
      </c>
      <c r="H223" s="4">
        <v>9518774</v>
      </c>
      <c r="I223" s="29">
        <f t="shared" si="158"/>
        <v>66.932500000000005</v>
      </c>
      <c r="J223" s="29">
        <f t="shared" si="159"/>
        <v>3.2549999999999999</v>
      </c>
      <c r="K223" s="29">
        <f t="shared" si="160"/>
        <v>3439.4875000000002</v>
      </c>
      <c r="L223" s="29">
        <f t="shared" si="161"/>
        <v>25.57</v>
      </c>
      <c r="M223" s="29">
        <f t="shared" si="162"/>
        <v>-2.0875000000000004</v>
      </c>
      <c r="N223" s="4">
        <f t="shared" si="163"/>
        <v>10952925.5</v>
      </c>
      <c r="O223" s="5">
        <f t="shared" si="166"/>
        <v>-6.8900765564061994E-2</v>
      </c>
      <c r="P223" s="5">
        <f t="shared" si="167"/>
        <v>-2.2033898305084745</v>
      </c>
      <c r="Q223" s="5">
        <f t="shared" si="168"/>
        <v>-1.8149456137872555E-2</v>
      </c>
      <c r="R223" s="5">
        <f t="shared" si="169"/>
        <v>-3.3233756534727377E-2</v>
      </c>
      <c r="S223" s="5">
        <f t="shared" si="170"/>
        <v>-0.26530612244897966</v>
      </c>
      <c r="T223" s="5">
        <f t="shared" si="165"/>
        <v>-7.1437323116267493E-2</v>
      </c>
    </row>
    <row r="224" spans="2:20" x14ac:dyDescent="0.15">
      <c r="B224" s="17">
        <v>44281</v>
      </c>
      <c r="C224" s="1">
        <v>64.33</v>
      </c>
      <c r="D224" s="5">
        <v>-0.15</v>
      </c>
      <c r="E224" s="1">
        <v>3489.83</v>
      </c>
      <c r="F224" s="1">
        <v>25.59</v>
      </c>
      <c r="G224" s="1">
        <v>-2.1</v>
      </c>
      <c r="H224" s="4">
        <v>10717485</v>
      </c>
      <c r="I224" s="29">
        <f t="shared" si="158"/>
        <v>67.337499999999991</v>
      </c>
      <c r="J224" s="29">
        <f t="shared" si="159"/>
        <v>1.4725000000000001</v>
      </c>
      <c r="K224" s="29">
        <f t="shared" si="160"/>
        <v>3443.8825000000002</v>
      </c>
      <c r="L224" s="29">
        <f t="shared" si="161"/>
        <v>25.669999999999998</v>
      </c>
      <c r="M224" s="29">
        <f t="shared" si="162"/>
        <v>-2.0874999999999999</v>
      </c>
      <c r="N224" s="4">
        <f t="shared" si="163"/>
        <v>11135804.75</v>
      </c>
      <c r="O224" s="5">
        <f t="shared" si="166"/>
        <v>-2.0167545764814276E-3</v>
      </c>
      <c r="P224" s="5">
        <f t="shared" si="167"/>
        <v>-0.96478873239436624</v>
      </c>
      <c r="Q224" s="5">
        <f t="shared" si="168"/>
        <v>4.1924920725355808E-3</v>
      </c>
      <c r="R224" s="5">
        <f t="shared" si="169"/>
        <v>-1.1587485515643148E-2</v>
      </c>
      <c r="S224" s="5">
        <f t="shared" si="170"/>
        <v>0.16666666666666674</v>
      </c>
      <c r="T224" s="5">
        <f t="shared" si="165"/>
        <v>0.12593123862379763</v>
      </c>
    </row>
    <row r="225" spans="2:20" hidden="1" x14ac:dyDescent="0.15">
      <c r="B225" s="17">
        <v>44287</v>
      </c>
      <c r="C225" s="1">
        <v>64.650000000000006</v>
      </c>
      <c r="D225" s="1" t="s">
        <v>34</v>
      </c>
      <c r="E225" s="1" t="s">
        <v>34</v>
      </c>
      <c r="F225" s="1">
        <v>25.6</v>
      </c>
      <c r="G225" s="1">
        <v>-2.1</v>
      </c>
      <c r="H225" s="4">
        <v>12428806</v>
      </c>
      <c r="I225" s="29">
        <f t="shared" ref="I225:I258" si="171">AVERAGE(C221:C224)</f>
        <v>66.927499999999995</v>
      </c>
      <c r="J225" s="29">
        <f t="shared" ref="J225:J258" si="172">AVERAGE(D221:D224)</f>
        <v>0.83000000000000018</v>
      </c>
      <c r="K225" s="29">
        <f t="shared" ref="K225:K258" si="173">AVERAGE(E221:E224)</f>
        <v>3479.68</v>
      </c>
      <c r="L225" s="29">
        <f t="shared" ref="L225:L258" si="174">AVERAGE(F221:F224)</f>
        <v>25.950000000000003</v>
      </c>
      <c r="M225" s="29">
        <f t="shared" ref="M225:M258" si="175">AVERAGE(G221:G224)</f>
        <v>-2.1625000000000001</v>
      </c>
      <c r="N225" s="4">
        <f t="shared" ref="N225:N258" si="176">AVERAGE(H221:H224)</f>
        <v>10891897.75</v>
      </c>
      <c r="O225" s="5">
        <f>IFERROR(C225/C224-1,0)</f>
        <v>4.9743510026427629E-3</v>
      </c>
      <c r="P225" s="5">
        <f>IFERROR(D225/D224-1,0)</f>
        <v>0</v>
      </c>
      <c r="Q225" s="5">
        <f>IFERROR(E225/E224-1,0)</f>
        <v>0</v>
      </c>
      <c r="R225" s="5">
        <f>IFERROR(F225/F224-1,0)</f>
        <v>3.9077764751871413E-4</v>
      </c>
      <c r="S225" s="5">
        <f>IFERROR(G225/G224-1,0)</f>
        <v>0</v>
      </c>
      <c r="T225" s="5">
        <f t="shared" ref="T225:T258" si="177">IFERROR(H225/H224-1,0)</f>
        <v>0.1596756141949347</v>
      </c>
    </row>
    <row r="226" spans="2:20" x14ac:dyDescent="0.15">
      <c r="B226" s="17">
        <v>44295</v>
      </c>
      <c r="C226" s="1">
        <v>63.05</v>
      </c>
      <c r="D226" s="5">
        <v>1.97</v>
      </c>
      <c r="E226" s="1">
        <v>3486.03</v>
      </c>
      <c r="F226" s="1">
        <v>25</v>
      </c>
      <c r="G226" s="1">
        <v>-2.6</v>
      </c>
      <c r="H226" s="4">
        <v>10251318</v>
      </c>
      <c r="I226" s="29">
        <f t="shared" si="171"/>
        <v>65.66749999999999</v>
      </c>
      <c r="J226" s="29">
        <f t="shared" si="172"/>
        <v>-0.28999999999999992</v>
      </c>
      <c r="K226" s="29">
        <f t="shared" si="173"/>
        <v>3501.53</v>
      </c>
      <c r="L226" s="29">
        <f t="shared" si="174"/>
        <v>25.965000000000003</v>
      </c>
      <c r="M226" s="29">
        <f t="shared" si="175"/>
        <v>-2.1124999999999998</v>
      </c>
      <c r="N226" s="4">
        <f t="shared" si="176"/>
        <v>10729037.25</v>
      </c>
      <c r="O226" s="5">
        <f t="shared" ref="O226:O258" si="178">IFERROR(C226/C225-1,0)</f>
        <v>-2.4748646558391485E-2</v>
      </c>
      <c r="P226" s="5">
        <f t="shared" ref="P226:P258" si="179">IFERROR(D226/D225-1,0)</f>
        <v>0</v>
      </c>
      <c r="Q226" s="5">
        <f t="shared" ref="Q226:Q258" si="180">IFERROR(E226/E225-1,0)</f>
        <v>0</v>
      </c>
      <c r="R226" s="5">
        <f t="shared" ref="R226:R258" si="181">IFERROR(F226/F225-1,0)</f>
        <v>-2.34375E-2</v>
      </c>
      <c r="S226" s="5">
        <f t="shared" ref="S226:S258" si="182">IFERROR(G226/G225-1,0)</f>
        <v>0.23809523809523814</v>
      </c>
      <c r="T226" s="5">
        <f t="shared" si="177"/>
        <v>-0.17519687731870626</v>
      </c>
    </row>
    <row r="227" spans="2:20" x14ac:dyDescent="0.15">
      <c r="B227" s="17">
        <v>44302</v>
      </c>
      <c r="C227" s="1">
        <v>66.72</v>
      </c>
      <c r="D227" s="5">
        <v>7.06</v>
      </c>
      <c r="E227" s="1">
        <v>3598.44</v>
      </c>
      <c r="F227" s="1">
        <v>26.31</v>
      </c>
      <c r="G227" s="1">
        <v>-2.5499999999999998</v>
      </c>
      <c r="H227" s="4">
        <v>12774133</v>
      </c>
      <c r="I227" s="29">
        <f t="shared" si="171"/>
        <v>64.122500000000002</v>
      </c>
      <c r="J227" s="29">
        <f t="shared" si="172"/>
        <v>-0.81333333333333346</v>
      </c>
      <c r="K227" s="29">
        <f t="shared" si="173"/>
        <v>3483.7066666666669</v>
      </c>
      <c r="L227" s="29">
        <f t="shared" si="174"/>
        <v>25.520000000000003</v>
      </c>
      <c r="M227" s="29">
        <f t="shared" si="175"/>
        <v>-2.15</v>
      </c>
      <c r="N227" s="4">
        <f t="shared" si="176"/>
        <v>10729095.75</v>
      </c>
      <c r="O227" s="5">
        <f t="shared" si="178"/>
        <v>5.8207771609833481E-2</v>
      </c>
      <c r="P227" s="5">
        <f t="shared" si="179"/>
        <v>2.5837563451776648</v>
      </c>
      <c r="Q227" s="5">
        <f t="shared" si="180"/>
        <v>3.2245849863598464E-2</v>
      </c>
      <c r="R227" s="5">
        <f t="shared" si="181"/>
        <v>5.2400000000000002E-2</v>
      </c>
      <c r="S227" s="5">
        <f t="shared" si="182"/>
        <v>-1.9230769230769384E-2</v>
      </c>
      <c r="T227" s="5">
        <f t="shared" si="177"/>
        <v>0.24609664825537547</v>
      </c>
    </row>
    <row r="228" spans="2:20" x14ac:dyDescent="0.15">
      <c r="B228" s="17">
        <v>44309</v>
      </c>
      <c r="C228" s="1">
        <v>66.12</v>
      </c>
      <c r="D228" s="5">
        <v>2.15</v>
      </c>
      <c r="E228" s="1">
        <v>3597.17</v>
      </c>
      <c r="F228" s="1">
        <v>26.66</v>
      </c>
      <c r="G228" s="1">
        <v>-2.5</v>
      </c>
      <c r="H228" s="4">
        <v>10546948</v>
      </c>
      <c r="I228" s="29">
        <f t="shared" si="171"/>
        <v>64.6875</v>
      </c>
      <c r="J228" s="29">
        <f t="shared" si="172"/>
        <v>2.9599999999999995</v>
      </c>
      <c r="K228" s="29">
        <f t="shared" si="173"/>
        <v>3524.7666666666669</v>
      </c>
      <c r="L228" s="29">
        <f t="shared" si="174"/>
        <v>25.625</v>
      </c>
      <c r="M228" s="29">
        <f t="shared" si="175"/>
        <v>-2.3375000000000004</v>
      </c>
      <c r="N228" s="4">
        <f t="shared" si="176"/>
        <v>11542935.5</v>
      </c>
      <c r="O228" s="5">
        <f t="shared" si="178"/>
        <v>-8.9928057553956275E-3</v>
      </c>
      <c r="P228" s="5">
        <f t="shared" si="179"/>
        <v>-0.69546742209631729</v>
      </c>
      <c r="Q228" s="5">
        <f t="shared" si="180"/>
        <v>-3.5293071442066282E-4</v>
      </c>
      <c r="R228" s="5">
        <f t="shared" si="181"/>
        <v>1.330292664386179E-2</v>
      </c>
      <c r="S228" s="5">
        <f t="shared" si="182"/>
        <v>-1.9607843137254832E-2</v>
      </c>
      <c r="T228" s="5">
        <f t="shared" si="177"/>
        <v>-0.17435116731601275</v>
      </c>
    </row>
    <row r="229" spans="2:20" x14ac:dyDescent="0.15">
      <c r="B229" s="17">
        <v>44316</v>
      </c>
      <c r="C229" s="1">
        <v>67.260000000000005</v>
      </c>
      <c r="D229" s="5">
        <v>3.14</v>
      </c>
      <c r="E229" s="1">
        <v>3544</v>
      </c>
      <c r="F229" s="1">
        <v>25.95</v>
      </c>
      <c r="G229" s="1">
        <v>-2.7</v>
      </c>
      <c r="H229" s="4">
        <v>14941897</v>
      </c>
      <c r="I229" s="29">
        <f t="shared" si="171"/>
        <v>65.135000000000005</v>
      </c>
      <c r="J229" s="29">
        <f t="shared" si="172"/>
        <v>3.7266666666666666</v>
      </c>
      <c r="K229" s="29">
        <f t="shared" si="173"/>
        <v>3560.5466666666666</v>
      </c>
      <c r="L229" s="29">
        <f t="shared" si="174"/>
        <v>25.892499999999998</v>
      </c>
      <c r="M229" s="29">
        <f t="shared" si="175"/>
        <v>-2.4375</v>
      </c>
      <c r="N229" s="4">
        <f t="shared" si="176"/>
        <v>11500301.25</v>
      </c>
      <c r="O229" s="5">
        <f t="shared" si="178"/>
        <v>1.7241379310344751E-2</v>
      </c>
      <c r="P229" s="5">
        <f t="shared" si="179"/>
        <v>0.46046511627906983</v>
      </c>
      <c r="Q229" s="5">
        <f t="shared" si="180"/>
        <v>-1.4781064003091315E-2</v>
      </c>
      <c r="R229" s="5">
        <f t="shared" si="181"/>
        <v>-2.6631657914478635E-2</v>
      </c>
      <c r="S229" s="5">
        <f t="shared" si="182"/>
        <v>8.0000000000000071E-2</v>
      </c>
      <c r="T229" s="5">
        <f t="shared" si="177"/>
        <v>0.41670339135074896</v>
      </c>
    </row>
    <row r="230" spans="2:20" x14ac:dyDescent="0.15">
      <c r="B230" s="17">
        <v>44323</v>
      </c>
      <c r="C230" s="1">
        <v>68.27</v>
      </c>
      <c r="D230" s="5">
        <v>2.7</v>
      </c>
      <c r="E230" s="1">
        <v>3682.69</v>
      </c>
      <c r="F230" s="1">
        <v>27.47</v>
      </c>
      <c r="G230" s="1">
        <v>-1.8</v>
      </c>
      <c r="H230" s="4">
        <v>13919661</v>
      </c>
      <c r="I230" s="29">
        <f t="shared" si="171"/>
        <v>65.787499999999994</v>
      </c>
      <c r="J230" s="29">
        <f t="shared" si="172"/>
        <v>3.58</v>
      </c>
      <c r="K230" s="29">
        <f t="shared" si="173"/>
        <v>3556.41</v>
      </c>
      <c r="L230" s="29">
        <f t="shared" si="174"/>
        <v>25.98</v>
      </c>
      <c r="M230" s="29">
        <f t="shared" si="175"/>
        <v>-2.5875000000000004</v>
      </c>
      <c r="N230" s="4">
        <f t="shared" si="176"/>
        <v>12128574</v>
      </c>
      <c r="O230" s="5">
        <f t="shared" si="178"/>
        <v>1.5016354445435587E-2</v>
      </c>
      <c r="P230" s="5">
        <f t="shared" si="179"/>
        <v>-0.14012738853503182</v>
      </c>
      <c r="Q230" s="5">
        <f t="shared" si="180"/>
        <v>3.9133747178329514E-2</v>
      </c>
      <c r="R230" s="5">
        <f t="shared" si="181"/>
        <v>5.8574181117533763E-2</v>
      </c>
      <c r="S230" s="5">
        <f t="shared" si="182"/>
        <v>-0.33333333333333337</v>
      </c>
      <c r="T230" s="5">
        <f t="shared" si="177"/>
        <v>-6.8414070850575381E-2</v>
      </c>
    </row>
    <row r="231" spans="2:20" x14ac:dyDescent="0.15">
      <c r="B231" s="17">
        <v>44330</v>
      </c>
      <c r="C231" s="1">
        <v>68.83</v>
      </c>
      <c r="D231" s="5">
        <v>0.94</v>
      </c>
      <c r="E231" s="1">
        <v>3637.6</v>
      </c>
      <c r="F231" s="1">
        <v>27.25</v>
      </c>
      <c r="G231" s="1">
        <v>-1.75</v>
      </c>
      <c r="H231" s="4">
        <v>6699006</v>
      </c>
      <c r="I231" s="29">
        <f t="shared" si="171"/>
        <v>67.092500000000001</v>
      </c>
      <c r="J231" s="29">
        <f t="shared" si="172"/>
        <v>3.7625000000000002</v>
      </c>
      <c r="K231" s="29">
        <f t="shared" si="173"/>
        <v>3605.5750000000003</v>
      </c>
      <c r="L231" s="29">
        <f t="shared" si="174"/>
        <v>26.5975</v>
      </c>
      <c r="M231" s="29">
        <f t="shared" si="175"/>
        <v>-2.3875000000000002</v>
      </c>
      <c r="N231" s="4">
        <f t="shared" si="176"/>
        <v>13045659.75</v>
      </c>
      <c r="O231" s="5">
        <f t="shared" si="178"/>
        <v>8.2027244763440699E-3</v>
      </c>
      <c r="P231" s="5">
        <f t="shared" si="179"/>
        <v>-0.6518518518518519</v>
      </c>
      <c r="Q231" s="5">
        <f t="shared" si="180"/>
        <v>-1.2243767463457456E-2</v>
      </c>
      <c r="R231" s="5">
        <f t="shared" si="181"/>
        <v>-8.0087368037858875E-3</v>
      </c>
      <c r="S231" s="5">
        <f t="shared" si="182"/>
        <v>-2.777777777777779E-2</v>
      </c>
      <c r="T231" s="5">
        <f t="shared" si="177"/>
        <v>-0.5187378485726053</v>
      </c>
    </row>
    <row r="232" spans="2:20" x14ac:dyDescent="0.15">
      <c r="B232" s="17">
        <v>44337</v>
      </c>
      <c r="C232" s="1">
        <v>66.73</v>
      </c>
      <c r="D232" s="5">
        <v>-0.89</v>
      </c>
      <c r="E232" s="1">
        <v>3660.48</v>
      </c>
      <c r="F232" s="1">
        <v>27.395</v>
      </c>
      <c r="G232" s="1">
        <v>-2.0499999999999998</v>
      </c>
      <c r="H232" s="4">
        <v>8441176</v>
      </c>
      <c r="I232" s="29">
        <f t="shared" si="171"/>
        <v>67.61999999999999</v>
      </c>
      <c r="J232" s="29">
        <f t="shared" si="172"/>
        <v>2.2324999999999999</v>
      </c>
      <c r="K232" s="29">
        <f t="shared" si="173"/>
        <v>3615.3650000000002</v>
      </c>
      <c r="L232" s="29">
        <f t="shared" si="174"/>
        <v>26.8325</v>
      </c>
      <c r="M232" s="29">
        <f t="shared" si="175"/>
        <v>-2.1875</v>
      </c>
      <c r="N232" s="4">
        <f t="shared" si="176"/>
        <v>11526878</v>
      </c>
      <c r="O232" s="5">
        <f t="shared" si="178"/>
        <v>-3.0509952055789546E-2</v>
      </c>
      <c r="P232" s="5">
        <f t="shared" si="179"/>
        <v>-1.946808510638298</v>
      </c>
      <c r="Q232" s="5">
        <f t="shared" si="180"/>
        <v>6.2898614471080805E-3</v>
      </c>
      <c r="R232" s="5">
        <f t="shared" si="181"/>
        <v>5.3211009174312096E-3</v>
      </c>
      <c r="S232" s="5">
        <f t="shared" si="182"/>
        <v>0.17142857142857126</v>
      </c>
      <c r="T232" s="5">
        <f t="shared" si="177"/>
        <v>0.26006395575701835</v>
      </c>
    </row>
    <row r="233" spans="2:20" x14ac:dyDescent="0.15">
      <c r="B233" s="17">
        <v>44344</v>
      </c>
      <c r="C233" s="1">
        <v>69.650000000000006</v>
      </c>
      <c r="D233" s="5">
        <v>3.28</v>
      </c>
      <c r="E233" s="1">
        <v>3730.55</v>
      </c>
      <c r="F233" s="1">
        <v>28.13</v>
      </c>
      <c r="G233" s="1">
        <v>-1.6</v>
      </c>
      <c r="H233" s="4">
        <v>10821805</v>
      </c>
      <c r="I233" s="29">
        <f t="shared" si="171"/>
        <v>67.772500000000008</v>
      </c>
      <c r="J233" s="29">
        <f t="shared" si="172"/>
        <v>1.4724999999999999</v>
      </c>
      <c r="K233" s="29">
        <f t="shared" si="173"/>
        <v>3631.1925000000001</v>
      </c>
      <c r="L233" s="29">
        <f t="shared" si="174"/>
        <v>27.016249999999999</v>
      </c>
      <c r="M233" s="29">
        <f t="shared" si="175"/>
        <v>-2.0750000000000002</v>
      </c>
      <c r="N233" s="4">
        <f t="shared" si="176"/>
        <v>11000435</v>
      </c>
      <c r="O233" s="5">
        <f t="shared" si="178"/>
        <v>4.3758429491982609E-2</v>
      </c>
      <c r="P233" s="5">
        <f t="shared" si="179"/>
        <v>-4.6853932584269664</v>
      </c>
      <c r="Q233" s="5">
        <f t="shared" si="180"/>
        <v>1.9142298277821546E-2</v>
      </c>
      <c r="R233" s="5">
        <f t="shared" si="181"/>
        <v>2.682971345135976E-2</v>
      </c>
      <c r="S233" s="5">
        <f t="shared" si="182"/>
        <v>-0.21951219512195108</v>
      </c>
      <c r="T233" s="5">
        <f t="shared" si="177"/>
        <v>0.28202575091432758</v>
      </c>
    </row>
    <row r="234" spans="2:20" x14ac:dyDescent="0.15">
      <c r="B234" s="17">
        <v>44351</v>
      </c>
      <c r="C234" s="1">
        <v>71.819999999999993</v>
      </c>
      <c r="D234" s="5">
        <v>5.22</v>
      </c>
      <c r="E234" s="1">
        <v>3807.43</v>
      </c>
      <c r="F234" s="1">
        <v>28.95</v>
      </c>
      <c r="G234" s="1">
        <v>-1.3</v>
      </c>
      <c r="H234" s="4">
        <v>10999329</v>
      </c>
      <c r="I234" s="29">
        <f t="shared" si="171"/>
        <v>68.37</v>
      </c>
      <c r="J234" s="29">
        <f t="shared" si="172"/>
        <v>1.5074999999999998</v>
      </c>
      <c r="K234" s="29">
        <f t="shared" si="173"/>
        <v>3677.83</v>
      </c>
      <c r="L234" s="29">
        <f t="shared" si="174"/>
        <v>27.561249999999998</v>
      </c>
      <c r="M234" s="29">
        <f t="shared" si="175"/>
        <v>-1.7999999999999998</v>
      </c>
      <c r="N234" s="4">
        <f t="shared" si="176"/>
        <v>9970412</v>
      </c>
      <c r="O234" s="5">
        <f t="shared" si="178"/>
        <v>3.1155778894472075E-2</v>
      </c>
      <c r="P234" s="5">
        <f t="shared" si="179"/>
        <v>0.59146341463414642</v>
      </c>
      <c r="Q234" s="5">
        <f t="shared" si="180"/>
        <v>2.0608221307850005E-2</v>
      </c>
      <c r="R234" s="5">
        <f t="shared" si="181"/>
        <v>2.9150373266974672E-2</v>
      </c>
      <c r="S234" s="5">
        <f t="shared" si="182"/>
        <v>-0.1875</v>
      </c>
      <c r="T234" s="5">
        <f t="shared" si="177"/>
        <v>1.6404287454819144E-2</v>
      </c>
    </row>
    <row r="235" spans="2:20" x14ac:dyDescent="0.15">
      <c r="B235" s="17">
        <v>44358</v>
      </c>
      <c r="C235" s="1">
        <v>72.62</v>
      </c>
      <c r="D235" s="5">
        <v>3.7</v>
      </c>
      <c r="E235" s="1">
        <v>3841.53</v>
      </c>
      <c r="F235" s="1">
        <v>29.5</v>
      </c>
      <c r="G235" s="1">
        <v>-1.65</v>
      </c>
      <c r="H235" s="4">
        <v>7621125</v>
      </c>
      <c r="I235" s="29">
        <f t="shared" si="171"/>
        <v>69.257499999999993</v>
      </c>
      <c r="J235" s="29">
        <f t="shared" si="172"/>
        <v>2.1374999999999997</v>
      </c>
      <c r="K235" s="29">
        <f t="shared" si="173"/>
        <v>3709.0150000000003</v>
      </c>
      <c r="L235" s="29">
        <f t="shared" si="174"/>
        <v>27.931249999999999</v>
      </c>
      <c r="M235" s="29">
        <f t="shared" si="175"/>
        <v>-1.675</v>
      </c>
      <c r="N235" s="4">
        <f t="shared" si="176"/>
        <v>9240329</v>
      </c>
      <c r="O235" s="5">
        <f t="shared" si="178"/>
        <v>1.1138958507379781E-2</v>
      </c>
      <c r="P235" s="5">
        <f t="shared" si="179"/>
        <v>-0.29118773946360144</v>
      </c>
      <c r="Q235" s="5">
        <f t="shared" si="180"/>
        <v>8.956172536330298E-3</v>
      </c>
      <c r="R235" s="5">
        <f t="shared" si="181"/>
        <v>1.899827288428324E-2</v>
      </c>
      <c r="S235" s="5">
        <f t="shared" si="182"/>
        <v>0.26923076923076916</v>
      </c>
      <c r="T235" s="5">
        <f t="shared" si="177"/>
        <v>-0.30712818936500585</v>
      </c>
    </row>
    <row r="236" spans="2:20" x14ac:dyDescent="0.15">
      <c r="B236" s="17">
        <v>44365</v>
      </c>
      <c r="C236" s="1">
        <v>73.22</v>
      </c>
      <c r="D236" s="5">
        <v>2.78</v>
      </c>
      <c r="E236" s="1">
        <v>3802.95</v>
      </c>
      <c r="F236" s="1">
        <v>28.81</v>
      </c>
      <c r="G236" s="1">
        <v>-1.65</v>
      </c>
      <c r="H236" s="4">
        <v>8198857</v>
      </c>
      <c r="I236" s="29">
        <f t="shared" si="171"/>
        <v>70.204999999999998</v>
      </c>
      <c r="J236" s="29">
        <f t="shared" si="172"/>
        <v>2.8274999999999997</v>
      </c>
      <c r="K236" s="29">
        <f t="shared" si="173"/>
        <v>3759.9975000000004</v>
      </c>
      <c r="L236" s="29">
        <f t="shared" si="174"/>
        <v>28.493749999999999</v>
      </c>
      <c r="M236" s="29">
        <f t="shared" si="175"/>
        <v>-1.65</v>
      </c>
      <c r="N236" s="4">
        <f t="shared" si="176"/>
        <v>9470858.75</v>
      </c>
      <c r="O236" s="5">
        <f t="shared" si="178"/>
        <v>8.2621867254200065E-3</v>
      </c>
      <c r="P236" s="5">
        <f t="shared" si="179"/>
        <v>-0.24864864864864877</v>
      </c>
      <c r="Q236" s="5">
        <f t="shared" si="180"/>
        <v>-1.0042873542572939E-2</v>
      </c>
      <c r="R236" s="5">
        <f t="shared" si="181"/>
        <v>-2.3389830508474652E-2</v>
      </c>
      <c r="S236" s="5">
        <f t="shared" si="182"/>
        <v>0</v>
      </c>
      <c r="T236" s="5">
        <f t="shared" si="177"/>
        <v>7.5806655841493154E-2</v>
      </c>
    </row>
    <row r="237" spans="2:20" x14ac:dyDescent="0.15">
      <c r="B237" s="17">
        <v>44372</v>
      </c>
      <c r="C237" s="1">
        <v>76.010000000000005</v>
      </c>
      <c r="D237" s="5">
        <v>3.79</v>
      </c>
      <c r="E237" s="1">
        <v>3831.84</v>
      </c>
      <c r="F237" s="1">
        <v>29.34</v>
      </c>
      <c r="G237" s="1">
        <v>-1.75</v>
      </c>
      <c r="H237" s="4">
        <v>11412103</v>
      </c>
      <c r="I237" s="29">
        <f t="shared" si="171"/>
        <v>71.827500000000001</v>
      </c>
      <c r="J237" s="29">
        <f t="shared" si="172"/>
        <v>3.7449999999999997</v>
      </c>
      <c r="K237" s="29">
        <f t="shared" si="173"/>
        <v>3795.6149999999998</v>
      </c>
      <c r="L237" s="29">
        <f t="shared" si="174"/>
        <v>28.8475</v>
      </c>
      <c r="M237" s="29">
        <f t="shared" si="175"/>
        <v>-1.5500000000000003</v>
      </c>
      <c r="N237" s="4">
        <f t="shared" si="176"/>
        <v>9410279</v>
      </c>
      <c r="O237" s="5">
        <f t="shared" si="178"/>
        <v>3.8104343075662461E-2</v>
      </c>
      <c r="P237" s="5">
        <f t="shared" si="179"/>
        <v>0.3633093525179858</v>
      </c>
      <c r="Q237" s="5">
        <f t="shared" si="180"/>
        <v>7.5967341143061695E-3</v>
      </c>
      <c r="R237" s="5">
        <f t="shared" si="181"/>
        <v>1.8396390142311647E-2</v>
      </c>
      <c r="S237" s="5">
        <f t="shared" si="182"/>
        <v>6.0606060606060552E-2</v>
      </c>
      <c r="T237" s="5">
        <f t="shared" si="177"/>
        <v>0.39191389726641157</v>
      </c>
    </row>
    <row r="238" spans="2:20" x14ac:dyDescent="0.15">
      <c r="B238" s="17">
        <v>44379</v>
      </c>
      <c r="C238" s="1">
        <v>75.97</v>
      </c>
      <c r="D238" s="5">
        <v>2.91</v>
      </c>
      <c r="E238" s="1">
        <v>3865.42</v>
      </c>
      <c r="F238" s="1">
        <v>29.32</v>
      </c>
      <c r="G238" s="1">
        <v>-2.15</v>
      </c>
      <c r="H238" s="4">
        <v>10399036</v>
      </c>
      <c r="I238" s="29">
        <f t="shared" si="171"/>
        <v>73.417500000000004</v>
      </c>
      <c r="J238" s="29">
        <f t="shared" si="172"/>
        <v>3.8724999999999996</v>
      </c>
      <c r="K238" s="29">
        <f t="shared" si="173"/>
        <v>3820.9375</v>
      </c>
      <c r="L238" s="29">
        <f t="shared" si="174"/>
        <v>29.150000000000002</v>
      </c>
      <c r="M238" s="29">
        <f t="shared" si="175"/>
        <v>-1.5874999999999999</v>
      </c>
      <c r="N238" s="4">
        <f t="shared" si="176"/>
        <v>9557853.5</v>
      </c>
      <c r="O238" s="5">
        <f t="shared" si="178"/>
        <v>-5.2624654650712532E-4</v>
      </c>
      <c r="P238" s="5">
        <f t="shared" si="179"/>
        <v>-0.23218997361477567</v>
      </c>
      <c r="Q238" s="5">
        <f t="shared" si="180"/>
        <v>8.7634139212493523E-3</v>
      </c>
      <c r="R238" s="5">
        <f t="shared" si="181"/>
        <v>-6.8166325835039565E-4</v>
      </c>
      <c r="S238" s="5">
        <f t="shared" si="182"/>
        <v>0.22857142857142843</v>
      </c>
      <c r="T238" s="5">
        <f t="shared" si="177"/>
        <v>-8.8771280806000386E-2</v>
      </c>
    </row>
    <row r="239" spans="2:20" x14ac:dyDescent="0.15">
      <c r="B239" s="17">
        <v>44386</v>
      </c>
      <c r="C239" s="1">
        <v>75.58</v>
      </c>
      <c r="D239" s="5">
        <v>2.2200000000000002</v>
      </c>
      <c r="E239" s="1">
        <v>3855.31</v>
      </c>
      <c r="F239" s="1">
        <v>28.83</v>
      </c>
      <c r="G239" s="1">
        <v>-2.65</v>
      </c>
      <c r="H239" s="4">
        <v>11878716</v>
      </c>
      <c r="I239" s="29">
        <f t="shared" si="171"/>
        <v>74.455000000000013</v>
      </c>
      <c r="J239" s="29">
        <f t="shared" si="172"/>
        <v>3.2949999999999999</v>
      </c>
      <c r="K239" s="29">
        <f t="shared" si="173"/>
        <v>3835.4349999999999</v>
      </c>
      <c r="L239" s="29">
        <f t="shared" si="174"/>
        <v>29.2425</v>
      </c>
      <c r="M239" s="29">
        <f t="shared" si="175"/>
        <v>-1.7999999999999998</v>
      </c>
      <c r="N239" s="4">
        <f t="shared" si="176"/>
        <v>9407780.25</v>
      </c>
      <c r="O239" s="5">
        <f t="shared" si="178"/>
        <v>-5.1336053705409723E-3</v>
      </c>
      <c r="P239" s="5">
        <f t="shared" si="179"/>
        <v>-0.2371134020618556</v>
      </c>
      <c r="Q239" s="5">
        <f t="shared" si="180"/>
        <v>-2.61549844518838E-3</v>
      </c>
      <c r="R239" s="5">
        <f t="shared" si="181"/>
        <v>-1.6712141882674003E-2</v>
      </c>
      <c r="S239" s="5">
        <f t="shared" si="182"/>
        <v>0.23255813953488369</v>
      </c>
      <c r="T239" s="5">
        <f t="shared" si="177"/>
        <v>0.1422901122757918</v>
      </c>
    </row>
    <row r="240" spans="2:20" x14ac:dyDescent="0.15">
      <c r="B240" s="17">
        <v>44393</v>
      </c>
      <c r="C240" s="1">
        <v>73.3</v>
      </c>
      <c r="D240" s="5">
        <v>2.19</v>
      </c>
      <c r="E240" s="1">
        <v>3770.15</v>
      </c>
      <c r="F240" s="1">
        <v>28.32</v>
      </c>
      <c r="G240" s="1">
        <v>-2.9</v>
      </c>
      <c r="H240" s="4">
        <v>7029655</v>
      </c>
      <c r="I240" s="29">
        <f t="shared" si="171"/>
        <v>75.195000000000007</v>
      </c>
      <c r="J240" s="29">
        <f t="shared" si="172"/>
        <v>2.9250000000000003</v>
      </c>
      <c r="K240" s="29">
        <f t="shared" si="173"/>
        <v>3838.8799999999997</v>
      </c>
      <c r="L240" s="29">
        <f t="shared" si="174"/>
        <v>29.074999999999999</v>
      </c>
      <c r="M240" s="29">
        <f t="shared" si="175"/>
        <v>-2.0499999999999998</v>
      </c>
      <c r="N240" s="4">
        <f t="shared" si="176"/>
        <v>10472178</v>
      </c>
      <c r="O240" s="5">
        <f t="shared" si="178"/>
        <v>-3.0166710770044958E-2</v>
      </c>
      <c r="P240" s="5">
        <f t="shared" si="179"/>
        <v>-1.3513513513513598E-2</v>
      </c>
      <c r="Q240" s="5">
        <f t="shared" si="180"/>
        <v>-2.2089014891150116E-2</v>
      </c>
      <c r="R240" s="5">
        <f t="shared" si="181"/>
        <v>-1.7689906347554518E-2</v>
      </c>
      <c r="S240" s="5">
        <f t="shared" si="182"/>
        <v>9.4339622641509413E-2</v>
      </c>
      <c r="T240" s="5">
        <f t="shared" si="177"/>
        <v>-0.4082142379698277</v>
      </c>
    </row>
    <row r="241" spans="2:20" x14ac:dyDescent="0.15">
      <c r="B241" s="17">
        <v>44400</v>
      </c>
      <c r="C241" s="1">
        <v>74.19</v>
      </c>
      <c r="D241" s="5">
        <v>4.04</v>
      </c>
      <c r="E241" s="1">
        <v>3734.54</v>
      </c>
      <c r="F241" s="1">
        <v>28.18</v>
      </c>
      <c r="G241" s="1">
        <v>-2.5</v>
      </c>
      <c r="H241" s="4">
        <v>8940924</v>
      </c>
      <c r="I241" s="29">
        <f t="shared" si="171"/>
        <v>75.215000000000003</v>
      </c>
      <c r="J241" s="29">
        <f t="shared" si="172"/>
        <v>2.7774999999999999</v>
      </c>
      <c r="K241" s="29">
        <f t="shared" si="173"/>
        <v>3830.68</v>
      </c>
      <c r="L241" s="29">
        <f t="shared" si="174"/>
        <v>28.952500000000001</v>
      </c>
      <c r="M241" s="29">
        <f t="shared" si="175"/>
        <v>-2.3624999999999998</v>
      </c>
      <c r="N241" s="4">
        <f t="shared" si="176"/>
        <v>10179877.5</v>
      </c>
      <c r="O241" s="5">
        <f t="shared" si="178"/>
        <v>1.2141882673942783E-2</v>
      </c>
      <c r="P241" s="5">
        <f t="shared" si="179"/>
        <v>0.8447488584474887</v>
      </c>
      <c r="Q241" s="5">
        <f t="shared" si="180"/>
        <v>-9.4452475365701671E-3</v>
      </c>
      <c r="R241" s="5">
        <f t="shared" si="181"/>
        <v>-4.9435028248587809E-3</v>
      </c>
      <c r="S241" s="5">
        <f t="shared" si="182"/>
        <v>-0.13793103448275856</v>
      </c>
      <c r="T241" s="5">
        <f t="shared" si="177"/>
        <v>0.27188660040926615</v>
      </c>
    </row>
    <row r="242" spans="2:20" x14ac:dyDescent="0.15">
      <c r="B242" s="17">
        <v>44407</v>
      </c>
      <c r="C242" s="1">
        <v>76.33</v>
      </c>
      <c r="D242" s="5">
        <v>7.43</v>
      </c>
      <c r="E242" s="1">
        <v>3771.58</v>
      </c>
      <c r="F242" s="1">
        <v>28.77</v>
      </c>
      <c r="G242" s="1">
        <v>-2.4</v>
      </c>
      <c r="H242" s="4">
        <v>14357491</v>
      </c>
      <c r="I242" s="29">
        <f t="shared" si="171"/>
        <v>74.760000000000005</v>
      </c>
      <c r="J242" s="29">
        <f t="shared" si="172"/>
        <v>2.84</v>
      </c>
      <c r="K242" s="29">
        <f t="shared" si="173"/>
        <v>3806.3549999999996</v>
      </c>
      <c r="L242" s="29">
        <f t="shared" si="174"/>
        <v>28.662500000000001</v>
      </c>
      <c r="M242" s="29">
        <f t="shared" si="175"/>
        <v>-2.5499999999999998</v>
      </c>
      <c r="N242" s="4">
        <f t="shared" si="176"/>
        <v>9562082.75</v>
      </c>
      <c r="O242" s="5">
        <f t="shared" si="178"/>
        <v>2.8844857797546863E-2</v>
      </c>
      <c r="P242" s="5">
        <f t="shared" si="179"/>
        <v>0.83910891089108897</v>
      </c>
      <c r="Q242" s="5">
        <f t="shared" si="180"/>
        <v>9.9182228601113476E-3</v>
      </c>
      <c r="R242" s="5">
        <f t="shared" si="181"/>
        <v>2.0936834634492474E-2</v>
      </c>
      <c r="S242" s="5">
        <f t="shared" si="182"/>
        <v>-4.0000000000000036E-2</v>
      </c>
      <c r="T242" s="5">
        <f t="shared" si="177"/>
        <v>0.60581736294816957</v>
      </c>
    </row>
    <row r="243" spans="2:20" x14ac:dyDescent="0.15">
      <c r="B243" s="17">
        <v>44414</v>
      </c>
      <c r="C243" s="1">
        <v>70.489999999999995</v>
      </c>
      <c r="D243" s="5">
        <v>2.79</v>
      </c>
      <c r="E243" s="1">
        <v>3805.36</v>
      </c>
      <c r="F243" s="1">
        <v>28.9</v>
      </c>
      <c r="G243" s="1">
        <v>-1.95</v>
      </c>
      <c r="H243" s="4">
        <v>11112348</v>
      </c>
      <c r="I243" s="29">
        <f t="shared" si="171"/>
        <v>74.849999999999994</v>
      </c>
      <c r="J243" s="29">
        <f t="shared" si="172"/>
        <v>3.9699999999999998</v>
      </c>
      <c r="K243" s="29">
        <f t="shared" si="173"/>
        <v>3782.895</v>
      </c>
      <c r="L243" s="29">
        <f t="shared" si="174"/>
        <v>28.524999999999999</v>
      </c>
      <c r="M243" s="29">
        <f t="shared" si="175"/>
        <v>-2.6125000000000003</v>
      </c>
      <c r="N243" s="4">
        <f t="shared" si="176"/>
        <v>10551696.5</v>
      </c>
      <c r="O243" s="5">
        <f t="shared" si="178"/>
        <v>-7.6509891261627216E-2</v>
      </c>
      <c r="P243" s="5">
        <f t="shared" si="179"/>
        <v>-0.62449528936742937</v>
      </c>
      <c r="Q243" s="5">
        <f t="shared" si="180"/>
        <v>8.9564585664363427E-3</v>
      </c>
      <c r="R243" s="5">
        <f t="shared" si="181"/>
        <v>4.5185957594715553E-3</v>
      </c>
      <c r="S243" s="5">
        <f t="shared" si="182"/>
        <v>-0.1875</v>
      </c>
      <c r="T243" s="5">
        <f t="shared" si="177"/>
        <v>-0.22602437988642998</v>
      </c>
    </row>
    <row r="244" spans="2:20" x14ac:dyDescent="0.15">
      <c r="B244" s="17">
        <v>44421</v>
      </c>
      <c r="C244" s="1">
        <v>70.25</v>
      </c>
      <c r="D244" s="5">
        <v>4.54</v>
      </c>
      <c r="E244" s="1">
        <v>3873</v>
      </c>
      <c r="F244" s="1">
        <v>29.27</v>
      </c>
      <c r="G244" s="1">
        <v>-2.25</v>
      </c>
      <c r="H244" s="4">
        <v>11887963</v>
      </c>
      <c r="I244" s="29">
        <f t="shared" si="171"/>
        <v>73.577500000000001</v>
      </c>
      <c r="J244" s="29">
        <f t="shared" si="172"/>
        <v>4.1124999999999998</v>
      </c>
      <c r="K244" s="29">
        <f t="shared" si="173"/>
        <v>3770.4075000000003</v>
      </c>
      <c r="L244" s="29">
        <f t="shared" si="174"/>
        <v>28.542499999999997</v>
      </c>
      <c r="M244" s="29">
        <f t="shared" si="175"/>
        <v>-2.4375</v>
      </c>
      <c r="N244" s="4">
        <f t="shared" si="176"/>
        <v>10360104.5</v>
      </c>
      <c r="O244" s="5">
        <f t="shared" si="178"/>
        <v>-3.4047382607461651E-3</v>
      </c>
      <c r="P244" s="5">
        <f t="shared" si="179"/>
        <v>0.62724014336917566</v>
      </c>
      <c r="Q244" s="5">
        <f t="shared" si="180"/>
        <v>1.7774927996299983E-2</v>
      </c>
      <c r="R244" s="5">
        <f t="shared" si="181"/>
        <v>1.2802768166090051E-2</v>
      </c>
      <c r="S244" s="5">
        <f t="shared" si="182"/>
        <v>0.15384615384615397</v>
      </c>
      <c r="T244" s="5">
        <f t="shared" si="177"/>
        <v>6.9797580133379444E-2</v>
      </c>
    </row>
    <row r="245" spans="2:20" x14ac:dyDescent="0.15">
      <c r="B245" s="17">
        <v>44428</v>
      </c>
      <c r="C245" s="1">
        <v>65</v>
      </c>
      <c r="D245" s="5">
        <v>0.52</v>
      </c>
      <c r="E245" s="1">
        <v>3832.7</v>
      </c>
      <c r="F245" s="1">
        <v>28.4</v>
      </c>
      <c r="G245" s="1">
        <v>-2.4500000000000002</v>
      </c>
      <c r="H245" s="4">
        <v>13514263</v>
      </c>
      <c r="I245" s="29">
        <f t="shared" si="171"/>
        <v>72.814999999999998</v>
      </c>
      <c r="J245" s="29">
        <f t="shared" si="172"/>
        <v>4.6999999999999993</v>
      </c>
      <c r="K245" s="29">
        <f t="shared" si="173"/>
        <v>3796.12</v>
      </c>
      <c r="L245" s="29">
        <f t="shared" si="174"/>
        <v>28.779999999999998</v>
      </c>
      <c r="M245" s="29">
        <f t="shared" si="175"/>
        <v>-2.2750000000000004</v>
      </c>
      <c r="N245" s="4">
        <f t="shared" si="176"/>
        <v>11574681.5</v>
      </c>
      <c r="O245" s="5">
        <f t="shared" si="178"/>
        <v>-7.4733096085409234E-2</v>
      </c>
      <c r="P245" s="5">
        <f t="shared" si="179"/>
        <v>-0.88546255506607929</v>
      </c>
      <c r="Q245" s="5">
        <f t="shared" si="180"/>
        <v>-1.0405370513813628E-2</v>
      </c>
      <c r="R245" s="5">
        <f t="shared" si="181"/>
        <v>-2.9723266142808402E-2</v>
      </c>
      <c r="S245" s="5">
        <f t="shared" si="182"/>
        <v>8.8888888888889017E-2</v>
      </c>
      <c r="T245" s="5">
        <f t="shared" si="177"/>
        <v>0.1368022427391471</v>
      </c>
    </row>
    <row r="246" spans="2:20" x14ac:dyDescent="0.15">
      <c r="B246" s="17">
        <v>44435</v>
      </c>
      <c r="C246" s="1">
        <v>72.75</v>
      </c>
      <c r="D246" s="5">
        <v>10.029999999999999</v>
      </c>
      <c r="E246" s="1">
        <v>3887.38</v>
      </c>
      <c r="F246" s="1">
        <v>29.12</v>
      </c>
      <c r="G246" s="1">
        <v>-1.9</v>
      </c>
      <c r="H246" s="4">
        <v>11711087</v>
      </c>
      <c r="I246" s="29">
        <f t="shared" si="171"/>
        <v>70.517499999999998</v>
      </c>
      <c r="J246" s="29">
        <f t="shared" si="172"/>
        <v>3.8199999999999994</v>
      </c>
      <c r="K246" s="29">
        <f t="shared" si="173"/>
        <v>3820.66</v>
      </c>
      <c r="L246" s="29">
        <f t="shared" si="174"/>
        <v>28.835000000000001</v>
      </c>
      <c r="M246" s="29">
        <f t="shared" si="175"/>
        <v>-2.2625000000000002</v>
      </c>
      <c r="N246" s="4">
        <f t="shared" si="176"/>
        <v>12718016.25</v>
      </c>
      <c r="O246" s="5">
        <f t="shared" si="178"/>
        <v>0.11923076923076925</v>
      </c>
      <c r="P246" s="5">
        <f t="shared" si="179"/>
        <v>18.288461538461537</v>
      </c>
      <c r="Q246" s="5">
        <f t="shared" si="180"/>
        <v>1.4266704933858732E-2</v>
      </c>
      <c r="R246" s="5">
        <f t="shared" si="181"/>
        <v>2.5352112676056526E-2</v>
      </c>
      <c r="S246" s="5">
        <f t="shared" si="182"/>
        <v>-0.22448979591836749</v>
      </c>
      <c r="T246" s="5">
        <f t="shared" si="177"/>
        <v>-0.1334276238371267</v>
      </c>
    </row>
    <row r="247" spans="2:20" x14ac:dyDescent="0.15">
      <c r="B247" s="17">
        <v>44442</v>
      </c>
      <c r="C247" s="1">
        <v>72.48</v>
      </c>
      <c r="D247" s="5">
        <v>7.23</v>
      </c>
      <c r="E247" s="1">
        <v>4001.7</v>
      </c>
      <c r="F247" s="1">
        <v>30.18</v>
      </c>
      <c r="G247" s="1">
        <v>-1.55</v>
      </c>
      <c r="H247" s="4">
        <v>14124048</v>
      </c>
      <c r="I247" s="29">
        <f t="shared" si="171"/>
        <v>69.622500000000002</v>
      </c>
      <c r="J247" s="29">
        <f t="shared" si="172"/>
        <v>4.47</v>
      </c>
      <c r="K247" s="29">
        <f t="shared" si="173"/>
        <v>3849.6100000000006</v>
      </c>
      <c r="L247" s="29">
        <f t="shared" si="174"/>
        <v>28.922499999999999</v>
      </c>
      <c r="M247" s="29">
        <f t="shared" si="175"/>
        <v>-2.1375000000000002</v>
      </c>
      <c r="N247" s="4">
        <f t="shared" si="176"/>
        <v>12056415.25</v>
      </c>
      <c r="O247" s="5">
        <f t="shared" si="178"/>
        <v>-3.711340206185465E-3</v>
      </c>
      <c r="P247" s="5">
        <f t="shared" si="179"/>
        <v>-0.27916251246261203</v>
      </c>
      <c r="Q247" s="5">
        <f t="shared" si="180"/>
        <v>2.940798172548087E-2</v>
      </c>
      <c r="R247" s="5">
        <f t="shared" si="181"/>
        <v>3.6401098901098772E-2</v>
      </c>
      <c r="S247" s="5">
        <f t="shared" si="182"/>
        <v>-0.18421052631578938</v>
      </c>
      <c r="T247" s="5">
        <f t="shared" si="177"/>
        <v>0.20604073729449701</v>
      </c>
    </row>
    <row r="248" spans="2:20" x14ac:dyDescent="0.15">
      <c r="B248" s="17">
        <v>44449</v>
      </c>
      <c r="C248" s="1">
        <v>72.95</v>
      </c>
      <c r="D248" s="5">
        <v>4.93</v>
      </c>
      <c r="E248" s="1">
        <v>4002.66</v>
      </c>
      <c r="F248" s="1">
        <v>29.81</v>
      </c>
      <c r="G248" s="1">
        <v>-1</v>
      </c>
      <c r="H248" s="4">
        <v>12440828</v>
      </c>
      <c r="I248" s="29">
        <f t="shared" si="171"/>
        <v>70.12</v>
      </c>
      <c r="J248" s="29">
        <f t="shared" si="172"/>
        <v>5.58</v>
      </c>
      <c r="K248" s="29">
        <f t="shared" si="173"/>
        <v>3898.6949999999997</v>
      </c>
      <c r="L248" s="29">
        <f t="shared" si="174"/>
        <v>29.2425</v>
      </c>
      <c r="M248" s="29">
        <f t="shared" si="175"/>
        <v>-2.0375000000000001</v>
      </c>
      <c r="N248" s="4">
        <f t="shared" si="176"/>
        <v>12809340.25</v>
      </c>
      <c r="O248" s="5">
        <f t="shared" si="178"/>
        <v>6.4845474613686171E-3</v>
      </c>
      <c r="P248" s="5">
        <f t="shared" si="179"/>
        <v>-0.31811894882434311</v>
      </c>
      <c r="Q248" s="5">
        <f t="shared" si="180"/>
        <v>2.3989804333157672E-4</v>
      </c>
      <c r="R248" s="5">
        <f t="shared" si="181"/>
        <v>-1.2259774685221991E-2</v>
      </c>
      <c r="S248" s="5">
        <f t="shared" si="182"/>
        <v>-0.35483870967741937</v>
      </c>
      <c r="T248" s="5">
        <f t="shared" si="177"/>
        <v>-0.11917404981914537</v>
      </c>
    </row>
    <row r="249" spans="2:20" x14ac:dyDescent="0.15">
      <c r="B249" s="17">
        <v>44456</v>
      </c>
      <c r="C249" s="1">
        <v>75.489999999999995</v>
      </c>
      <c r="D249" s="5">
        <v>7.39</v>
      </c>
      <c r="E249" s="1">
        <v>4035.17</v>
      </c>
      <c r="F249" s="1">
        <v>30.02</v>
      </c>
      <c r="G249" s="1">
        <v>-2.5</v>
      </c>
      <c r="H249" s="4">
        <v>8639682</v>
      </c>
      <c r="I249" s="29">
        <f t="shared" si="171"/>
        <v>70.795000000000002</v>
      </c>
      <c r="J249" s="29">
        <f t="shared" si="172"/>
        <v>5.6775000000000002</v>
      </c>
      <c r="K249" s="29">
        <f t="shared" si="173"/>
        <v>3931.1099999999997</v>
      </c>
      <c r="L249" s="29">
        <f t="shared" si="174"/>
        <v>29.377499999999998</v>
      </c>
      <c r="M249" s="29">
        <f t="shared" si="175"/>
        <v>-1.7249999999999999</v>
      </c>
      <c r="N249" s="4">
        <f t="shared" si="176"/>
        <v>12947556.5</v>
      </c>
      <c r="O249" s="5">
        <f t="shared" si="178"/>
        <v>3.4818368745716199E-2</v>
      </c>
      <c r="P249" s="5">
        <f t="shared" si="179"/>
        <v>0.4989858012170385</v>
      </c>
      <c r="Q249" s="5">
        <f t="shared" si="180"/>
        <v>8.1220988042951525E-3</v>
      </c>
      <c r="R249" s="5">
        <f t="shared" si="181"/>
        <v>7.0446159007044873E-3</v>
      </c>
      <c r="S249" s="5">
        <f t="shared" si="182"/>
        <v>1.5</v>
      </c>
      <c r="T249" s="5">
        <f t="shared" si="177"/>
        <v>-0.30553802367495153</v>
      </c>
    </row>
    <row r="250" spans="2:20" x14ac:dyDescent="0.15">
      <c r="B250" s="17">
        <v>44463</v>
      </c>
      <c r="C250" s="1">
        <v>78.069999999999993</v>
      </c>
      <c r="D250" s="5">
        <v>8.2899999999999991</v>
      </c>
      <c r="E250" s="1">
        <v>4038.23</v>
      </c>
      <c r="F250" s="1">
        <v>30.13</v>
      </c>
      <c r="G250" s="1">
        <v>-2.4500000000000002</v>
      </c>
      <c r="H250" s="4">
        <v>12586999</v>
      </c>
      <c r="I250" s="29">
        <f t="shared" si="171"/>
        <v>73.417500000000004</v>
      </c>
      <c r="J250" s="29">
        <f t="shared" si="172"/>
        <v>7.3949999999999996</v>
      </c>
      <c r="K250" s="29">
        <f t="shared" si="173"/>
        <v>3981.7275</v>
      </c>
      <c r="L250" s="29">
        <f t="shared" si="174"/>
        <v>29.782499999999999</v>
      </c>
      <c r="M250" s="29">
        <f t="shared" si="175"/>
        <v>-1.7375</v>
      </c>
      <c r="N250" s="4">
        <f t="shared" si="176"/>
        <v>11728911.25</v>
      </c>
      <c r="O250" s="5">
        <f t="shared" si="178"/>
        <v>3.4176712147304222E-2</v>
      </c>
      <c r="P250" s="5">
        <f t="shared" si="179"/>
        <v>0.121786197564276</v>
      </c>
      <c r="Q250" s="5">
        <f t="shared" si="180"/>
        <v>7.5833236270095306E-4</v>
      </c>
      <c r="R250" s="5">
        <f t="shared" si="181"/>
        <v>3.6642238507660352E-3</v>
      </c>
      <c r="S250" s="5">
        <f t="shared" si="182"/>
        <v>-1.9999999999999907E-2</v>
      </c>
      <c r="T250" s="5">
        <f t="shared" si="177"/>
        <v>0.45688220932205614</v>
      </c>
    </row>
    <row r="251" spans="2:20" x14ac:dyDescent="0.15">
      <c r="B251" s="17">
        <v>44470</v>
      </c>
      <c r="C251" s="1">
        <v>79.239999999999995</v>
      </c>
      <c r="D251" s="5">
        <v>7.59</v>
      </c>
      <c r="E251" s="1">
        <v>4086.99</v>
      </c>
      <c r="F251" s="1">
        <v>30.42</v>
      </c>
      <c r="G251" s="1">
        <v>-2.0499999999999998</v>
      </c>
      <c r="H251" s="4">
        <v>9833129</v>
      </c>
      <c r="I251" s="29">
        <f t="shared" si="171"/>
        <v>74.747500000000002</v>
      </c>
      <c r="J251" s="29">
        <f t="shared" si="172"/>
        <v>6.96</v>
      </c>
      <c r="K251" s="29">
        <f t="shared" si="173"/>
        <v>4019.4399999999996</v>
      </c>
      <c r="L251" s="29">
        <f t="shared" si="174"/>
        <v>30.034999999999997</v>
      </c>
      <c r="M251" s="29">
        <f t="shared" si="175"/>
        <v>-1.875</v>
      </c>
      <c r="N251" s="4">
        <f t="shared" si="176"/>
        <v>11947889.25</v>
      </c>
      <c r="O251" s="5">
        <f t="shared" si="178"/>
        <v>1.4986550531574272E-2</v>
      </c>
      <c r="P251" s="5">
        <f t="shared" si="179"/>
        <v>-8.4439083232810574E-2</v>
      </c>
      <c r="Q251" s="5">
        <f t="shared" si="180"/>
        <v>1.2074597038801649E-2</v>
      </c>
      <c r="R251" s="5">
        <f t="shared" si="181"/>
        <v>9.6249585131098492E-3</v>
      </c>
      <c r="S251" s="5">
        <f t="shared" si="182"/>
        <v>-0.16326530612244916</v>
      </c>
      <c r="T251" s="5">
        <f t="shared" si="177"/>
        <v>-0.21878686095073174</v>
      </c>
    </row>
    <row r="252" spans="2:20" x14ac:dyDescent="0.15">
      <c r="B252" s="17">
        <v>44477</v>
      </c>
      <c r="C252" s="1">
        <v>82.58</v>
      </c>
      <c r="D252" s="5">
        <v>8.7899999999999991</v>
      </c>
      <c r="E252" s="1">
        <v>4238</v>
      </c>
      <c r="F252" s="1">
        <v>31.99</v>
      </c>
      <c r="G252" s="1">
        <v>-2.15</v>
      </c>
      <c r="H252" s="4">
        <v>10992809</v>
      </c>
      <c r="I252" s="29">
        <f t="shared" si="171"/>
        <v>76.4375</v>
      </c>
      <c r="J252" s="29">
        <f t="shared" si="172"/>
        <v>7.05</v>
      </c>
      <c r="K252" s="29">
        <f t="shared" si="173"/>
        <v>4040.7624999999998</v>
      </c>
      <c r="L252" s="29">
        <f t="shared" si="174"/>
        <v>30.094999999999999</v>
      </c>
      <c r="M252" s="29">
        <f t="shared" si="175"/>
        <v>-2</v>
      </c>
      <c r="N252" s="4">
        <f t="shared" si="176"/>
        <v>10875159.5</v>
      </c>
      <c r="O252" s="5">
        <f t="shared" si="178"/>
        <v>4.2150429076224238E-2</v>
      </c>
      <c r="P252" s="5">
        <f t="shared" si="179"/>
        <v>0.15810276679841895</v>
      </c>
      <c r="Q252" s="5">
        <f t="shared" si="180"/>
        <v>3.6948952652196443E-2</v>
      </c>
      <c r="R252" s="5">
        <f t="shared" si="181"/>
        <v>5.1610782380012932E-2</v>
      </c>
      <c r="S252" s="5">
        <f t="shared" si="182"/>
        <v>4.8780487804878092E-2</v>
      </c>
      <c r="T252" s="5">
        <f t="shared" si="177"/>
        <v>0.11793600999234322</v>
      </c>
    </row>
    <row r="253" spans="2:20" x14ac:dyDescent="0.15">
      <c r="B253" s="17">
        <v>44484</v>
      </c>
      <c r="C253" s="1">
        <v>84.92</v>
      </c>
      <c r="D253" s="5">
        <v>9.69</v>
      </c>
      <c r="E253" s="1">
        <v>4261.82</v>
      </c>
      <c r="F253" s="1">
        <v>32.64</v>
      </c>
      <c r="G253" s="1">
        <v>-2.15</v>
      </c>
      <c r="H253" s="4">
        <v>7015047</v>
      </c>
      <c r="I253" s="29">
        <f t="shared" si="171"/>
        <v>78.844999999999999</v>
      </c>
      <c r="J253" s="29">
        <f t="shared" si="172"/>
        <v>8.0150000000000006</v>
      </c>
      <c r="K253" s="29">
        <f t="shared" si="173"/>
        <v>4099.5974999999999</v>
      </c>
      <c r="L253" s="29">
        <f t="shared" si="174"/>
        <v>30.639999999999997</v>
      </c>
      <c r="M253" s="29">
        <f t="shared" si="175"/>
        <v>-2.2875000000000001</v>
      </c>
      <c r="N253" s="4">
        <f t="shared" si="176"/>
        <v>10513154.75</v>
      </c>
      <c r="O253" s="5">
        <f t="shared" si="178"/>
        <v>2.8336158876241191E-2</v>
      </c>
      <c r="P253" s="5">
        <f t="shared" si="179"/>
        <v>0.10238907849829348</v>
      </c>
      <c r="Q253" s="5">
        <f t="shared" si="180"/>
        <v>5.6205757432750136E-3</v>
      </c>
      <c r="R253" s="5">
        <f t="shared" si="181"/>
        <v>2.0318849640512671E-2</v>
      </c>
      <c r="S253" s="5">
        <f t="shared" si="182"/>
        <v>0</v>
      </c>
      <c r="T253" s="5">
        <f t="shared" si="177"/>
        <v>-0.36185127932269179</v>
      </c>
    </row>
    <row r="254" spans="2:20" x14ac:dyDescent="0.15">
      <c r="B254" s="17">
        <v>44491</v>
      </c>
      <c r="C254" s="1">
        <v>85.77</v>
      </c>
      <c r="D254" s="5">
        <v>7.09</v>
      </c>
      <c r="E254" s="1">
        <v>4196.96</v>
      </c>
      <c r="F254" s="1">
        <v>32.67</v>
      </c>
      <c r="G254" s="1">
        <v>-1.8</v>
      </c>
      <c r="H254" s="4">
        <v>13472567</v>
      </c>
      <c r="I254" s="29">
        <f t="shared" si="171"/>
        <v>81.202500000000001</v>
      </c>
      <c r="J254" s="29">
        <f t="shared" si="172"/>
        <v>8.59</v>
      </c>
      <c r="K254" s="29">
        <f t="shared" si="173"/>
        <v>4156.26</v>
      </c>
      <c r="L254" s="29">
        <f t="shared" si="174"/>
        <v>31.294999999999998</v>
      </c>
      <c r="M254" s="29">
        <f t="shared" si="175"/>
        <v>-2.2000000000000002</v>
      </c>
      <c r="N254" s="4">
        <f t="shared" si="176"/>
        <v>10106996</v>
      </c>
      <c r="O254" s="5">
        <f t="shared" si="178"/>
        <v>1.0009420631182264E-2</v>
      </c>
      <c r="P254" s="5">
        <f t="shared" si="179"/>
        <v>-0.2683178534571723</v>
      </c>
      <c r="Q254" s="5">
        <f t="shared" si="180"/>
        <v>-1.521885016260649E-2</v>
      </c>
      <c r="R254" s="5">
        <f t="shared" si="181"/>
        <v>9.1911764705887578E-4</v>
      </c>
      <c r="S254" s="5">
        <f t="shared" si="182"/>
        <v>-0.16279069767441856</v>
      </c>
      <c r="T254" s="5">
        <f t="shared" si="177"/>
        <v>0.92052412478490875</v>
      </c>
    </row>
    <row r="255" spans="2:20" x14ac:dyDescent="0.15">
      <c r="B255" s="17">
        <v>44498</v>
      </c>
      <c r="C255" s="1">
        <v>84.38</v>
      </c>
      <c r="D255" s="5">
        <v>3.93</v>
      </c>
      <c r="E255" s="1">
        <v>4150</v>
      </c>
      <c r="F255" s="1">
        <v>32</v>
      </c>
      <c r="G255" s="1">
        <v>-1.4</v>
      </c>
      <c r="H255" s="4">
        <v>12750168</v>
      </c>
      <c r="I255" s="29">
        <f t="shared" si="171"/>
        <v>83.127499999999998</v>
      </c>
      <c r="J255" s="29">
        <f t="shared" si="172"/>
        <v>8.2899999999999991</v>
      </c>
      <c r="K255" s="29">
        <f t="shared" si="173"/>
        <v>4195.9425000000001</v>
      </c>
      <c r="L255" s="29">
        <f t="shared" si="174"/>
        <v>31.93</v>
      </c>
      <c r="M255" s="29">
        <f t="shared" si="175"/>
        <v>-2.0375000000000001</v>
      </c>
      <c r="N255" s="4">
        <f t="shared" si="176"/>
        <v>10328388</v>
      </c>
      <c r="O255" s="5">
        <f t="shared" si="178"/>
        <v>-1.6206132680424368E-2</v>
      </c>
      <c r="P255" s="5">
        <f t="shared" si="179"/>
        <v>-0.44569816643159377</v>
      </c>
      <c r="Q255" s="5">
        <f t="shared" si="180"/>
        <v>-1.1189051122717397E-2</v>
      </c>
      <c r="R255" s="5">
        <f t="shared" si="181"/>
        <v>-2.0508111417202324E-2</v>
      </c>
      <c r="S255" s="5">
        <f t="shared" si="182"/>
        <v>-0.22222222222222232</v>
      </c>
      <c r="T255" s="5">
        <f t="shared" si="177"/>
        <v>-5.3619996842472539E-2</v>
      </c>
    </row>
    <row r="256" spans="2:20" x14ac:dyDescent="0.15">
      <c r="B256" s="17">
        <v>44505</v>
      </c>
      <c r="C256" s="1">
        <v>82.55</v>
      </c>
      <c r="D256" s="5">
        <v>1.86</v>
      </c>
      <c r="E256" s="1">
        <v>4174.76</v>
      </c>
      <c r="F256" s="1">
        <v>31.93</v>
      </c>
      <c r="G256" s="1">
        <v>-1.6</v>
      </c>
      <c r="H256" s="4">
        <v>9529337</v>
      </c>
      <c r="I256" s="29">
        <f t="shared" si="171"/>
        <v>84.412499999999994</v>
      </c>
      <c r="J256" s="29">
        <f t="shared" si="172"/>
        <v>7.3749999999999991</v>
      </c>
      <c r="K256" s="29">
        <f t="shared" si="173"/>
        <v>4211.6949999999997</v>
      </c>
      <c r="L256" s="29">
        <f t="shared" si="174"/>
        <v>32.325000000000003</v>
      </c>
      <c r="M256" s="29">
        <f t="shared" si="175"/>
        <v>-1.875</v>
      </c>
      <c r="N256" s="4">
        <f t="shared" si="176"/>
        <v>11057647.75</v>
      </c>
      <c r="O256" s="5">
        <f t="shared" si="178"/>
        <v>-2.1687603697558622E-2</v>
      </c>
      <c r="P256" s="5">
        <f t="shared" si="179"/>
        <v>-0.52671755725190839</v>
      </c>
      <c r="Q256" s="5">
        <f t="shared" si="180"/>
        <v>5.966265060241005E-3</v>
      </c>
      <c r="R256" s="5">
        <f t="shared" si="181"/>
        <v>-2.1875000000000089E-3</v>
      </c>
      <c r="S256" s="5">
        <f t="shared" si="182"/>
        <v>0.14285714285714302</v>
      </c>
      <c r="T256" s="5">
        <f t="shared" si="177"/>
        <v>-0.25261086755876472</v>
      </c>
    </row>
    <row r="257" spans="2:20" x14ac:dyDescent="0.15">
      <c r="B257" s="17">
        <v>44512</v>
      </c>
      <c r="C257" s="1">
        <v>81.95</v>
      </c>
      <c r="D257" s="5">
        <v>1.75</v>
      </c>
      <c r="E257" s="1">
        <v>4121.66</v>
      </c>
      <c r="F257" s="1">
        <v>31.27</v>
      </c>
      <c r="G257" s="1">
        <v>-1.45</v>
      </c>
      <c r="H257" s="4">
        <v>3400765</v>
      </c>
      <c r="I257" s="29">
        <f t="shared" si="171"/>
        <v>84.405000000000001</v>
      </c>
      <c r="J257" s="29">
        <f t="shared" si="172"/>
        <v>5.6425000000000001</v>
      </c>
      <c r="K257" s="29">
        <f t="shared" si="173"/>
        <v>4195.8850000000002</v>
      </c>
      <c r="L257" s="29">
        <f t="shared" si="174"/>
        <v>32.31</v>
      </c>
      <c r="M257" s="29">
        <f t="shared" si="175"/>
        <v>-1.7374999999999998</v>
      </c>
      <c r="N257" s="4">
        <f t="shared" si="176"/>
        <v>10691779.75</v>
      </c>
      <c r="O257" s="5">
        <f t="shared" si="178"/>
        <v>-7.2683222289521288E-3</v>
      </c>
      <c r="P257" s="5">
        <f t="shared" si="179"/>
        <v>-5.9139784946236618E-2</v>
      </c>
      <c r="Q257" s="5">
        <f t="shared" si="180"/>
        <v>-1.2719294043250451E-2</v>
      </c>
      <c r="R257" s="5">
        <f t="shared" si="181"/>
        <v>-2.0670216097713801E-2</v>
      </c>
      <c r="S257" s="5">
        <f t="shared" si="182"/>
        <v>-9.3750000000000111E-2</v>
      </c>
      <c r="T257" s="5">
        <f t="shared" si="177"/>
        <v>-0.64312679885284774</v>
      </c>
    </row>
    <row r="258" spans="2:20" x14ac:dyDescent="0.15">
      <c r="B258" s="17">
        <v>44519</v>
      </c>
      <c r="C258" s="1">
        <v>78.66</v>
      </c>
      <c r="D258" s="5">
        <v>0.03</v>
      </c>
      <c r="E258" s="1">
        <v>4016.47</v>
      </c>
      <c r="F258" s="1">
        <v>29.92</v>
      </c>
      <c r="G258" s="1">
        <v>-1.65</v>
      </c>
      <c r="H258" s="4">
        <v>10188407.226415094</v>
      </c>
      <c r="I258" s="29">
        <f t="shared" si="171"/>
        <v>83.662499999999994</v>
      </c>
      <c r="J258" s="29">
        <f t="shared" si="172"/>
        <v>3.6574999999999998</v>
      </c>
      <c r="K258" s="29">
        <f t="shared" si="173"/>
        <v>4160.8449999999993</v>
      </c>
      <c r="L258" s="29">
        <f t="shared" si="174"/>
        <v>31.967499999999998</v>
      </c>
      <c r="M258" s="29">
        <f t="shared" si="175"/>
        <v>-1.5625000000000002</v>
      </c>
      <c r="N258" s="4">
        <f t="shared" si="176"/>
        <v>9788209.25</v>
      </c>
      <c r="O258" s="5">
        <f t="shared" si="178"/>
        <v>-4.0146430750457651E-2</v>
      </c>
      <c r="P258" s="5">
        <f t="shared" si="179"/>
        <v>-0.98285714285714287</v>
      </c>
      <c r="Q258" s="5">
        <f t="shared" si="180"/>
        <v>-2.5521270556038145E-2</v>
      </c>
      <c r="R258" s="5">
        <f t="shared" si="181"/>
        <v>-4.3172369683402545E-2</v>
      </c>
      <c r="S258" s="5">
        <f t="shared" si="182"/>
        <v>0.13793103448275867</v>
      </c>
      <c r="T258" s="5">
        <f t="shared" si="177"/>
        <v>1.9959162795474237</v>
      </c>
    </row>
    <row r="259" spans="2:20" x14ac:dyDescent="0.15">
      <c r="B259" s="2"/>
    </row>
    <row r="260" spans="2:20" x14ac:dyDescent="0.15">
      <c r="B260" s="2"/>
      <c r="I260" s="31" t="s">
        <v>64</v>
      </c>
      <c r="J260" s="32">
        <f t="shared" ref="J260:O260" si="183">AVERAGE(C4:C258)</f>
        <v>60.698000000000022</v>
      </c>
      <c r="K260" s="32">
        <f t="shared" si="183"/>
        <v>2.004909505398341</v>
      </c>
      <c r="L260" s="33">
        <f t="shared" si="183"/>
        <v>2708.9598353909455</v>
      </c>
      <c r="M260" s="32">
        <f t="shared" si="183"/>
        <v>22.76624505928854</v>
      </c>
      <c r="N260" s="32">
        <f t="shared" si="183"/>
        <v>-1.2355158730158722</v>
      </c>
      <c r="O260" s="34">
        <f t="shared" si="183"/>
        <v>12151386.661367714</v>
      </c>
    </row>
    <row r="261" spans="2:20" x14ac:dyDescent="0.15">
      <c r="B261" s="2"/>
      <c r="I261" s="31" t="s">
        <v>63</v>
      </c>
      <c r="J261" s="32">
        <f t="shared" ref="J261:O261" si="184">MEDIAN(C5:C258)</f>
        <v>62.715000000000003</v>
      </c>
      <c r="K261" s="32">
        <f t="shared" si="184"/>
        <v>1.875</v>
      </c>
      <c r="L261" s="33">
        <f t="shared" si="184"/>
        <v>2567.9749999999999</v>
      </c>
      <c r="M261" s="32">
        <f t="shared" si="184"/>
        <v>21.759999999999998</v>
      </c>
      <c r="N261" s="32">
        <f t="shared" si="184"/>
        <v>-1.35</v>
      </c>
      <c r="O261" s="34">
        <f t="shared" si="184"/>
        <v>12491647</v>
      </c>
    </row>
    <row r="262" spans="2:20" x14ac:dyDescent="0.15">
      <c r="B262" s="2"/>
      <c r="I262" s="31" t="s">
        <v>62</v>
      </c>
      <c r="J262" s="32">
        <f t="shared" ref="J262:O262" si="185">_xlfn.STDEV.S(C6:C258)</f>
        <v>12.828322917599953</v>
      </c>
      <c r="K262" s="32">
        <f t="shared" si="185"/>
        <v>3.3910768097022732</v>
      </c>
      <c r="L262" s="33">
        <f t="shared" si="185"/>
        <v>608.38197763719461</v>
      </c>
      <c r="M262" s="32">
        <f t="shared" si="185"/>
        <v>3.1724214689874</v>
      </c>
      <c r="N262" s="32">
        <f t="shared" si="185"/>
        <v>1.1780349849231186</v>
      </c>
      <c r="O262" s="34">
        <f t="shared" si="185"/>
        <v>3070159.5172678949</v>
      </c>
    </row>
    <row r="263" spans="2:20" x14ac:dyDescent="0.15">
      <c r="B263" s="2"/>
      <c r="I263" s="31" t="s">
        <v>60</v>
      </c>
      <c r="J263" s="32">
        <f t="shared" ref="J263:O263" si="186">SKEW(C4:C258)</f>
        <v>-0.53644199169545426</v>
      </c>
      <c r="K263" s="32">
        <f t="shared" si="186"/>
        <v>-0.41900938297930229</v>
      </c>
      <c r="L263" s="32">
        <f t="shared" si="186"/>
        <v>0.80749769155932472</v>
      </c>
      <c r="M263" s="32">
        <f t="shared" si="186"/>
        <v>1.0795038746624712</v>
      </c>
      <c r="N263" s="32">
        <f t="shared" si="186"/>
        <v>3.7580814690424819E-2</v>
      </c>
      <c r="O263" s="32">
        <f t="shared" si="186"/>
        <v>-0.35772022810851312</v>
      </c>
    </row>
    <row r="264" spans="2:20" x14ac:dyDescent="0.15">
      <c r="B264" s="2"/>
      <c r="I264" s="31" t="s">
        <v>61</v>
      </c>
      <c r="J264" s="32">
        <f t="shared" ref="J264:O264" si="187">KURT(C4:C258)</f>
        <v>-1.9769077024360371E-2</v>
      </c>
      <c r="K264" s="32">
        <f t="shared" si="187"/>
        <v>5.0777776709030213</v>
      </c>
      <c r="L264" s="32">
        <f t="shared" si="187"/>
        <v>-0.22839299122539058</v>
      </c>
      <c r="M264" s="32">
        <f t="shared" si="187"/>
        <v>1.0130350537567745</v>
      </c>
      <c r="N264" s="32">
        <f t="shared" si="187"/>
        <v>3.2231560900609857E-2</v>
      </c>
      <c r="O264" s="32">
        <f t="shared" si="187"/>
        <v>-0.14932276358681129</v>
      </c>
    </row>
    <row r="265" spans="2:20" x14ac:dyDescent="0.15">
      <c r="B265" s="2"/>
      <c r="J265" s="29"/>
      <c r="L265" s="29"/>
    </row>
    <row r="266" spans="2:20" x14ac:dyDescent="0.15">
      <c r="B266" s="2"/>
    </row>
    <row r="267" spans="2:20" x14ac:dyDescent="0.15">
      <c r="B267" s="2"/>
    </row>
    <row r="268" spans="2:20" x14ac:dyDescent="0.15">
      <c r="B268" s="2"/>
    </row>
    <row r="269" spans="2:20" x14ac:dyDescent="0.15">
      <c r="B269" s="2"/>
    </row>
    <row r="270" spans="2:20" x14ac:dyDescent="0.15">
      <c r="B270" s="2"/>
    </row>
    <row r="271" spans="2:20" x14ac:dyDescent="0.15">
      <c r="B271" s="2"/>
    </row>
    <row r="272" spans="2:20" x14ac:dyDescent="0.15">
      <c r="B272" s="2"/>
    </row>
    <row r="273" spans="2:2" x14ac:dyDescent="0.15">
      <c r="B273" s="2"/>
    </row>
    <row r="274" spans="2:2" x14ac:dyDescent="0.15">
      <c r="B274" s="2"/>
    </row>
    <row r="275" spans="2:2" x14ac:dyDescent="0.15">
      <c r="B275" s="2"/>
    </row>
    <row r="276" spans="2:2" x14ac:dyDescent="0.15">
      <c r="B276" s="2"/>
    </row>
    <row r="277" spans="2:2" x14ac:dyDescent="0.15">
      <c r="B277" s="2"/>
    </row>
    <row r="278" spans="2:2" x14ac:dyDescent="0.15">
      <c r="B278" s="2"/>
    </row>
    <row r="279" spans="2:2" x14ac:dyDescent="0.15">
      <c r="B279" s="2"/>
    </row>
    <row r="280" spans="2:2" x14ac:dyDescent="0.15">
      <c r="B280" s="17"/>
    </row>
    <row r="281" spans="2:2" x14ac:dyDescent="0.15">
      <c r="B281" s="17"/>
    </row>
    <row r="282" spans="2:2" x14ac:dyDescent="0.15">
      <c r="B282" s="17"/>
    </row>
    <row r="283" spans="2:2" x14ac:dyDescent="0.15">
      <c r="B283" s="17"/>
    </row>
    <row r="284" spans="2:2" x14ac:dyDescent="0.15">
      <c r="B284" s="17"/>
    </row>
    <row r="285" spans="2:2" x14ac:dyDescent="0.15">
      <c r="B285" s="17"/>
    </row>
    <row r="286" spans="2:2" x14ac:dyDescent="0.15">
      <c r="B286" s="3"/>
    </row>
    <row r="287" spans="2:2" x14ac:dyDescent="0.15">
      <c r="B287" s="3"/>
    </row>
    <row r="288" spans="2:2" x14ac:dyDescent="0.15">
      <c r="B288" s="3"/>
    </row>
    <row r="289" spans="2:2" x14ac:dyDescent="0.15">
      <c r="B289" s="3"/>
    </row>
    <row r="290" spans="2:2" x14ac:dyDescent="0.15">
      <c r="B290" s="3"/>
    </row>
    <row r="291" spans="2:2" x14ac:dyDescent="0.15">
      <c r="B291" s="3"/>
    </row>
    <row r="292" spans="2:2" x14ac:dyDescent="0.15">
      <c r="B292" s="3"/>
    </row>
    <row r="293" spans="2:2" x14ac:dyDescent="0.15">
      <c r="B293" s="3"/>
    </row>
    <row r="294" spans="2:2" x14ac:dyDescent="0.15">
      <c r="B294" s="3"/>
    </row>
    <row r="295" spans="2:2" x14ac:dyDescent="0.15">
      <c r="B295" s="3"/>
    </row>
    <row r="296" spans="2:2" x14ac:dyDescent="0.15">
      <c r="B296" s="3"/>
    </row>
    <row r="297" spans="2:2" x14ac:dyDescent="0.15">
      <c r="B297" s="3"/>
    </row>
    <row r="298" spans="2:2" x14ac:dyDescent="0.15">
      <c r="B298" s="3"/>
    </row>
    <row r="299" spans="2:2" x14ac:dyDescent="0.15">
      <c r="B299" s="3"/>
    </row>
    <row r="300" spans="2:2" x14ac:dyDescent="0.15">
      <c r="B300" s="3"/>
    </row>
    <row r="301" spans="2:2" x14ac:dyDescent="0.15">
      <c r="B301" s="3"/>
    </row>
    <row r="302" spans="2:2" x14ac:dyDescent="0.15">
      <c r="B302" s="3"/>
    </row>
    <row r="303" spans="2:2" x14ac:dyDescent="0.15">
      <c r="B303" s="3"/>
    </row>
    <row r="304" spans="2:2" x14ac:dyDescent="0.15">
      <c r="B304" s="3"/>
    </row>
    <row r="305" spans="2:2" x14ac:dyDescent="0.15">
      <c r="B305" s="3"/>
    </row>
    <row r="306" spans="2:2" x14ac:dyDescent="0.15">
      <c r="B306" s="3"/>
    </row>
    <row r="307" spans="2:2" x14ac:dyDescent="0.15">
      <c r="B307" s="3"/>
    </row>
    <row r="308" spans="2:2" x14ac:dyDescent="0.15">
      <c r="B308" s="3"/>
    </row>
    <row r="309" spans="2:2" x14ac:dyDescent="0.15">
      <c r="B309" s="3"/>
    </row>
    <row r="310" spans="2:2" x14ac:dyDescent="0.15">
      <c r="B310" s="3"/>
    </row>
    <row r="311" spans="2:2" x14ac:dyDescent="0.15">
      <c r="B311" s="3"/>
    </row>
    <row r="312" spans="2:2" x14ac:dyDescent="0.15">
      <c r="B312" s="3"/>
    </row>
    <row r="313" spans="2:2" x14ac:dyDescent="0.15">
      <c r="B313" s="3"/>
    </row>
    <row r="314" spans="2:2" x14ac:dyDescent="0.15">
      <c r="B314" s="3"/>
    </row>
    <row r="315" spans="2:2" x14ac:dyDescent="0.15">
      <c r="B315" s="3"/>
    </row>
    <row r="316" spans="2:2" x14ac:dyDescent="0.15">
      <c r="B316" s="3"/>
    </row>
    <row r="317" spans="2:2" x14ac:dyDescent="0.15">
      <c r="B317" s="3"/>
    </row>
    <row r="318" spans="2:2" x14ac:dyDescent="0.15">
      <c r="B318" s="3"/>
    </row>
    <row r="319" spans="2:2" x14ac:dyDescent="0.15">
      <c r="B319" s="3"/>
    </row>
    <row r="320" spans="2:2" x14ac:dyDescent="0.15">
      <c r="B320" s="3"/>
    </row>
    <row r="321" spans="2:2" x14ac:dyDescent="0.15">
      <c r="B321" s="3"/>
    </row>
    <row r="322" spans="2:2" x14ac:dyDescent="0.15">
      <c r="B322" s="3"/>
    </row>
    <row r="323" spans="2:2" x14ac:dyDescent="0.15">
      <c r="B323" s="3"/>
    </row>
    <row r="324" spans="2:2" x14ac:dyDescent="0.15">
      <c r="B324" s="3"/>
    </row>
    <row r="325" spans="2:2" x14ac:dyDescent="0.15">
      <c r="B325" s="3"/>
    </row>
    <row r="326" spans="2:2" x14ac:dyDescent="0.15">
      <c r="B326" s="3"/>
    </row>
    <row r="327" spans="2:2" x14ac:dyDescent="0.15">
      <c r="B327" s="3"/>
    </row>
    <row r="328" spans="2:2" x14ac:dyDescent="0.15">
      <c r="B328" s="3"/>
    </row>
    <row r="329" spans="2:2" x14ac:dyDescent="0.15">
      <c r="B329" s="3"/>
    </row>
    <row r="330" spans="2:2" x14ac:dyDescent="0.15">
      <c r="B330" s="3"/>
    </row>
    <row r="331" spans="2:2" x14ac:dyDescent="0.15">
      <c r="B331" s="3"/>
    </row>
    <row r="332" spans="2:2" x14ac:dyDescent="0.15">
      <c r="B332" s="3"/>
    </row>
    <row r="333" spans="2:2" x14ac:dyDescent="0.15">
      <c r="B333" s="3"/>
    </row>
    <row r="334" spans="2:2" x14ac:dyDescent="0.15">
      <c r="B334" s="3"/>
    </row>
    <row r="335" spans="2:2" x14ac:dyDescent="0.15">
      <c r="B335" s="3"/>
    </row>
    <row r="336" spans="2:2" x14ac:dyDescent="0.15">
      <c r="B336" s="3"/>
    </row>
    <row r="337" spans="2:2" x14ac:dyDescent="0.15">
      <c r="B337" s="3"/>
    </row>
    <row r="338" spans="2:2" x14ac:dyDescent="0.15">
      <c r="B338" s="3"/>
    </row>
    <row r="339" spans="2:2" x14ac:dyDescent="0.15">
      <c r="B339" s="3"/>
    </row>
    <row r="340" spans="2:2" x14ac:dyDescent="0.15">
      <c r="B340" s="3"/>
    </row>
    <row r="341" spans="2:2" x14ac:dyDescent="0.15">
      <c r="B341" s="3"/>
    </row>
    <row r="342" spans="2:2" x14ac:dyDescent="0.15">
      <c r="B342" s="3"/>
    </row>
    <row r="343" spans="2:2" x14ac:dyDescent="0.15">
      <c r="B343" s="3"/>
    </row>
    <row r="344" spans="2:2" x14ac:dyDescent="0.15">
      <c r="B344" s="3"/>
    </row>
    <row r="345" spans="2:2" x14ac:dyDescent="0.15">
      <c r="B345" s="3"/>
    </row>
    <row r="346" spans="2:2" x14ac:dyDescent="0.15">
      <c r="B346" s="3"/>
    </row>
    <row r="347" spans="2:2" x14ac:dyDescent="0.15">
      <c r="B347" s="3"/>
    </row>
    <row r="348" spans="2:2" x14ac:dyDescent="0.15">
      <c r="B348" s="3"/>
    </row>
    <row r="349" spans="2:2" x14ac:dyDescent="0.15">
      <c r="B349" s="3"/>
    </row>
    <row r="350" spans="2:2" x14ac:dyDescent="0.15">
      <c r="B350" s="3"/>
    </row>
    <row r="351" spans="2:2" x14ac:dyDescent="0.15">
      <c r="B351" s="3"/>
    </row>
    <row r="352" spans="2:2" x14ac:dyDescent="0.15">
      <c r="B352" s="3"/>
    </row>
    <row r="353" spans="2:2" x14ac:dyDescent="0.15">
      <c r="B353" s="3"/>
    </row>
    <row r="354" spans="2:2" x14ac:dyDescent="0.15">
      <c r="B354" s="3"/>
    </row>
    <row r="355" spans="2:2" x14ac:dyDescent="0.15">
      <c r="B355" s="3"/>
    </row>
    <row r="356" spans="2:2" x14ac:dyDescent="0.15">
      <c r="B356" s="3"/>
    </row>
    <row r="357" spans="2:2" x14ac:dyDescent="0.15">
      <c r="B357" s="3"/>
    </row>
    <row r="358" spans="2:2" x14ac:dyDescent="0.15">
      <c r="B358" s="3"/>
    </row>
    <row r="359" spans="2:2" x14ac:dyDescent="0.15">
      <c r="B359" s="3"/>
    </row>
    <row r="360" spans="2:2" x14ac:dyDescent="0.15">
      <c r="B360" s="3"/>
    </row>
    <row r="361" spans="2:2" x14ac:dyDescent="0.15">
      <c r="B361" s="3"/>
    </row>
    <row r="362" spans="2:2" x14ac:dyDescent="0.15">
      <c r="B362" s="3"/>
    </row>
    <row r="363" spans="2:2" x14ac:dyDescent="0.15">
      <c r="B363" s="3"/>
    </row>
    <row r="364" spans="2:2" x14ac:dyDescent="0.15">
      <c r="B364" s="3"/>
    </row>
    <row r="365" spans="2:2" x14ac:dyDescent="0.15">
      <c r="B365" s="3"/>
    </row>
    <row r="366" spans="2:2" x14ac:dyDescent="0.15">
      <c r="B366" s="3"/>
    </row>
    <row r="367" spans="2:2" x14ac:dyDescent="0.15">
      <c r="B367" s="3"/>
    </row>
    <row r="368" spans="2:2" x14ac:dyDescent="0.15">
      <c r="B368" s="3"/>
    </row>
    <row r="369" spans="2:2" x14ac:dyDescent="0.15">
      <c r="B369" s="3"/>
    </row>
    <row r="370" spans="2:2" x14ac:dyDescent="0.15">
      <c r="B370" s="3"/>
    </row>
    <row r="371" spans="2:2" x14ac:dyDescent="0.15">
      <c r="B371" s="3"/>
    </row>
    <row r="372" spans="2:2" x14ac:dyDescent="0.15">
      <c r="B372" s="3"/>
    </row>
    <row r="373" spans="2:2" x14ac:dyDescent="0.15">
      <c r="B373" s="3"/>
    </row>
    <row r="374" spans="2:2" x14ac:dyDescent="0.15">
      <c r="B374" s="3"/>
    </row>
    <row r="375" spans="2:2" x14ac:dyDescent="0.15">
      <c r="B375" s="3"/>
    </row>
    <row r="376" spans="2:2" x14ac:dyDescent="0.15">
      <c r="B376" s="3"/>
    </row>
    <row r="377" spans="2:2" x14ac:dyDescent="0.15">
      <c r="B377" s="3"/>
    </row>
    <row r="378" spans="2:2" x14ac:dyDescent="0.15">
      <c r="B378" s="3"/>
    </row>
    <row r="379" spans="2:2" x14ac:dyDescent="0.15">
      <c r="B379" s="3"/>
    </row>
    <row r="380" spans="2:2" x14ac:dyDescent="0.15">
      <c r="B380" s="3"/>
    </row>
    <row r="381" spans="2:2" x14ac:dyDescent="0.15">
      <c r="B381" s="3"/>
    </row>
    <row r="382" spans="2:2" x14ac:dyDescent="0.15">
      <c r="B382" s="3"/>
    </row>
    <row r="383" spans="2:2" x14ac:dyDescent="0.15">
      <c r="B383" s="3"/>
    </row>
    <row r="384" spans="2:2" x14ac:dyDescent="0.15">
      <c r="B384" s="3"/>
    </row>
    <row r="385" spans="2:2" x14ac:dyDescent="0.15">
      <c r="B385" s="3"/>
    </row>
    <row r="386" spans="2:2" x14ac:dyDescent="0.15">
      <c r="B386" s="3"/>
    </row>
    <row r="387" spans="2:2" x14ac:dyDescent="0.15">
      <c r="B387" s="3"/>
    </row>
    <row r="388" spans="2:2" x14ac:dyDescent="0.15">
      <c r="B388" s="3"/>
    </row>
    <row r="389" spans="2:2" x14ac:dyDescent="0.15">
      <c r="B389" s="3"/>
    </row>
    <row r="390" spans="2:2" x14ac:dyDescent="0.15">
      <c r="B390" s="3"/>
    </row>
    <row r="391" spans="2:2" x14ac:dyDescent="0.15">
      <c r="B391" s="3"/>
    </row>
    <row r="392" spans="2:2" x14ac:dyDescent="0.15">
      <c r="B392" s="3"/>
    </row>
    <row r="393" spans="2:2" x14ac:dyDescent="0.15">
      <c r="B393" s="3"/>
    </row>
    <row r="394" spans="2:2" x14ac:dyDescent="0.15">
      <c r="B394" s="3"/>
    </row>
    <row r="395" spans="2:2" x14ac:dyDescent="0.15">
      <c r="B395" s="3"/>
    </row>
    <row r="396" spans="2:2" x14ac:dyDescent="0.15">
      <c r="B396" s="3"/>
    </row>
    <row r="397" spans="2:2" x14ac:dyDescent="0.15">
      <c r="B397" s="3"/>
    </row>
    <row r="398" spans="2:2" x14ac:dyDescent="0.15">
      <c r="B398" s="3"/>
    </row>
    <row r="399" spans="2:2" x14ac:dyDescent="0.15">
      <c r="B399" s="3"/>
    </row>
    <row r="400" spans="2:2" x14ac:dyDescent="0.15">
      <c r="B400" s="3"/>
    </row>
    <row r="401" spans="2:2" x14ac:dyDescent="0.15">
      <c r="B401" s="3"/>
    </row>
    <row r="402" spans="2:2" x14ac:dyDescent="0.15">
      <c r="B402" s="3"/>
    </row>
    <row r="403" spans="2:2" x14ac:dyDescent="0.15">
      <c r="B403" s="3"/>
    </row>
    <row r="404" spans="2:2" x14ac:dyDescent="0.15">
      <c r="B404" s="3"/>
    </row>
    <row r="405" spans="2:2" x14ac:dyDescent="0.15">
      <c r="B405" s="3"/>
    </row>
    <row r="406" spans="2:2" x14ac:dyDescent="0.15">
      <c r="B406" s="3"/>
    </row>
    <row r="407" spans="2:2" x14ac:dyDescent="0.15">
      <c r="B407" s="3"/>
    </row>
    <row r="408" spans="2:2" x14ac:dyDescent="0.15">
      <c r="B408" s="3"/>
    </row>
    <row r="409" spans="2:2" x14ac:dyDescent="0.15">
      <c r="B409" s="3"/>
    </row>
    <row r="410" spans="2:2" x14ac:dyDescent="0.15">
      <c r="B410" s="3"/>
    </row>
    <row r="411" spans="2:2" x14ac:dyDescent="0.15">
      <c r="B411" s="3"/>
    </row>
    <row r="412" spans="2:2" x14ac:dyDescent="0.15">
      <c r="B412" s="3"/>
    </row>
    <row r="413" spans="2:2" x14ac:dyDescent="0.15">
      <c r="B413" s="3"/>
    </row>
    <row r="414" spans="2:2" x14ac:dyDescent="0.15">
      <c r="B414" s="3"/>
    </row>
    <row r="415" spans="2:2" x14ac:dyDescent="0.15">
      <c r="B415" s="3"/>
    </row>
    <row r="416" spans="2:2" x14ac:dyDescent="0.15">
      <c r="B416" s="3"/>
    </row>
    <row r="417" spans="2:2" x14ac:dyDescent="0.15">
      <c r="B417" s="3"/>
    </row>
    <row r="418" spans="2:2" x14ac:dyDescent="0.15">
      <c r="B418" s="3"/>
    </row>
    <row r="419" spans="2:2" x14ac:dyDescent="0.15">
      <c r="B419" s="3"/>
    </row>
    <row r="420" spans="2:2" x14ac:dyDescent="0.15">
      <c r="B420" s="3"/>
    </row>
    <row r="421" spans="2:2" x14ac:dyDescent="0.15">
      <c r="B421" s="3"/>
    </row>
    <row r="422" spans="2:2" x14ac:dyDescent="0.15">
      <c r="B422" s="3"/>
    </row>
    <row r="423" spans="2:2" x14ac:dyDescent="0.15">
      <c r="B423" s="3"/>
    </row>
    <row r="424" spans="2:2" x14ac:dyDescent="0.15">
      <c r="B424" s="3"/>
    </row>
    <row r="425" spans="2:2" x14ac:dyDescent="0.15">
      <c r="B425" s="3"/>
    </row>
    <row r="426" spans="2:2" x14ac:dyDescent="0.15">
      <c r="B426" s="3"/>
    </row>
    <row r="427" spans="2:2" x14ac:dyDescent="0.15">
      <c r="B427" s="3"/>
    </row>
    <row r="428" spans="2:2" x14ac:dyDescent="0.15">
      <c r="B428" s="3"/>
    </row>
    <row r="429" spans="2:2" x14ac:dyDescent="0.15">
      <c r="B429" s="3"/>
    </row>
    <row r="430" spans="2:2" x14ac:dyDescent="0.15">
      <c r="B430" s="3"/>
    </row>
    <row r="431" spans="2:2" x14ac:dyDescent="0.15">
      <c r="B431" s="3"/>
    </row>
    <row r="432" spans="2:2" x14ac:dyDescent="0.15">
      <c r="B432" s="3"/>
    </row>
    <row r="433" spans="2:2" x14ac:dyDescent="0.15">
      <c r="B433" s="3"/>
    </row>
    <row r="434" spans="2:2" x14ac:dyDescent="0.15">
      <c r="B434" s="3"/>
    </row>
    <row r="435" spans="2:2" x14ac:dyDescent="0.15">
      <c r="B435" s="3"/>
    </row>
    <row r="436" spans="2:2" x14ac:dyDescent="0.15">
      <c r="B436" s="3"/>
    </row>
    <row r="437" spans="2:2" x14ac:dyDescent="0.15">
      <c r="B437" s="3"/>
    </row>
    <row r="438" spans="2:2" x14ac:dyDescent="0.15">
      <c r="B438" s="3"/>
    </row>
    <row r="439" spans="2:2" x14ac:dyDescent="0.15">
      <c r="B439" s="3"/>
    </row>
    <row r="440" spans="2:2" x14ac:dyDescent="0.15">
      <c r="B440" s="3"/>
    </row>
    <row r="441" spans="2:2" x14ac:dyDescent="0.15">
      <c r="B441" s="3"/>
    </row>
    <row r="442" spans="2:2" x14ac:dyDescent="0.15">
      <c r="B442" s="3"/>
    </row>
    <row r="443" spans="2:2" x14ac:dyDescent="0.15">
      <c r="B443" s="3"/>
    </row>
    <row r="444" spans="2:2" x14ac:dyDescent="0.15">
      <c r="B444" s="3"/>
    </row>
    <row r="445" spans="2:2" x14ac:dyDescent="0.15">
      <c r="B445" s="3"/>
    </row>
    <row r="446" spans="2:2" x14ac:dyDescent="0.15">
      <c r="B446" s="3"/>
    </row>
    <row r="447" spans="2:2" x14ac:dyDescent="0.15">
      <c r="B447" s="3"/>
    </row>
    <row r="448" spans="2:2" x14ac:dyDescent="0.15">
      <c r="B448" s="3"/>
    </row>
    <row r="449" spans="2:2" x14ac:dyDescent="0.15">
      <c r="B449" s="3"/>
    </row>
    <row r="450" spans="2:2" x14ac:dyDescent="0.15">
      <c r="B450" s="3"/>
    </row>
    <row r="451" spans="2:2" x14ac:dyDescent="0.15">
      <c r="B451" s="3"/>
    </row>
    <row r="452" spans="2:2" x14ac:dyDescent="0.15">
      <c r="B452" s="3"/>
    </row>
    <row r="453" spans="2:2" x14ac:dyDescent="0.15">
      <c r="B453" s="3"/>
    </row>
    <row r="454" spans="2:2" x14ac:dyDescent="0.15">
      <c r="B454" s="3"/>
    </row>
    <row r="455" spans="2:2" x14ac:dyDescent="0.15">
      <c r="B455" s="3"/>
    </row>
    <row r="456" spans="2:2" x14ac:dyDescent="0.15">
      <c r="B456" s="3"/>
    </row>
    <row r="457" spans="2:2" x14ac:dyDescent="0.15">
      <c r="B457" s="3"/>
    </row>
    <row r="458" spans="2:2" x14ac:dyDescent="0.15">
      <c r="B458" s="3"/>
    </row>
    <row r="459" spans="2:2" x14ac:dyDescent="0.15">
      <c r="B459" s="3"/>
    </row>
    <row r="460" spans="2:2" x14ac:dyDescent="0.15">
      <c r="B460" s="3"/>
    </row>
    <row r="461" spans="2:2" x14ac:dyDescent="0.15">
      <c r="B461" s="3"/>
    </row>
    <row r="462" spans="2:2" x14ac:dyDescent="0.15">
      <c r="B462" s="3"/>
    </row>
    <row r="463" spans="2:2" x14ac:dyDescent="0.15">
      <c r="B463" s="3"/>
    </row>
    <row r="464" spans="2:2" x14ac:dyDescent="0.15">
      <c r="B464" s="3"/>
    </row>
    <row r="465" spans="2:2" x14ac:dyDescent="0.15">
      <c r="B465" s="3"/>
    </row>
    <row r="466" spans="2:2" x14ac:dyDescent="0.15">
      <c r="B466" s="3"/>
    </row>
    <row r="467" spans="2:2" x14ac:dyDescent="0.15">
      <c r="B467" s="3"/>
    </row>
    <row r="468" spans="2:2" x14ac:dyDescent="0.15">
      <c r="B468" s="3"/>
    </row>
    <row r="469" spans="2:2" x14ac:dyDescent="0.15">
      <c r="B469" s="3"/>
    </row>
    <row r="470" spans="2:2" x14ac:dyDescent="0.15">
      <c r="B470" s="3"/>
    </row>
    <row r="471" spans="2:2" x14ac:dyDescent="0.15">
      <c r="B471" s="3"/>
    </row>
    <row r="472" spans="2:2" x14ac:dyDescent="0.15">
      <c r="B472" s="3"/>
    </row>
    <row r="473" spans="2:2" x14ac:dyDescent="0.15">
      <c r="B473" s="3"/>
    </row>
    <row r="474" spans="2:2" x14ac:dyDescent="0.15">
      <c r="B474" s="3"/>
    </row>
    <row r="475" spans="2:2" x14ac:dyDescent="0.15">
      <c r="B475" s="3"/>
    </row>
    <row r="476" spans="2:2" x14ac:dyDescent="0.15">
      <c r="B476" s="3"/>
    </row>
    <row r="477" spans="2:2" x14ac:dyDescent="0.15">
      <c r="B477" s="3"/>
    </row>
    <row r="478" spans="2:2" x14ac:dyDescent="0.15">
      <c r="B478" s="3"/>
    </row>
    <row r="479" spans="2:2" x14ac:dyDescent="0.15">
      <c r="B479" s="3"/>
    </row>
    <row r="480" spans="2:2" x14ac:dyDescent="0.15">
      <c r="B480" s="3"/>
    </row>
    <row r="481" spans="2:2" x14ac:dyDescent="0.15">
      <c r="B481" s="3"/>
    </row>
    <row r="482" spans="2:2" x14ac:dyDescent="0.15">
      <c r="B482" s="3"/>
    </row>
    <row r="483" spans="2:2" x14ac:dyDescent="0.15">
      <c r="B483" s="3"/>
    </row>
    <row r="484" spans="2:2" x14ac:dyDescent="0.15">
      <c r="B484" s="3"/>
    </row>
    <row r="485" spans="2:2" x14ac:dyDescent="0.15">
      <c r="B485" s="3"/>
    </row>
    <row r="486" spans="2:2" x14ac:dyDescent="0.15">
      <c r="B486" s="3"/>
    </row>
    <row r="487" spans="2:2" x14ac:dyDescent="0.15">
      <c r="B487" s="3"/>
    </row>
    <row r="488" spans="2:2" x14ac:dyDescent="0.15">
      <c r="B488" s="3"/>
    </row>
    <row r="489" spans="2:2" x14ac:dyDescent="0.15">
      <c r="B489" s="3"/>
    </row>
    <row r="490" spans="2:2" x14ac:dyDescent="0.15">
      <c r="B490" s="3"/>
    </row>
    <row r="491" spans="2:2" x14ac:dyDescent="0.15">
      <c r="B491" s="3"/>
    </row>
    <row r="492" spans="2:2" x14ac:dyDescent="0.15">
      <c r="B492" s="3"/>
    </row>
    <row r="493" spans="2:2" x14ac:dyDescent="0.15">
      <c r="B493" s="3"/>
    </row>
    <row r="494" spans="2:2" x14ac:dyDescent="0.15">
      <c r="B494" s="3"/>
    </row>
    <row r="495" spans="2:2" x14ac:dyDescent="0.15">
      <c r="B495" s="3"/>
    </row>
    <row r="496" spans="2:2" x14ac:dyDescent="0.15">
      <c r="B496" s="3"/>
    </row>
    <row r="497" spans="2:2" x14ac:dyDescent="0.15">
      <c r="B497" s="3"/>
    </row>
    <row r="498" spans="2:2" x14ac:dyDescent="0.15">
      <c r="B498" s="3"/>
    </row>
    <row r="499" spans="2:2" x14ac:dyDescent="0.15">
      <c r="B499" s="3"/>
    </row>
    <row r="500" spans="2:2" x14ac:dyDescent="0.15">
      <c r="B500" s="3"/>
    </row>
    <row r="501" spans="2:2" x14ac:dyDescent="0.15">
      <c r="B501" s="3"/>
    </row>
    <row r="502" spans="2:2" x14ac:dyDescent="0.15">
      <c r="B502" s="3"/>
    </row>
    <row r="503" spans="2:2" x14ac:dyDescent="0.15">
      <c r="B503" s="3"/>
    </row>
    <row r="504" spans="2:2" x14ac:dyDescent="0.15">
      <c r="B504" s="3"/>
    </row>
    <row r="505" spans="2:2" x14ac:dyDescent="0.15">
      <c r="B505" s="3"/>
    </row>
    <row r="506" spans="2:2" x14ac:dyDescent="0.15">
      <c r="B506" s="3"/>
    </row>
    <row r="507" spans="2:2" x14ac:dyDescent="0.15">
      <c r="B507" s="3"/>
    </row>
    <row r="508" spans="2:2" x14ac:dyDescent="0.15">
      <c r="B508" s="3"/>
    </row>
    <row r="509" spans="2:2" x14ac:dyDescent="0.15">
      <c r="B509" s="3"/>
    </row>
    <row r="510" spans="2:2" x14ac:dyDescent="0.15">
      <c r="B510" s="3"/>
    </row>
    <row r="511" spans="2:2" x14ac:dyDescent="0.15">
      <c r="B511" s="3"/>
    </row>
    <row r="512" spans="2:2" x14ac:dyDescent="0.15">
      <c r="B512" s="3"/>
    </row>
    <row r="513" spans="2:2" x14ac:dyDescent="0.15">
      <c r="B513" s="3"/>
    </row>
    <row r="514" spans="2:2" x14ac:dyDescent="0.15">
      <c r="B514" s="3"/>
    </row>
    <row r="515" spans="2:2" x14ac:dyDescent="0.15">
      <c r="B515" s="3"/>
    </row>
  </sheetData>
  <autoFilter ref="C3:T258" xr:uid="{1521C8A8-5501-4F90-8C62-C8B57684A487}">
    <filterColumn colId="1">
      <filters>
        <filter val="-0.048587385"/>
        <filter val="-0.15"/>
        <filter val="-0.161768775"/>
        <filter val="-0.2"/>
        <filter val="-0.22"/>
        <filter val="-0.23"/>
        <filter val="-0.3"/>
        <filter val="-0.342644351"/>
        <filter val="-0.36"/>
        <filter val="-0.398941371"/>
        <filter val="-0.48"/>
        <filter val="-0.51"/>
        <filter val="-0.54527568"/>
        <filter val="-0.62"/>
        <filter val="-0.65"/>
        <filter val="-0.66"/>
        <filter val="-0.72"/>
        <filter val="-0.77"/>
        <filter val="-0.79"/>
        <filter val="-0.84"/>
        <filter val="-0.85"/>
        <filter val="-0.89"/>
        <filter val="-0.92"/>
        <filter val="-1.18"/>
        <filter val="-1.21"/>
        <filter val="-1.37"/>
        <filter val="-1.4"/>
        <filter val="-1.52"/>
        <filter val="-1.55"/>
        <filter val="-1.59"/>
        <filter val="-1.72"/>
        <filter val="-1.92"/>
        <filter val="-1.93"/>
        <filter val="-11.17"/>
        <filter val="-16.34"/>
        <filter val="-2"/>
        <filter val="-2.13"/>
        <filter val="-2.19"/>
        <filter val="-2.86"/>
        <filter val="-3.01"/>
        <filter val="-3.06"/>
        <filter val="-3.6"/>
        <filter val="-4.09"/>
        <filter val="-4.26"/>
        <filter val="-4.49"/>
        <filter val="-7.59"/>
        <filter val="-8.16"/>
        <filter val="0"/>
        <filter val="0.01"/>
        <filter val="0.03"/>
        <filter val="0.08"/>
        <filter val="0.11"/>
        <filter val="0.2"/>
        <filter val="0.21"/>
        <filter val="0.215075155"/>
        <filter val="0.219638305"/>
        <filter val="0.22"/>
        <filter val="0.23"/>
        <filter val="0.26"/>
        <filter val="0.278041936"/>
        <filter val="0.31"/>
        <filter val="0.32"/>
        <filter val="0.348593421"/>
        <filter val="0.386498093"/>
        <filter val="0.389736304"/>
        <filter val="0.4"/>
        <filter val="0.43"/>
        <filter val="0.46"/>
        <filter val="0.486985505"/>
        <filter val="0.51"/>
        <filter val="0.52"/>
        <filter val="0.53"/>
        <filter val="0.540032662"/>
        <filter val="0.540254419"/>
        <filter val="0.68"/>
        <filter val="0.75"/>
        <filter val="0.754196589"/>
        <filter val="0.76"/>
        <filter val="0.77"/>
        <filter val="0.780066297"/>
        <filter val="0.82"/>
        <filter val="0.85"/>
        <filter val="0.862818319"/>
        <filter val="0.94"/>
        <filter val="0.975901991"/>
        <filter val="1"/>
        <filter val="1.048073161"/>
        <filter val="1.05"/>
        <filter val="1.06"/>
        <filter val="1.11"/>
        <filter val="1.14"/>
        <filter val="1.17"/>
        <filter val="1.18"/>
        <filter val="1.233227721"/>
        <filter val="1.238237963"/>
        <filter val="1.262342837"/>
        <filter val="1.3"/>
        <filter val="1.38"/>
        <filter val="1.49"/>
        <filter val="1.515722521"/>
        <filter val="1.57"/>
        <filter val="1.586672694"/>
        <filter val="1.59"/>
        <filter val="1.6"/>
        <filter val="1.68"/>
        <filter val="1.680579959"/>
        <filter val="1.703748269"/>
        <filter val="1.734635691"/>
        <filter val="1.75"/>
        <filter val="1.78"/>
        <filter val="1.79"/>
        <filter val="1.8"/>
        <filter val="1.85"/>
        <filter val="1.86"/>
        <filter val="1.89"/>
        <filter val="1.946998335"/>
        <filter val="1.9488985"/>
        <filter val="1.96"/>
        <filter val="1.97"/>
        <filter val="10.03"/>
        <filter val="11.91"/>
        <filter val="15.14"/>
        <filter val="2.011813373"/>
        <filter val="2.04"/>
        <filter val="2.05"/>
        <filter val="2.07"/>
        <filter val="2.09"/>
        <filter val="2.15"/>
        <filter val="2.179400991"/>
        <filter val="2.18"/>
        <filter val="2.19"/>
        <filter val="2.22"/>
        <filter val="2.24"/>
        <filter val="2.255300859"/>
        <filter val="2.277612191"/>
        <filter val="2.368059127"/>
        <filter val="2.42"/>
        <filter val="2.44"/>
        <filter val="2.46"/>
        <filter val="2.47"/>
        <filter val="2.49"/>
        <filter val="2.519809936"/>
        <filter val="2.54"/>
        <filter val="2.69"/>
        <filter val="2.7"/>
        <filter val="2.74"/>
        <filter val="2.77"/>
        <filter val="2.78"/>
        <filter val="2.79"/>
        <filter val="2.86"/>
        <filter val="2.87"/>
        <filter val="2.885201708"/>
        <filter val="2.90959935"/>
        <filter val="2.91"/>
        <filter val="2.930156931"/>
        <filter val="3.010124131"/>
        <filter val="3.09"/>
        <filter val="3.103903266"/>
        <filter val="3.14"/>
        <filter val="3.16"/>
        <filter val="3.22"/>
        <filter val="3.25"/>
        <filter val="3.26"/>
        <filter val="3.28"/>
        <filter val="3.352449853"/>
        <filter val="3.47"/>
        <filter val="3.49"/>
        <filter val="3.5"/>
        <filter val="3.51"/>
        <filter val="3.54"/>
        <filter val="3.58"/>
        <filter val="3.6"/>
        <filter val="3.62"/>
        <filter val="3.7"/>
        <filter val="3.73"/>
        <filter val="3.75"/>
        <filter val="3.77"/>
        <filter val="3.78"/>
        <filter val="3.79"/>
        <filter val="3.93"/>
        <filter val="4.04"/>
        <filter val="4.17"/>
        <filter val="4.19"/>
        <filter val="4.28"/>
        <filter val="4.33"/>
        <filter val="4.4"/>
        <filter val="4.51"/>
        <filter val="4.52"/>
        <filter val="4.54"/>
        <filter val="4.58"/>
        <filter val="4.6"/>
        <filter val="4.79"/>
        <filter val="4.83"/>
        <filter val="4.84"/>
        <filter val="4.85"/>
        <filter val="4.89"/>
        <filter val="4.93"/>
        <filter val="5.22"/>
        <filter val="5.34"/>
        <filter val="5.43"/>
        <filter val="5.95"/>
        <filter val="6.42"/>
        <filter val="6.45"/>
        <filter val="6.66"/>
        <filter val="6.78"/>
        <filter val="7.06"/>
        <filter val="7.07"/>
        <filter val="7.09"/>
        <filter val="7.23"/>
        <filter val="7.39"/>
        <filter val="7.43"/>
        <filter val="7.5"/>
        <filter val="7.59"/>
        <filter val="7.71"/>
        <filter val="7.79"/>
        <filter val="7.91"/>
        <filter val="8.02"/>
        <filter val="8.06"/>
        <filter val="8.29"/>
        <filter val="8.34"/>
        <filter val="8.79"/>
        <filter val="9.13"/>
        <filter val="9.63"/>
        <filter val="9.69"/>
      </filters>
    </filterColumn>
    <filterColumn colId="2">
      <filters>
        <filter val="1822.91"/>
        <filter val="1867.46"/>
        <filter val="1879.5"/>
        <filter val="1881.87"/>
        <filter val="1883.34"/>
        <filter val="1912.48"/>
        <filter val="1916.75"/>
        <filter val="1925.13"/>
        <filter val="1930.71"/>
        <filter val="1934.25"/>
        <filter val="1944.72"/>
        <filter val="1944.83"/>
        <filter val="1953.49"/>
        <filter val="1960.69"/>
        <filter val="1962.4"/>
        <filter val="1973.96"/>
        <filter val="1979.14"/>
        <filter val="1994.58"/>
        <filter val="1995.9"/>
        <filter val="2002.41"/>
        <filter val="2010.98"/>
        <filter val="2016.71"/>
        <filter val="2020.23"/>
        <filter val="2032.75"/>
        <filter val="2036.96"/>
        <filter val="2039.77"/>
        <filter val="2051.63"/>
        <filter val="2053.81"/>
        <filter val="2056.89"/>
        <filter val="2068.76"/>
        <filter val="2077.19"/>
        <filter val="2081.15"/>
        <filter val="2093.09"/>
        <filter val="2093.86"/>
        <filter val="2098.77"/>
        <filter val="2102.94"/>
        <filter val="2104.99"/>
        <filter val="2105.99"/>
        <filter val="2109.74"/>
        <filter val="2128.21"/>
        <filter val="2131.91"/>
        <filter val="2143.99"/>
        <filter val="2159.96"/>
        <filter val="2161.17"/>
        <filter val="2162.19"/>
        <filter val="2169.26"/>
        <filter val="2175.16"/>
        <filter val="2195.19"/>
        <filter val="2197.12"/>
        <filter val="2207.41"/>
        <filter val="2213.93"/>
        <filter val="2226.61"/>
        <filter val="2232.66"/>
        <filter val="2237.53"/>
        <filter val="2247.82"/>
        <filter val="2249.68"/>
        <filter val="2255.12"/>
        <filter val="2255.27"/>
        <filter val="2262.38"/>
        <filter val="2266.05"/>
        <filter val="2267.92"/>
        <filter val="2275.05"/>
        <filter val="2279.76"/>
        <filter val="2281.23"/>
        <filter val="2281.84"/>
        <filter val="2285.53"/>
        <filter val="2286.33"/>
        <filter val="2288.84"/>
        <filter val="2289.47"/>
        <filter val="2292.72"/>
        <filter val="2293.22"/>
        <filter val="2294.6"/>
        <filter val="2295.26"/>
        <filter val="2295.34"/>
        <filter val="2295.95"/>
        <filter val="2301.49"/>
        <filter val="2306.57"/>
        <filter val="2311.69"/>
        <filter val="2316.38"/>
        <filter val="2321.82"/>
        <filter val="2326.94"/>
        <filter val="2331.61"/>
        <filter val="2342.97"/>
        <filter val="2344.79"/>
        <filter val="2345.26"/>
        <filter val="2345.38"/>
        <filter val="2345.85"/>
        <filter val="2346.43"/>
        <filter val="2347.17"/>
        <filter val="2360.26"/>
        <filter val="2365.69"/>
        <filter val="2372.67"/>
        <filter val="2392.5"/>
        <filter val="2401.11"/>
        <filter val="2403.02"/>
        <filter val="2403.47"/>
        <filter val="2406.5"/>
        <filter val="2426.8"/>
        <filter val="2431.29"/>
        <filter val="2444.45"/>
        <filter val="2450.9"/>
        <filter val="2473.61"/>
        <filter val="2475.36"/>
        <filter val="2476.73"/>
        <filter val="2478.01"/>
        <filter val="2488.63"/>
        <filter val="2490.16"/>
        <filter val="2492.7"/>
        <filter val="2497.1"/>
        <filter val="2498.23"/>
        <filter val="2502.82"/>
        <filter val="2521.7"/>
        <filter val="2534.97"/>
        <filter val="2540.99"/>
        <filter val="2559.72"/>
        <filter val="2562.03"/>
        <filter val="2563.72"/>
        <filter val="2572.23"/>
        <filter val="2577.48"/>
        <filter val="2580.95"/>
        <filter val="2593.91"/>
        <filter val="2615.2"/>
        <filter val="2641.55"/>
        <filter val="2660.74"/>
        <filter val="2665.33"/>
        <filter val="2674.9"/>
        <filter val="2679.71"/>
        <filter val="2690.59"/>
        <filter val="2692.55"/>
        <filter val="2700.57"/>
        <filter val="2708.07"/>
        <filter val="2709.38"/>
        <filter val="2715.68"/>
        <filter val="2719.51"/>
        <filter val="2729.61"/>
        <filter val="2734.83"/>
        <filter val="2739.28"/>
        <filter val="2740.04"/>
        <filter val="2752.91"/>
        <filter val="2757.98"/>
        <filter val="2758.67"/>
        <filter val="2761.23"/>
        <filter val="2761.74"/>
        <filter val="2765.85"/>
        <filter val="2774.79"/>
        <filter val="2777.58"/>
        <filter val="2785.08"/>
        <filter val="2791.74"/>
        <filter val="2792.74"/>
        <filter val="2796.41"/>
        <filter val="2797.55"/>
        <filter val="2799.54"/>
        <filter val="2800.94"/>
        <filter val="2801.66"/>
        <filter val="2816.7"/>
        <filter val="2834.09"/>
        <filter val="2835.35"/>
        <filter val="2852.42"/>
        <filter val="2863.12"/>
        <filter val="2873.41"/>
        <filter val="2895.62"/>
        <filter val="2896.83"/>
        <filter val="2910.51"/>
        <filter val="2911.57"/>
        <filter val="2921.55"/>
        <filter val="2928.76"/>
        <filter val="2930.4"/>
        <filter val="2934.82"/>
        <filter val="2947.68"/>
        <filter val="2951.79"/>
        <filter val="2972.35"/>
        <filter val="2973.19"/>
        <filter val="2980.17"/>
        <filter val="2995.61"/>
        <filter val="2996.63"/>
        <filter val="3015.93"/>
        <filter val="3025.22"/>
        <filter val="3050.47"/>
        <filter val="3051.04"/>
        <filter val="3061.99"/>
        <filter val="3076.37"/>
        <filter val="3076.65"/>
        <filter val="3087.63"/>
        <filter val="3096.88"/>
        <filter val="3106.03"/>
        <filter val="3123.66"/>
        <filter val="3142.68"/>
        <filter val="3146.2"/>
        <filter val="3184.72"/>
        <filter val="3196.88"/>
        <filter val="3273.75"/>
        <filter val="3276.58"/>
        <filter val="3277.08"/>
        <filter val="3346.64"/>
        <filter val="3382.92"/>
        <filter val="3392.73"/>
        <filter val="3414.13"/>
        <filter val="3427.08"/>
        <filter val="3450.95"/>
        <filter val="3454.82"/>
        <filter val="3457.68"/>
        <filter val="3475.26"/>
        <filter val="3486.03"/>
        <filter val="3489.83"/>
        <filter val="3539.5"/>
        <filter val="3544"/>
        <filter val="3597.17"/>
        <filter val="3598.44"/>
        <filter val="3637.6"/>
        <filter val="3660.48"/>
        <filter val="3682.69"/>
        <filter val="3730.55"/>
        <filter val="3734.54"/>
        <filter val="3770.15"/>
        <filter val="3771.58"/>
        <filter val="3802.95"/>
        <filter val="3805.36"/>
        <filter val="3807.43"/>
        <filter val="3831.84"/>
        <filter val="3832.7"/>
        <filter val="3841.53"/>
        <filter val="3855.31"/>
        <filter val="3865.42"/>
        <filter val="3873"/>
        <filter val="3887.38"/>
        <filter val="4001.7"/>
        <filter val="4002.66"/>
        <filter val="4016.47"/>
        <filter val="4035.17"/>
        <filter val="4038.23"/>
        <filter val="4086.99"/>
        <filter val="4121.66"/>
        <filter val="4150"/>
        <filter val="4174.76"/>
        <filter val="4196.96"/>
        <filter val="4238"/>
        <filter val="4261.82"/>
      </filters>
    </filterColumn>
    <filterColumn colId="3">
      <filters>
        <filter val="14.8"/>
        <filter val="16.23"/>
        <filter val="17.34"/>
        <filter val="17.77"/>
        <filter val="18.38"/>
        <filter val="18.41"/>
        <filter val="18.62"/>
        <filter val="18.75"/>
        <filter val="18.85"/>
        <filter val="18.89"/>
        <filter val="19.08"/>
        <filter val="19.17"/>
        <filter val="19.18"/>
        <filter val="19.36"/>
        <filter val="19.39"/>
        <filter val="19.455"/>
        <filter val="19.5"/>
        <filter val="19.58"/>
        <filter val="19.69"/>
        <filter val="19.71"/>
        <filter val="19.84"/>
        <filter val="19.92"/>
        <filter val="19.96"/>
        <filter val="19.98"/>
        <filter val="20"/>
        <filter val="20.03"/>
        <filter val="20.06"/>
        <filter val="20.12"/>
        <filter val="20.14"/>
        <filter val="20.18"/>
        <filter val="20.21"/>
        <filter val="20.23"/>
        <filter val="20.26"/>
        <filter val="20.29"/>
        <filter val="20.31"/>
        <filter val="20.32"/>
        <filter val="20.37"/>
        <filter val="20.38"/>
        <filter val="20.44"/>
        <filter val="20.45"/>
        <filter val="20.46"/>
        <filter val="20.47"/>
        <filter val="20.51"/>
        <filter val="20.56"/>
        <filter val="20.6"/>
        <filter val="20.61"/>
        <filter val="20.62"/>
        <filter val="20.67"/>
        <filter val="20.7"/>
        <filter val="20.71"/>
        <filter val="20.73"/>
        <filter val="20.74"/>
        <filter val="20.76"/>
        <filter val="20.85"/>
        <filter val="20.86"/>
        <filter val="20.87"/>
        <filter val="20.88"/>
        <filter val="20.89"/>
        <filter val="20.9"/>
        <filter val="20.95"/>
        <filter val="21"/>
        <filter val="21.01"/>
        <filter val="21.02"/>
        <filter val="21.04"/>
        <filter val="21.08"/>
        <filter val="21.11"/>
        <filter val="21.12"/>
        <filter val="21.14"/>
        <filter val="21.16"/>
        <filter val="21.17"/>
        <filter val="21.19"/>
        <filter val="21.2"/>
        <filter val="21.21"/>
        <filter val="21.22"/>
        <filter val="21.23"/>
        <filter val="21.24"/>
        <filter val="21.27"/>
        <filter val="21.29"/>
        <filter val="21.35"/>
        <filter val="21.37"/>
        <filter val="21.4"/>
        <filter val="21.42"/>
        <filter val="21.43"/>
        <filter val="21.44"/>
        <filter val="21.45"/>
        <filter val="21.46"/>
        <filter val="21.47"/>
        <filter val="21.5"/>
        <filter val="21.52"/>
        <filter val="21.56"/>
        <filter val="21.57"/>
        <filter val="21.59"/>
        <filter val="21.63"/>
        <filter val="21.64"/>
        <filter val="21.67"/>
        <filter val="21.71"/>
        <filter val="21.73"/>
        <filter val="21.74"/>
        <filter val="21.78"/>
        <filter val="21.79"/>
        <filter val="21.8"/>
        <filter val="21.81"/>
        <filter val="21.83"/>
        <filter val="21.87"/>
        <filter val="21.9"/>
        <filter val="21.93"/>
        <filter val="21.95"/>
        <filter val="21.99"/>
        <filter val="22.05"/>
        <filter val="22.08"/>
        <filter val="22.13"/>
        <filter val="22.26"/>
        <filter val="22.27"/>
        <filter val="22.28"/>
        <filter val="22.29"/>
        <filter val="22.32"/>
        <filter val="22.37"/>
        <filter val="22.38"/>
        <filter val="22.44"/>
        <filter val="22.48"/>
        <filter val="22.5"/>
        <filter val="22.51"/>
        <filter val="22.56"/>
        <filter val="22.57"/>
        <filter val="22.59"/>
        <filter val="22.66"/>
        <filter val="22.69"/>
        <filter val="22.79"/>
        <filter val="22.81"/>
        <filter val="22.92"/>
        <filter val="22.98"/>
        <filter val="22.99"/>
        <filter val="23.02"/>
        <filter val="23.07"/>
        <filter val="23.25"/>
        <filter val="23.3"/>
        <filter val="23.31"/>
        <filter val="23.34"/>
        <filter val="23.43"/>
        <filter val="23.48"/>
        <filter val="23.5"/>
        <filter val="23.61"/>
        <filter val="23.63"/>
        <filter val="23.64"/>
        <filter val="23.65"/>
        <filter val="23.66"/>
        <filter val="23.85"/>
        <filter val="23.92"/>
        <filter val="24.11"/>
        <filter val="24.18"/>
        <filter val="24.47"/>
        <filter val="24.6"/>
        <filter val="24.63"/>
        <filter val="24.67"/>
        <filter val="24.73"/>
        <filter val="24.75"/>
        <filter val="24.79"/>
        <filter val="24.93"/>
        <filter val="24.97"/>
        <filter val="25"/>
        <filter val="25.06"/>
        <filter val="25.1"/>
        <filter val="25.41"/>
        <filter val="25.49"/>
        <filter val="25.54"/>
        <filter val="25.58"/>
        <filter val="25.59"/>
        <filter val="25.7"/>
        <filter val="25.79"/>
        <filter val="25.86"/>
        <filter val="25.89"/>
        <filter val="25.95"/>
        <filter val="26"/>
        <filter val="26.01"/>
        <filter val="26.31"/>
        <filter val="26.57"/>
        <filter val="26.66"/>
        <filter val="26.78"/>
        <filter val="27.25"/>
        <filter val="27.395"/>
        <filter val="27.47"/>
        <filter val="28.13"/>
        <filter val="28.18"/>
        <filter val="28.32"/>
        <filter val="28.4"/>
        <filter val="28.77"/>
        <filter val="28.81"/>
        <filter val="28.83"/>
        <filter val="28.9"/>
        <filter val="28.95"/>
        <filter val="29.12"/>
        <filter val="29.27"/>
        <filter val="29.32"/>
        <filter val="29.34"/>
        <filter val="29.5"/>
        <filter val="29.81"/>
        <filter val="29.92"/>
        <filter val="30.02"/>
        <filter val="30.13"/>
        <filter val="30.18"/>
        <filter val="30.42"/>
        <filter val="31.27"/>
        <filter val="31.93"/>
        <filter val="31.99"/>
        <filter val="32"/>
        <filter val="32.64"/>
        <filter val="32.67"/>
      </filters>
    </filterColumn>
    <filterColumn colId="4">
      <filters>
        <filter val="-0.05"/>
        <filter val="-0.1"/>
        <filter val="-0.2"/>
        <filter val="-0.25"/>
        <filter val="-0.3"/>
        <filter val="-0.35"/>
        <filter val="-0.45"/>
        <filter val="-0.5"/>
        <filter val="-0.55"/>
        <filter val="-0.6"/>
        <filter val="-0.65"/>
        <filter val="-0.7"/>
        <filter val="-0.75"/>
        <filter val="-0.85"/>
        <filter val="-0.9"/>
        <filter val="-0.95"/>
        <filter val="-1"/>
        <filter val="-1.05"/>
        <filter val="-1.1"/>
        <filter val="-1.15"/>
        <filter val="-1.2"/>
        <filter val="-1.25"/>
        <filter val="-1.3"/>
        <filter val="-1.35"/>
        <filter val="-1.4"/>
        <filter val="-1.45"/>
        <filter val="-1.5"/>
        <filter val="-1.55"/>
        <filter val="-1.6"/>
        <filter val="-1.65"/>
        <filter val="-1.7"/>
        <filter val="-1.75"/>
        <filter val="-1.8"/>
        <filter val="-1.9"/>
        <filter val="-1.95"/>
        <filter val="-2"/>
        <filter val="-2.05"/>
        <filter val="-2.1"/>
        <filter val="-2.13"/>
        <filter val="-2.15"/>
        <filter val="-2.2"/>
        <filter val="-2.25"/>
        <filter val="-2.3"/>
        <filter val="-2.35"/>
        <filter val="-2.4"/>
        <filter val="-2.45"/>
        <filter val="-2.5"/>
        <filter val="-2.55"/>
        <filter val="-2.6"/>
        <filter val="-2.65"/>
        <filter val="-2.7"/>
        <filter val="-2.8"/>
        <filter val="-2.85"/>
        <filter val="-2.9"/>
        <filter val="-2.95"/>
        <filter val="-3.05"/>
        <filter val="-3.1"/>
        <filter val="-3.15"/>
        <filter val="-3.2"/>
        <filter val="-3.25"/>
        <filter val="-3.4"/>
        <filter val="-3.5"/>
        <filter val="-4.2"/>
        <filter val="-4.3"/>
        <filter val="-4.35"/>
        <filter val="-4.55"/>
        <filter val="0"/>
        <filter val="0.05"/>
        <filter val="0.1"/>
        <filter val="0.13"/>
        <filter val="0.2"/>
        <filter val="0.25"/>
        <filter val="0.35"/>
        <filter val="0.4"/>
        <filter val="0.45"/>
        <filter val="0.5"/>
        <filter val="0.7"/>
        <filter val="0.75"/>
        <filter val="0.8"/>
        <filter val="0.9"/>
        <filter val="1.05"/>
        <filter val="1.4"/>
        <filter val="1.55"/>
        <filter val="1.7"/>
        <filter val="1.95"/>
      </filters>
    </filterColumn>
  </autoFilter>
  <mergeCells count="2">
    <mergeCell ref="I2:N2"/>
    <mergeCell ref="O2:T2"/>
  </mergeCells>
  <pageMargins left="0.7" right="0.7" top="0.75" bottom="0.75" header="0.3" footer="0.3"/>
  <pageSetup paperSize="9" orientation="portrait" horizontalDpi="0" verticalDpi="0"/>
  <ignoredErrors>
    <ignoredError sqref="N8 N18:T18 N45:T45 N63:T63 N68:T68 N86:T86 N99:T99 N107:T107 N117:T117 N123:T123 N126:T126 N128:T128 N155:T155 N174:T174 N177:T178 N183:T183 N186:T186 N211:T212 N225:T225 I225:M225 I211:M212 I186:M186 I183:M183 I177:M178 I174:M174 I155:M155 I128:M128 I126:M126 I123:M123 I117:M117 I107:M107 I99:M99 I86:M86 I68:M68 I63:M63 I45:M45 I18:M18 J8:M8 I9:M17 I8 I19:M44 I46:M62 I64:M67 I69:M85 I87:M98 I100:M106 I108:M116 I118:M122 I124:M125 I127:M127 I129:M154 I156:M173 I175:M176 I179:M182 I184:M185 I187:M210 I213:M224 I226:M258 N228:N258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4208-E88D-4D44-B8E1-2AA2827F1E78}">
  <dimension ref="A1:Q268"/>
  <sheetViews>
    <sheetView showGridLines="0" zoomScale="90" zoomScaleNormal="90" workbookViewId="0">
      <selection activeCell="B2" sqref="B2"/>
    </sheetView>
  </sheetViews>
  <sheetFormatPr baseColWidth="10" defaultColWidth="8.83203125" defaultRowHeight="14" x14ac:dyDescent="0.15"/>
  <cols>
    <col min="1" max="1" width="10.6640625" customWidth="1"/>
    <col min="2" max="2" width="11.33203125" customWidth="1"/>
    <col min="3" max="3" width="18" customWidth="1"/>
    <col min="4" max="4" width="9.5" customWidth="1"/>
    <col min="5" max="5" width="13.1640625" customWidth="1"/>
    <col min="6" max="6" width="14.6640625" customWidth="1"/>
    <col min="7" max="7" width="14.5" customWidth="1"/>
    <col min="9" max="9" width="17.83203125" customWidth="1"/>
    <col min="10" max="10" width="22" customWidth="1"/>
    <col min="11" max="11" width="14.5" customWidth="1"/>
    <col min="12" max="12" width="12.6640625" customWidth="1"/>
    <col min="13" max="13" width="11.83203125" customWidth="1"/>
    <col min="14" max="14" width="13.33203125" customWidth="1"/>
    <col min="15" max="15" width="11.83203125" customWidth="1"/>
    <col min="16" max="16" width="12.6640625" customWidth="1"/>
    <col min="17" max="17" width="12.5" customWidth="1"/>
  </cols>
  <sheetData>
    <row r="1" spans="1:14" x14ac:dyDescent="0.15">
      <c r="B1" s="38" t="s">
        <v>42</v>
      </c>
      <c r="C1" s="38"/>
      <c r="D1" s="38"/>
      <c r="E1" s="38"/>
      <c r="F1" s="38"/>
      <c r="G1" s="38"/>
    </row>
    <row r="2" spans="1:14" x14ac:dyDescent="0.15">
      <c r="A2" s="13"/>
      <c r="B2" s="19" t="s">
        <v>3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</row>
    <row r="3" spans="1:14" x14ac:dyDescent="0.15">
      <c r="A3" s="17">
        <v>42741</v>
      </c>
      <c r="I3" t="s">
        <v>6</v>
      </c>
    </row>
    <row r="4" spans="1:14" ht="15" thickBot="1" x14ac:dyDescent="0.2">
      <c r="A4" s="17">
        <v>42748</v>
      </c>
      <c r="B4" s="5">
        <v>-2.0440528634361188E-2</v>
      </c>
      <c r="C4" s="5">
        <v>-3.2708475885078898</v>
      </c>
      <c r="D4" s="5">
        <v>-8.4645856011706933E-3</v>
      </c>
      <c r="E4" s="5">
        <v>-3.2527881040892437E-3</v>
      </c>
      <c r="F4" s="5">
        <v>-0.18000000000000005</v>
      </c>
      <c r="G4" s="5">
        <v>6.374236733922034E-2</v>
      </c>
    </row>
    <row r="5" spans="1:14" x14ac:dyDescent="0.15">
      <c r="A5" s="17">
        <v>42755</v>
      </c>
      <c r="B5" s="5">
        <v>-1.7988846914912537E-3</v>
      </c>
      <c r="C5" s="5">
        <v>-0.68786444564856231</v>
      </c>
      <c r="D5" s="5">
        <v>-1.6048724711756113E-2</v>
      </c>
      <c r="E5" s="5">
        <v>-1.7249417249417309E-2</v>
      </c>
      <c r="F5" s="5">
        <v>-0.26829268292682917</v>
      </c>
      <c r="G5" s="5">
        <v>-6.9577381799054261E-2</v>
      </c>
      <c r="I5" s="9" t="s">
        <v>7</v>
      </c>
      <c r="J5" s="9"/>
    </row>
    <row r="6" spans="1:14" x14ac:dyDescent="0.15">
      <c r="A6" s="17">
        <v>42762</v>
      </c>
      <c r="B6" s="5">
        <v>-5.4063795278425086E-4</v>
      </c>
      <c r="C6" s="5">
        <v>-9.8072080267676665E-2</v>
      </c>
      <c r="D6" s="5">
        <v>4.9116650308339116E-2</v>
      </c>
      <c r="E6" s="5">
        <v>4.743833017077792E-2</v>
      </c>
      <c r="F6" s="5">
        <v>6.6666666666666652E-2</v>
      </c>
      <c r="G6" s="5">
        <v>-3.2640243025142679E-2</v>
      </c>
      <c r="I6" t="s">
        <v>8</v>
      </c>
      <c r="J6">
        <v>0.11680732309450427</v>
      </c>
    </row>
    <row r="7" spans="1:14" x14ac:dyDescent="0.15">
      <c r="A7" s="17">
        <v>42769</v>
      </c>
      <c r="B7" s="5">
        <v>2.2719076812116823E-2</v>
      </c>
      <c r="C7" s="5">
        <v>-0.36992986164245478</v>
      </c>
      <c r="D7" s="5">
        <v>-1.7404735111758329E-2</v>
      </c>
      <c r="E7" s="5">
        <v>-1.26811594202898E-2</v>
      </c>
      <c r="F7" s="5">
        <v>9.375E-2</v>
      </c>
      <c r="G7" s="5">
        <v>0.15472414485550567</v>
      </c>
      <c r="I7" t="s">
        <v>9</v>
      </c>
      <c r="J7" s="35">
        <v>1.364395072850391E-2</v>
      </c>
    </row>
    <row r="8" spans="1:14" x14ac:dyDescent="0.15">
      <c r="A8" s="17">
        <v>42776</v>
      </c>
      <c r="B8" s="5">
        <v>-1.939351198871675E-3</v>
      </c>
      <c r="C8" s="5">
        <v>3.4432231026368552</v>
      </c>
      <c r="D8" s="5">
        <v>-2.8931874014757941E-2</v>
      </c>
      <c r="E8" s="5">
        <v>-3.2110091743119407E-3</v>
      </c>
      <c r="F8" s="5">
        <v>0.25714285714285734</v>
      </c>
      <c r="G8" s="5">
        <v>-4.1196487061209153E-2</v>
      </c>
      <c r="I8" t="s">
        <v>10</v>
      </c>
      <c r="J8">
        <v>-7.6137227471748843E-3</v>
      </c>
    </row>
    <row r="9" spans="1:14" x14ac:dyDescent="0.15">
      <c r="A9" s="17">
        <v>42783</v>
      </c>
      <c r="B9" s="5">
        <v>-1.5721603956898034E-2</v>
      </c>
      <c r="C9" s="5">
        <v>-0.60063991302995512</v>
      </c>
      <c r="D9" s="5">
        <v>-1.5715547662323859E-2</v>
      </c>
      <c r="E9" s="5">
        <v>-2.3469857340082889E-2</v>
      </c>
      <c r="F9" s="5">
        <v>-0.13636363636363646</v>
      </c>
      <c r="G9" s="5">
        <v>0.17402808976503037</v>
      </c>
      <c r="I9" t="s">
        <v>11</v>
      </c>
      <c r="J9">
        <v>0.25690312502052037</v>
      </c>
    </row>
    <row r="10" spans="1:14" ht="15" thickBot="1" x14ac:dyDescent="0.2">
      <c r="A10" s="17">
        <v>42790</v>
      </c>
      <c r="B10" s="5">
        <v>5.7430007178751463E-3</v>
      </c>
      <c r="C10" s="5">
        <v>0.38620501466037416</v>
      </c>
      <c r="D10" s="5">
        <v>-1.6502130898736422E-2</v>
      </c>
      <c r="E10" s="5">
        <v>-2.3091423185673809E-2</v>
      </c>
      <c r="F10" s="5">
        <v>0.31578947368421062</v>
      </c>
      <c r="G10" s="5">
        <v>0.10639211379737912</v>
      </c>
      <c r="I10" s="7" t="s">
        <v>12</v>
      </c>
      <c r="J10" s="7">
        <v>238</v>
      </c>
    </row>
    <row r="11" spans="1:14" x14ac:dyDescent="0.15">
      <c r="A11" s="17">
        <v>42797</v>
      </c>
      <c r="B11" s="5">
        <v>-5.8886509635973638E-3</v>
      </c>
      <c r="C11" s="5">
        <v>-1.0899342666922267</v>
      </c>
      <c r="D11" s="5">
        <v>-1.7295004037093609E-2</v>
      </c>
      <c r="E11" s="5">
        <v>-8.2006753497347873E-3</v>
      </c>
      <c r="F11" s="5">
        <v>-0.19999999999999996</v>
      </c>
      <c r="G11" s="5">
        <v>-0.24107527078096325</v>
      </c>
    </row>
    <row r="12" spans="1:14" ht="15" thickBot="1" x14ac:dyDescent="0.2">
      <c r="A12" s="17">
        <v>42804</v>
      </c>
      <c r="B12" s="5">
        <v>-7.9698438341410882E-2</v>
      </c>
      <c r="C12" s="5">
        <v>-6.722512870367483</v>
      </c>
      <c r="D12" s="5">
        <v>-4.0318150217075188E-2</v>
      </c>
      <c r="E12" s="5">
        <v>-5.1556420233462963E-2</v>
      </c>
      <c r="F12" s="5">
        <v>2.4999999999999911E-2</v>
      </c>
      <c r="G12" s="5">
        <v>-6.3629395628308716E-2</v>
      </c>
      <c r="I12" t="s">
        <v>13</v>
      </c>
    </row>
    <row r="13" spans="1:14" x14ac:dyDescent="0.15">
      <c r="A13" s="17">
        <v>42811</v>
      </c>
      <c r="B13" s="5">
        <v>7.8018334308562753E-3</v>
      </c>
      <c r="C13" s="5">
        <v>2.1031949043830567</v>
      </c>
      <c r="D13" s="5">
        <v>3.1915540335163861E-2</v>
      </c>
      <c r="E13" s="5">
        <v>7.128205128205134E-2</v>
      </c>
      <c r="F13" s="5">
        <v>9.7560975609756184E-2</v>
      </c>
      <c r="G13" s="5">
        <v>0.30493137389590363</v>
      </c>
      <c r="I13" s="8"/>
      <c r="J13" s="8" t="s">
        <v>18</v>
      </c>
      <c r="K13" s="8" t="s">
        <v>19</v>
      </c>
      <c r="L13" s="8" t="s">
        <v>20</v>
      </c>
      <c r="M13" s="8" t="s">
        <v>21</v>
      </c>
      <c r="N13" s="8" t="s">
        <v>22</v>
      </c>
    </row>
    <row r="14" spans="1:14" x14ac:dyDescent="0.15">
      <c r="A14" s="17">
        <v>42818</v>
      </c>
      <c r="B14" s="5">
        <v>-1.3547513063673411E-2</v>
      </c>
      <c r="C14" s="5">
        <v>-0.12589177536922458</v>
      </c>
      <c r="D14" s="5">
        <v>1.3795067158903773E-3</v>
      </c>
      <c r="E14" s="5">
        <v>2.872187649592961E-3</v>
      </c>
      <c r="F14" s="5">
        <v>0.24444444444444446</v>
      </c>
      <c r="G14" s="5">
        <v>-9.9694088146233595E-2</v>
      </c>
      <c r="I14" t="s">
        <v>14</v>
      </c>
      <c r="J14">
        <v>5</v>
      </c>
      <c r="K14">
        <v>0.21180352765667543</v>
      </c>
      <c r="L14">
        <v>4.2360705531335086E-2</v>
      </c>
      <c r="M14">
        <v>0.64183649937582055</v>
      </c>
      <c r="N14">
        <v>0.66799640931371806</v>
      </c>
    </row>
    <row r="15" spans="1:14" x14ac:dyDescent="0.15">
      <c r="A15" s="17">
        <v>42825</v>
      </c>
      <c r="B15" s="5">
        <v>3.472630959387879E-2</v>
      </c>
      <c r="C15" s="5">
        <v>-0.35429898238375612</v>
      </c>
      <c r="D15" s="5">
        <v>-2.1507326806453619E-2</v>
      </c>
      <c r="E15" s="5">
        <v>-1.3365155131264794E-2</v>
      </c>
      <c r="F15" s="5">
        <v>-3.5714285714285587E-2</v>
      </c>
      <c r="G15" s="5">
        <v>4.9202239693840744E-2</v>
      </c>
      <c r="I15" t="s">
        <v>15</v>
      </c>
      <c r="J15">
        <v>232</v>
      </c>
      <c r="K15">
        <v>15.311818029711713</v>
      </c>
      <c r="L15">
        <v>6.5999215645309112E-2</v>
      </c>
    </row>
    <row r="16" spans="1:14" ht="15" thickBot="1" x14ac:dyDescent="0.2">
      <c r="A16" s="17">
        <v>42832</v>
      </c>
      <c r="B16" s="5">
        <v>4.778156996587013E-2</v>
      </c>
      <c r="C16" s="5">
        <v>1.5921569000292934</v>
      </c>
      <c r="D16" s="5">
        <v>1.2189989478430752E-2</v>
      </c>
      <c r="E16" s="5">
        <v>-3.3865505563619447E-3</v>
      </c>
      <c r="F16" s="5">
        <v>-0.21111111111111125</v>
      </c>
      <c r="G16" s="5">
        <v>-5.7338704383473105E-2</v>
      </c>
      <c r="I16" s="7" t="s">
        <v>16</v>
      </c>
      <c r="J16" s="7">
        <v>237</v>
      </c>
      <c r="K16" s="7">
        <v>15.523621557368388</v>
      </c>
      <c r="L16" s="7"/>
      <c r="M16" s="7"/>
      <c r="N16" s="7"/>
    </row>
    <row r="17" spans="1:17" ht="15" thickBot="1" x14ac:dyDescent="0.2">
      <c r="A17" s="17">
        <v>42846</v>
      </c>
      <c r="B17" s="5">
        <v>-6.4521926671459395E-2</v>
      </c>
      <c r="C17" s="5">
        <v>0</v>
      </c>
      <c r="D17" s="5">
        <v>0</v>
      </c>
      <c r="E17" s="5">
        <v>3.9880358923232162E-3</v>
      </c>
      <c r="F17" s="5">
        <v>-0.20833333333333337</v>
      </c>
      <c r="G17" s="5">
        <v>-0.22401247205316632</v>
      </c>
    </row>
    <row r="18" spans="1:17" x14ac:dyDescent="0.15">
      <c r="A18" s="17">
        <v>42853</v>
      </c>
      <c r="B18" s="5">
        <v>-6.5321805955811385E-3</v>
      </c>
      <c r="C18" s="5">
        <v>-1.0932580690224021</v>
      </c>
      <c r="D18" s="5">
        <v>3.7018182566127766E-2</v>
      </c>
      <c r="E18" s="5">
        <v>3.6742800397219444E-2</v>
      </c>
      <c r="F18" s="5">
        <v>-0.13157894736842102</v>
      </c>
      <c r="G18" s="5">
        <v>7.6149285977955339E-2</v>
      </c>
      <c r="I18" s="8"/>
      <c r="J18" s="8" t="s">
        <v>23</v>
      </c>
      <c r="K18" s="8" t="s">
        <v>11</v>
      </c>
      <c r="L18" s="8" t="s">
        <v>24</v>
      </c>
      <c r="M18" s="8" t="s">
        <v>25</v>
      </c>
      <c r="N18" s="8" t="s">
        <v>26</v>
      </c>
      <c r="O18" s="8" t="s">
        <v>27</v>
      </c>
      <c r="P18" s="8" t="s">
        <v>28</v>
      </c>
      <c r="Q18" s="8" t="s">
        <v>29</v>
      </c>
    </row>
    <row r="19" spans="1:17" x14ac:dyDescent="0.15">
      <c r="A19" s="17">
        <v>42860</v>
      </c>
      <c r="B19" s="5">
        <v>-4.3318507058596079E-2</v>
      </c>
      <c r="C19" s="5">
        <v>-10.369685348733091</v>
      </c>
      <c r="D19" s="5">
        <v>-7.0907567275413363E-3</v>
      </c>
      <c r="E19" s="5">
        <v>-2.6819923371647403E-2</v>
      </c>
      <c r="F19" s="5">
        <v>-0.12121212121212122</v>
      </c>
      <c r="G19" s="5">
        <v>-0.23985292129727365</v>
      </c>
      <c r="I19" t="s">
        <v>17</v>
      </c>
      <c r="J19">
        <v>2.1630137016054547E-2</v>
      </c>
      <c r="K19">
        <v>1.6930705578768562E-2</v>
      </c>
      <c r="L19">
        <v>1.2775685523218339</v>
      </c>
      <c r="M19">
        <v>0.20267853646217018</v>
      </c>
      <c r="N19">
        <v>-1.1727449124717203E-2</v>
      </c>
      <c r="O19">
        <v>5.4987723156826297E-2</v>
      </c>
      <c r="P19">
        <v>-1.1727449124717203E-2</v>
      </c>
      <c r="Q19">
        <v>5.4987723156826297E-2</v>
      </c>
    </row>
    <row r="20" spans="1:17" x14ac:dyDescent="0.15">
      <c r="A20" s="17">
        <v>42867</v>
      </c>
      <c r="B20" s="5">
        <v>2.9108550636749442E-2</v>
      </c>
      <c r="C20" s="5">
        <v>4.6809473381177025E-2</v>
      </c>
      <c r="D20" s="5">
        <v>-3.9102881028361125E-3</v>
      </c>
      <c r="E20" s="5">
        <v>6.8897637795275468E-3</v>
      </c>
      <c r="F20" s="5">
        <v>-6.8965517241379226E-2</v>
      </c>
      <c r="G20" s="5">
        <v>0.27851441062209092</v>
      </c>
      <c r="I20" t="s">
        <v>3</v>
      </c>
      <c r="J20">
        <v>-0.20070181942797299</v>
      </c>
      <c r="K20">
        <v>0.34973353592862683</v>
      </c>
      <c r="L20">
        <v>-0.57387067241081502</v>
      </c>
      <c r="M20">
        <v>0.56661124197660928</v>
      </c>
      <c r="N20">
        <v>-0.88976149841061325</v>
      </c>
      <c r="O20">
        <v>0.48835785955466721</v>
      </c>
      <c r="P20">
        <v>-0.88976149841061325</v>
      </c>
      <c r="Q20">
        <v>0.48835785955466721</v>
      </c>
    </row>
    <row r="21" spans="1:17" x14ac:dyDescent="0.15">
      <c r="A21" s="17">
        <v>42874</v>
      </c>
      <c r="B21" s="5">
        <v>5.6766843449224114E-2</v>
      </c>
      <c r="C21" s="5">
        <v>-0.22275859056284986</v>
      </c>
      <c r="D21" s="5">
        <v>-1.6133722387670524E-2</v>
      </c>
      <c r="E21" s="5">
        <v>-9.7751710654936375E-3</v>
      </c>
      <c r="F21" s="5">
        <v>0.11111111111111094</v>
      </c>
      <c r="G21" s="5">
        <v>9.3209512366019931E-2</v>
      </c>
      <c r="I21" t="s">
        <v>36</v>
      </c>
      <c r="J21">
        <v>2.7178212517105296E-5</v>
      </c>
      <c r="K21">
        <v>1.3991555624554874E-3</v>
      </c>
      <c r="L21">
        <v>1.942472534605668E-2</v>
      </c>
      <c r="M21">
        <v>0.98451898142611138</v>
      </c>
      <c r="N21">
        <v>-2.7294967519023955E-3</v>
      </c>
      <c r="O21">
        <v>2.7838531769366058E-3</v>
      </c>
      <c r="P21">
        <v>-2.7294967519023955E-3</v>
      </c>
      <c r="Q21">
        <v>2.7838531769366058E-3</v>
      </c>
    </row>
    <row r="22" spans="1:17" x14ac:dyDescent="0.15">
      <c r="A22" s="17">
        <v>42881</v>
      </c>
      <c r="B22" s="5">
        <v>-2.9182156133829018E-2</v>
      </c>
      <c r="C22" s="5">
        <v>0.38153581855787699</v>
      </c>
      <c r="D22" s="5">
        <v>-1.4344679983693487E-2</v>
      </c>
      <c r="E22" s="5">
        <v>2.4679170779859927E-3</v>
      </c>
      <c r="F22" s="5">
        <v>-9.9999999999999978E-2</v>
      </c>
      <c r="G22" s="5">
        <v>-0.13874585480202728</v>
      </c>
      <c r="I22" t="s">
        <v>37</v>
      </c>
      <c r="J22">
        <v>0.21587252778001373</v>
      </c>
      <c r="K22">
        <v>1.2443171761630636</v>
      </c>
      <c r="L22">
        <v>0.17348673787954236</v>
      </c>
      <c r="M22">
        <v>0.86242012425145942</v>
      </c>
      <c r="N22">
        <v>-2.2357333546323752</v>
      </c>
      <c r="O22">
        <v>2.6674784101924023</v>
      </c>
      <c r="P22">
        <v>-2.2357333546323752</v>
      </c>
      <c r="Q22">
        <v>2.6674784101924023</v>
      </c>
    </row>
    <row r="23" spans="1:17" x14ac:dyDescent="0.15">
      <c r="A23" s="17">
        <v>42888</v>
      </c>
      <c r="B23" s="5">
        <v>-4.3653072946582272E-2</v>
      </c>
      <c r="C23" s="5">
        <v>0.14277347799905526</v>
      </c>
      <c r="D23" s="5">
        <v>-2.7080263668088467E-2</v>
      </c>
      <c r="E23" s="5">
        <v>-3.0526834071885611E-2</v>
      </c>
      <c r="F23" s="5">
        <v>0</v>
      </c>
      <c r="G23" s="5">
        <v>-0.24798440302572866</v>
      </c>
      <c r="I23" t="s">
        <v>38</v>
      </c>
      <c r="J23">
        <v>0.17353894305384585</v>
      </c>
      <c r="K23">
        <v>0.89069794220579124</v>
      </c>
      <c r="L23">
        <v>0.19483478610501892</v>
      </c>
      <c r="M23">
        <v>0.84569280063016206</v>
      </c>
      <c r="N23">
        <v>-1.5813514951684493</v>
      </c>
      <c r="O23">
        <v>1.9284293812761411</v>
      </c>
      <c r="P23">
        <v>-1.5813514951684493</v>
      </c>
      <c r="Q23">
        <v>1.9284293812761411</v>
      </c>
    </row>
    <row r="24" spans="1:17" ht="15" thickBot="1" x14ac:dyDescent="0.2">
      <c r="A24" s="17">
        <v>42895</v>
      </c>
      <c r="B24" s="5">
        <v>-3.3033033033033177E-2</v>
      </c>
      <c r="C24" s="5">
        <v>0.11936458897896296</v>
      </c>
      <c r="D24" s="5">
        <v>7.8113791069522875E-4</v>
      </c>
      <c r="E24" s="5">
        <v>-1.523616048755716E-2</v>
      </c>
      <c r="F24" s="5">
        <v>-3.703703703703709E-2</v>
      </c>
      <c r="G24" s="5">
        <v>5.7908757271350586E-2</v>
      </c>
      <c r="I24" s="7" t="s">
        <v>39</v>
      </c>
      <c r="J24" s="7">
        <v>1.4493109015255756E-2</v>
      </c>
      <c r="K24" s="7">
        <v>9.1663163709774509E-3</v>
      </c>
      <c r="L24" s="7">
        <v>1.5811268593285834</v>
      </c>
      <c r="M24" s="7">
        <v>0.11521136990660555</v>
      </c>
      <c r="N24" s="7">
        <v>-3.5667518993350369E-3</v>
      </c>
      <c r="O24" s="7">
        <v>3.2552969929846548E-2</v>
      </c>
      <c r="P24" s="7">
        <v>-3.5667518993350369E-3</v>
      </c>
      <c r="Q24" s="7">
        <v>3.2552969929846548E-2</v>
      </c>
    </row>
    <row r="25" spans="1:17" x14ac:dyDescent="0.15">
      <c r="A25" s="17">
        <v>42902</v>
      </c>
      <c r="B25" s="5">
        <v>-2.0910973084886098E-2</v>
      </c>
      <c r="C25" s="5">
        <v>4.5063391457363933E-2</v>
      </c>
      <c r="D25" s="5">
        <v>-3.2086612082788957E-2</v>
      </c>
      <c r="E25" s="5">
        <v>-3.3006704486848948E-2</v>
      </c>
      <c r="F25" s="5">
        <v>-0.11538461538461553</v>
      </c>
      <c r="G25" s="5">
        <v>0.45176735480827146</v>
      </c>
    </row>
    <row r="26" spans="1:17" x14ac:dyDescent="0.15">
      <c r="A26" s="17">
        <v>42909</v>
      </c>
      <c r="B26" s="5">
        <v>-3.552548107422282E-2</v>
      </c>
      <c r="C26" s="5">
        <v>0.28650388445343555</v>
      </c>
      <c r="D26" s="5">
        <v>2.4438946519575788E-2</v>
      </c>
      <c r="E26" s="5">
        <v>5.3333333333334121E-3</v>
      </c>
      <c r="F26" s="5">
        <v>-0.21739130434782605</v>
      </c>
      <c r="G26" s="5">
        <v>-0.22900369271421805</v>
      </c>
    </row>
    <row r="27" spans="1:17" x14ac:dyDescent="0.15">
      <c r="A27" s="17">
        <v>42916</v>
      </c>
      <c r="B27" s="5">
        <v>5.0208287656215767E-2</v>
      </c>
      <c r="C27" s="5">
        <v>-0.14004266824710887</v>
      </c>
      <c r="D27" s="5">
        <v>6.4472599145362075E-3</v>
      </c>
      <c r="E27" s="5">
        <v>1.6976127320954992E-2</v>
      </c>
      <c r="F27" s="5">
        <v>5.555555555555558E-2</v>
      </c>
      <c r="G27" s="5">
        <v>-9.7515808844483409E-2</v>
      </c>
    </row>
    <row r="28" spans="1:17" x14ac:dyDescent="0.15">
      <c r="A28" s="17">
        <v>42923</v>
      </c>
      <c r="B28" s="5">
        <v>-2.1294363256784909E-2</v>
      </c>
      <c r="C28" s="5">
        <v>-6.0223117161325557E-2</v>
      </c>
      <c r="D28" s="5">
        <v>1.7547220005320607E-2</v>
      </c>
      <c r="E28" s="5">
        <v>-4.6948356807513525E-3</v>
      </c>
      <c r="F28" s="5">
        <v>-0.26315789473684215</v>
      </c>
      <c r="G28" s="5">
        <v>-6.3114629752217377E-2</v>
      </c>
      <c r="I28" t="s">
        <v>30</v>
      </c>
    </row>
    <row r="29" spans="1:17" ht="15" thickBot="1" x14ac:dyDescent="0.2">
      <c r="A29" s="17">
        <v>42930</v>
      </c>
      <c r="B29" s="5">
        <v>4.7141638225256077E-2</v>
      </c>
      <c r="C29" s="5">
        <v>0.27113554584821808</v>
      </c>
      <c r="D29" s="5">
        <v>2.5208106751443138E-2</v>
      </c>
      <c r="E29" s="5">
        <v>5.9224318658281039E-2</v>
      </c>
      <c r="F29" s="5">
        <v>0.21428571428571441</v>
      </c>
      <c r="G29" s="5">
        <v>0.14647427994777207</v>
      </c>
    </row>
    <row r="30" spans="1:17" x14ac:dyDescent="0.15">
      <c r="A30" s="17">
        <v>42937</v>
      </c>
      <c r="B30" s="5">
        <v>-2.3630067223467166E-2</v>
      </c>
      <c r="C30" s="5">
        <v>0.11372478579023748</v>
      </c>
      <c r="D30" s="5">
        <v>-1.8136472364320699E-2</v>
      </c>
      <c r="E30" s="5">
        <v>-1.0390895596239513E-2</v>
      </c>
      <c r="F30" s="5">
        <v>-0.23529411764705876</v>
      </c>
      <c r="G30" s="5">
        <v>0.3100288529003139</v>
      </c>
      <c r="I30" s="8" t="s">
        <v>31</v>
      </c>
      <c r="J30" s="8" t="s">
        <v>41</v>
      </c>
      <c r="K30" s="8" t="s">
        <v>33</v>
      </c>
    </row>
    <row r="31" spans="1:17" x14ac:dyDescent="0.15">
      <c r="A31" s="17">
        <v>42944</v>
      </c>
      <c r="B31" s="5">
        <v>9.805967035259755E-2</v>
      </c>
      <c r="C31" s="5">
        <v>-0.39989754919087228</v>
      </c>
      <c r="D31" s="5">
        <v>-4.3529527876040586E-3</v>
      </c>
      <c r="E31" s="5">
        <v>-1.0000000000000009E-3</v>
      </c>
      <c r="F31" s="5">
        <v>-0.15384615384615385</v>
      </c>
      <c r="G31" s="5">
        <v>-0.20024269284474439</v>
      </c>
      <c r="I31">
        <v>1</v>
      </c>
      <c r="J31">
        <v>2.0643175989526058E-2</v>
      </c>
      <c r="K31">
        <v>4.3099191349694282E-2</v>
      </c>
    </row>
    <row r="32" spans="1:17" x14ac:dyDescent="0.15">
      <c r="A32" s="17">
        <v>42951</v>
      </c>
      <c r="B32" s="5">
        <v>-3.2300969029070981E-3</v>
      </c>
      <c r="C32" s="5">
        <v>-0.16464420529527912</v>
      </c>
      <c r="D32" s="5">
        <v>1.9167862266858071E-2</v>
      </c>
      <c r="E32" s="5">
        <v>7.0070070070069601E-3</v>
      </c>
      <c r="F32" s="5">
        <v>-0.45454545454545459</v>
      </c>
      <c r="G32" s="5">
        <v>-0.24233667381361212</v>
      </c>
      <c r="I32">
        <v>2</v>
      </c>
      <c r="J32">
        <v>1.162616200990617E-2</v>
      </c>
      <c r="K32">
        <v>-8.1203543808960429E-2</v>
      </c>
    </row>
    <row r="33" spans="1:11" x14ac:dyDescent="0.15">
      <c r="A33" s="17">
        <v>42958</v>
      </c>
      <c r="B33" s="5">
        <v>-7.815478459778924E-3</v>
      </c>
      <c r="C33" s="5">
        <v>0.71678930987418732</v>
      </c>
      <c r="D33" s="5">
        <v>-4.4330915438522966E-3</v>
      </c>
      <c r="E33" s="5">
        <v>-7.9522862823061535E-3</v>
      </c>
      <c r="F33" s="5">
        <v>0</v>
      </c>
      <c r="G33" s="5">
        <v>0.50448198944331679</v>
      </c>
      <c r="I33">
        <v>3</v>
      </c>
      <c r="J33">
        <v>4.1537519016898693E-2</v>
      </c>
      <c r="K33">
        <v>-7.4177762042041379E-2</v>
      </c>
    </row>
    <row r="34" spans="1:11" x14ac:dyDescent="0.15">
      <c r="A34" s="17">
        <v>42965</v>
      </c>
      <c r="B34" s="5">
        <v>1.5561959654178725E-2</v>
      </c>
      <c r="C34" s="5">
        <v>7.5801132861384124E-2</v>
      </c>
      <c r="D34" s="5">
        <v>-7.2602746769639959E-3</v>
      </c>
      <c r="E34" s="5">
        <v>1.503006012024044E-2</v>
      </c>
      <c r="F34" s="5">
        <v>1</v>
      </c>
      <c r="G34" s="5">
        <v>3.8922328603336886E-3</v>
      </c>
      <c r="I34">
        <v>4</v>
      </c>
      <c r="J34">
        <v>1.2461172735511672E-2</v>
      </c>
      <c r="K34">
        <v>0.142262972119994</v>
      </c>
    </row>
    <row r="35" spans="1:11" x14ac:dyDescent="0.15">
      <c r="A35" s="17">
        <v>42972</v>
      </c>
      <c r="B35" s="5">
        <v>-9.6481271282633507E-3</v>
      </c>
      <c r="C35" s="5">
        <v>-0.27339847098185954</v>
      </c>
      <c r="D35" s="5">
        <v>2.5084036442552193E-2</v>
      </c>
      <c r="E35" s="5">
        <v>2.3692003948667217E-2</v>
      </c>
      <c r="F35" s="5">
        <v>1.0833333333333335</v>
      </c>
      <c r="G35" s="5">
        <v>-0.14904448957568295</v>
      </c>
      <c r="I35">
        <v>5</v>
      </c>
      <c r="J35">
        <v>1.9036916525245966E-2</v>
      </c>
      <c r="K35">
        <v>-6.0233403586455118E-2</v>
      </c>
    </row>
    <row r="36" spans="1:11" x14ac:dyDescent="0.15">
      <c r="A36" s="17">
        <v>42979</v>
      </c>
      <c r="B36" s="5">
        <v>6.4947468958929111E-3</v>
      </c>
      <c r="C36" s="5">
        <v>0.29011583460759005</v>
      </c>
      <c r="D36" s="5">
        <v>1.6087795709247343E-2</v>
      </c>
      <c r="E36" s="5">
        <v>4.0983606557377206E-2</v>
      </c>
      <c r="F36" s="5">
        <v>4.0000000000000036E-2</v>
      </c>
      <c r="G36" s="5">
        <v>0.26265966133675001</v>
      </c>
      <c r="I36">
        <v>6</v>
      </c>
      <c r="J36">
        <v>1.5327344932056874E-2</v>
      </c>
      <c r="K36">
        <v>0.1587007448329735</v>
      </c>
    </row>
    <row r="37" spans="1:11" x14ac:dyDescent="0.15">
      <c r="A37" s="17">
        <v>42986</v>
      </c>
      <c r="B37" s="5">
        <v>2.0117669386980452E-2</v>
      </c>
      <c r="C37" s="5">
        <v>-0.33018320890125297</v>
      </c>
      <c r="D37" s="5">
        <v>1.0825567633691024E-2</v>
      </c>
      <c r="E37" s="5">
        <v>1.8527095877720612E-3</v>
      </c>
      <c r="F37" s="5">
        <v>0.11538461538461542</v>
      </c>
      <c r="G37" s="5">
        <v>-0.14457564942087564</v>
      </c>
      <c r="I37">
        <v>7</v>
      </c>
      <c r="J37">
        <v>1.7495156068822161E-2</v>
      </c>
      <c r="K37">
        <v>8.8896957728556963E-2</v>
      </c>
    </row>
    <row r="38" spans="1:11" x14ac:dyDescent="0.15">
      <c r="A38" s="17">
        <v>42993</v>
      </c>
      <c r="B38" s="5">
        <v>3.218604651162793E-2</v>
      </c>
      <c r="C38" s="5">
        <v>-0.59973990590069215</v>
      </c>
      <c r="D38" s="5">
        <v>1.0360349280531311E-2</v>
      </c>
      <c r="E38" s="5">
        <v>1.4794267221451607E-2</v>
      </c>
      <c r="F38" s="5">
        <v>0.48275862068965525</v>
      </c>
      <c r="G38" s="5">
        <v>-6.7014366600345099E-2</v>
      </c>
      <c r="I38">
        <v>8</v>
      </c>
      <c r="J38">
        <v>1.4727102938270193E-2</v>
      </c>
      <c r="K38">
        <v>-0.25580237371923342</v>
      </c>
    </row>
    <row r="39" spans="1:11" x14ac:dyDescent="0.15">
      <c r="A39" s="17">
        <v>43000</v>
      </c>
      <c r="B39" s="5">
        <v>2.5594808940158753E-2</v>
      </c>
      <c r="C39" s="5">
        <v>-1.4392502949015371</v>
      </c>
      <c r="D39" s="5">
        <v>-1.0614419055315905E-3</v>
      </c>
      <c r="E39" s="5">
        <v>-5.4669703872437525E-3</v>
      </c>
      <c r="F39" s="5">
        <v>-4.6511627906976827E-2</v>
      </c>
      <c r="G39" s="5">
        <v>0.17082776682243761</v>
      </c>
      <c r="I39">
        <v>9</v>
      </c>
      <c r="J39">
        <v>2.0154752760955998E-2</v>
      </c>
      <c r="K39">
        <v>-8.3784148389264707E-2</v>
      </c>
    </row>
    <row r="40" spans="1:11" x14ac:dyDescent="0.15">
      <c r="A40" s="17">
        <v>43007</v>
      </c>
      <c r="B40" s="5">
        <v>1.0720562390158062E-2</v>
      </c>
      <c r="C40" s="5">
        <v>-4.0587784621028238</v>
      </c>
      <c r="D40" s="5">
        <v>1.2458386746148076E-2</v>
      </c>
      <c r="E40" s="5">
        <v>2.1071919377004145E-2</v>
      </c>
      <c r="F40" s="5">
        <v>0</v>
      </c>
      <c r="G40" s="5">
        <v>-2.7218942531175738E-2</v>
      </c>
      <c r="I40">
        <v>10</v>
      </c>
      <c r="J40">
        <v>4.0795317990644862E-2</v>
      </c>
      <c r="K40">
        <v>0.26413605590525879</v>
      </c>
    </row>
    <row r="41" spans="1:11" x14ac:dyDescent="0.15">
      <c r="A41" s="17">
        <v>43014</v>
      </c>
      <c r="B41" s="5">
        <v>-3.1820552947313452E-2</v>
      </c>
      <c r="C41" s="5">
        <v>2.1009285619899583</v>
      </c>
      <c r="D41" s="5">
        <v>8.0252649011405275E-3</v>
      </c>
      <c r="E41" s="5">
        <v>-7.1781067743382776E-3</v>
      </c>
      <c r="F41" s="5">
        <v>-0.51219512195121952</v>
      </c>
      <c r="G41" s="5">
        <v>0.13198899319506019</v>
      </c>
      <c r="I41">
        <v>11</v>
      </c>
      <c r="J41">
        <v>2.8684720015551286E-2</v>
      </c>
      <c r="K41">
        <v>-0.12837880816178487</v>
      </c>
    </row>
    <row r="42" spans="1:11" x14ac:dyDescent="0.15">
      <c r="A42" s="17">
        <v>43021</v>
      </c>
      <c r="B42" s="5">
        <v>2.7298850574712707E-2</v>
      </c>
      <c r="C42" s="5">
        <v>0.14769230769230779</v>
      </c>
      <c r="D42" s="5">
        <v>2.3449514294173746E-3</v>
      </c>
      <c r="E42" s="5">
        <v>1.9430637144148166E-2</v>
      </c>
      <c r="F42" s="5">
        <v>0.55000000000000004</v>
      </c>
      <c r="G42" s="5">
        <v>-0.12574177936326447</v>
      </c>
      <c r="I42">
        <v>12</v>
      </c>
      <c r="J42">
        <v>7.1710473505166763E-3</v>
      </c>
      <c r="K42">
        <v>4.2031192343324066E-2</v>
      </c>
    </row>
    <row r="43" spans="1:11" x14ac:dyDescent="0.15">
      <c r="A43" s="17">
        <v>43035</v>
      </c>
      <c r="B43" s="5">
        <v>5.7692307692307709E-2</v>
      </c>
      <c r="C43" s="5">
        <v>-0.34048257372654156</v>
      </c>
      <c r="D43" s="5">
        <v>-1.429885123191188E-2</v>
      </c>
      <c r="E43" s="5">
        <v>-2.5265957446808485E-2</v>
      </c>
      <c r="F43" s="5">
        <v>-0.38709677419354849</v>
      </c>
      <c r="G43" s="5">
        <v>4.9332950956061383E-2</v>
      </c>
      <c r="I43">
        <v>13</v>
      </c>
      <c r="J43">
        <v>1.106769005787504E-2</v>
      </c>
      <c r="K43">
        <v>-6.8406394441348148E-2</v>
      </c>
    </row>
    <row r="44" spans="1:11" x14ac:dyDescent="0.15">
      <c r="A44" s="17">
        <v>43042</v>
      </c>
      <c r="B44" s="5">
        <v>2.6280991735537329E-2</v>
      </c>
      <c r="C44" s="5">
        <v>0.42682926829268286</v>
      </c>
      <c r="D44" s="5">
        <v>5.9890949167615837E-3</v>
      </c>
      <c r="E44" s="5">
        <v>-9.5497953615278908E-3</v>
      </c>
      <c r="F44" s="5">
        <v>0.15789473684210531</v>
      </c>
      <c r="G44" s="5">
        <v>-0.15981484600416374</v>
      </c>
      <c r="I44">
        <v>14</v>
      </c>
      <c r="J44">
        <v>3.2252486914117667E-2</v>
      </c>
      <c r="K44">
        <v>-0.25626495896728396</v>
      </c>
    </row>
    <row r="45" spans="1:11" x14ac:dyDescent="0.15">
      <c r="A45" s="17">
        <v>43049</v>
      </c>
      <c r="B45" s="5">
        <v>2.4319536157191068E-2</v>
      </c>
      <c r="C45" s="5">
        <v>2.5641025641025772E-2</v>
      </c>
      <c r="D45" s="5">
        <v>4.2337169353482418E-2</v>
      </c>
      <c r="E45" s="5">
        <v>2.2956841138659367E-2</v>
      </c>
      <c r="F45" s="5">
        <v>0</v>
      </c>
      <c r="G45" s="5">
        <v>-5.6147842941778436E-2</v>
      </c>
      <c r="I45">
        <v>15</v>
      </c>
      <c r="J45">
        <v>3.5371972108104645E-2</v>
      </c>
      <c r="K45">
        <v>4.0777313869850694E-2</v>
      </c>
    </row>
    <row r="46" spans="1:11" x14ac:dyDescent="0.15">
      <c r="A46" s="17">
        <v>43056</v>
      </c>
      <c r="B46" s="5">
        <v>-1.3836477987421381E-2</v>
      </c>
      <c r="C46" s="5">
        <v>-0.93888888888888888</v>
      </c>
      <c r="D46" s="5">
        <v>-1.7217853092759916E-2</v>
      </c>
      <c r="E46" s="5">
        <v>-1.5709156193895901E-2</v>
      </c>
      <c r="F46" s="5">
        <v>-0.36363636363636376</v>
      </c>
      <c r="G46" s="5">
        <v>0.19138308523306824</v>
      </c>
      <c r="I46">
        <v>16</v>
      </c>
      <c r="J46">
        <v>2.2100669465428907E-2</v>
      </c>
      <c r="K46">
        <v>-0.26195359076270253</v>
      </c>
    </row>
    <row r="47" spans="1:11" x14ac:dyDescent="0.15">
      <c r="A47" s="17">
        <v>43063</v>
      </c>
      <c r="B47" s="5">
        <v>1.6103316326530503E-2</v>
      </c>
      <c r="C47" s="5">
        <v>11.272727272727273</v>
      </c>
      <c r="D47" s="5">
        <v>1.3724782002992653E-2</v>
      </c>
      <c r="E47" s="5">
        <v>2.5079799361605204E-2</v>
      </c>
      <c r="F47" s="5">
        <v>0.21428571428571441</v>
      </c>
      <c r="G47" s="5">
        <v>-0.24145184682630827</v>
      </c>
      <c r="I47">
        <v>17</v>
      </c>
      <c r="J47">
        <v>1.5141263927572746E-2</v>
      </c>
      <c r="K47">
        <v>0.26337314669451817</v>
      </c>
    </row>
    <row r="48" spans="1:11" x14ac:dyDescent="0.15">
      <c r="A48" s="17">
        <v>43070</v>
      </c>
      <c r="B48" s="5">
        <v>-4.7073591715041108E-4</v>
      </c>
      <c r="C48" s="5">
        <v>-0.24074074074074081</v>
      </c>
      <c r="D48" s="5">
        <v>-2.5532466210432481E-2</v>
      </c>
      <c r="E48" s="5">
        <v>-4.5373665480426983E-2</v>
      </c>
      <c r="F48" s="5">
        <v>-0.11764705882352944</v>
      </c>
      <c r="G48" s="5">
        <v>0.1229370475707674</v>
      </c>
      <c r="I48">
        <v>18</v>
      </c>
      <c r="J48">
        <v>6.6620192292338194E-3</v>
      </c>
      <c r="K48">
        <v>8.6547493136786113E-2</v>
      </c>
    </row>
    <row r="49" spans="1:11" x14ac:dyDescent="0.15">
      <c r="A49" s="17">
        <v>43077</v>
      </c>
      <c r="B49" s="5">
        <v>-4.8665620094191508E-3</v>
      </c>
      <c r="C49" s="5">
        <v>-0.58536585365853655</v>
      </c>
      <c r="D49" s="5">
        <v>-4.7483606284925983E-4</v>
      </c>
      <c r="E49" s="5">
        <v>5.1258154706430581E-3</v>
      </c>
      <c r="F49" s="5">
        <v>-0.4</v>
      </c>
      <c r="G49" s="5">
        <v>-0.26101682549056582</v>
      </c>
      <c r="I49">
        <v>19</v>
      </c>
      <c r="J49">
        <v>2.337976479996224E-2</v>
      </c>
      <c r="K49">
        <v>-0.16212561960198951</v>
      </c>
    </row>
    <row r="50" spans="1:11" x14ac:dyDescent="0.15">
      <c r="A50" s="17">
        <v>43084</v>
      </c>
      <c r="B50" s="5">
        <v>-2.2085502445180483E-3</v>
      </c>
      <c r="C50" s="5">
        <v>0.62352941176470589</v>
      </c>
      <c r="D50" s="5">
        <v>1.8527403930659991E-2</v>
      </c>
      <c r="E50" s="5">
        <v>1.6689847009735637E-2</v>
      </c>
      <c r="F50" s="5">
        <v>-0.88888888888888884</v>
      </c>
      <c r="G50" s="5">
        <v>0.98023452515681675</v>
      </c>
      <c r="I50">
        <v>20</v>
      </c>
      <c r="J50">
        <v>1.9251789017387815E-2</v>
      </c>
      <c r="K50">
        <v>-0.26723619204311649</v>
      </c>
    </row>
    <row r="51" spans="1:11" x14ac:dyDescent="0.15">
      <c r="A51" s="17">
        <v>43091</v>
      </c>
      <c r="B51" s="5">
        <v>2.8300395256917188E-2</v>
      </c>
      <c r="C51" s="5">
        <v>1.3768115942028984</v>
      </c>
      <c r="D51" s="5">
        <v>-1.914654452679343E-2</v>
      </c>
      <c r="E51" s="5">
        <v>-3.7391700866393096E-2</v>
      </c>
      <c r="F51" s="5">
        <v>4</v>
      </c>
      <c r="G51" s="5">
        <v>-0.2052681539008735</v>
      </c>
      <c r="I51">
        <v>21</v>
      </c>
      <c r="J51">
        <v>2.5250948175912221E-2</v>
      </c>
      <c r="K51">
        <v>3.2657809095438362E-2</v>
      </c>
    </row>
    <row r="52" spans="1:11" x14ac:dyDescent="0.15">
      <c r="A52" s="17">
        <v>43098</v>
      </c>
      <c r="B52" s="5">
        <v>2.4292742927429334E-2</v>
      </c>
      <c r="C52" s="5">
        <v>0.15243902439024382</v>
      </c>
      <c r="D52" s="5">
        <v>3.2335682425554957E-3</v>
      </c>
      <c r="E52" s="5">
        <v>4.7370914258646479E-3</v>
      </c>
      <c r="F52" s="5">
        <v>1</v>
      </c>
      <c r="G52" s="5">
        <v>-0.19380487155676407</v>
      </c>
      <c r="I52">
        <v>22</v>
      </c>
      <c r="J52">
        <v>1.1501383624630955E-2</v>
      </c>
      <c r="K52">
        <v>0.44026597118364053</v>
      </c>
    </row>
    <row r="53" spans="1:11" x14ac:dyDescent="0.15">
      <c r="A53" s="17">
        <v>43105</v>
      </c>
      <c r="B53" s="5">
        <v>1.7562293605523971E-2</v>
      </c>
      <c r="C53" s="5">
        <v>-0.14814814814814803</v>
      </c>
      <c r="D53" s="5">
        <v>4.6294804099083375E-2</v>
      </c>
      <c r="E53" s="5">
        <v>6.8363979255068319E-2</v>
      </c>
      <c r="F53" s="5">
        <v>0.30000000000000004</v>
      </c>
      <c r="G53" s="5">
        <v>-0.23526110652294241</v>
      </c>
      <c r="I53">
        <v>23</v>
      </c>
      <c r="J53">
        <v>3.1818514685363966E-2</v>
      </c>
      <c r="K53">
        <v>-0.26082220739958201</v>
      </c>
    </row>
    <row r="54" spans="1:11" x14ac:dyDescent="0.15">
      <c r="A54" s="17">
        <v>43112</v>
      </c>
      <c r="B54" s="5">
        <v>2.9797905295766203E-2</v>
      </c>
      <c r="C54" s="5">
        <v>-0.50621118012422361</v>
      </c>
      <c r="D54" s="5">
        <v>2.490248753063562E-2</v>
      </c>
      <c r="E54" s="5">
        <v>2.8684907325684073E-2</v>
      </c>
      <c r="F54" s="5">
        <v>-7.6923076923076983E-2</v>
      </c>
      <c r="G54" s="5">
        <v>0.571186628275824</v>
      </c>
      <c r="I54">
        <v>24</v>
      </c>
      <c r="J54">
        <v>1.6692414434191418E-2</v>
      </c>
      <c r="K54">
        <v>-0.11420822327867483</v>
      </c>
    </row>
    <row r="55" spans="1:11" x14ac:dyDescent="0.15">
      <c r="A55" s="17">
        <v>43119</v>
      </c>
      <c r="B55" s="5">
        <v>-1.6616530583010936E-2</v>
      </c>
      <c r="C55" s="5">
        <v>-1.408805031446541</v>
      </c>
      <c r="D55" s="5">
        <v>1.0586196836959161E-2</v>
      </c>
      <c r="E55" s="5">
        <v>-4.2900042900029245E-4</v>
      </c>
      <c r="F55" s="5">
        <v>0.25</v>
      </c>
      <c r="G55" s="5">
        <v>-2.1841314117574839E-2</v>
      </c>
      <c r="I55">
        <v>25</v>
      </c>
      <c r="J55">
        <v>2.5061567568140063E-2</v>
      </c>
      <c r="K55">
        <v>-8.8176197320357447E-2</v>
      </c>
    </row>
    <row r="56" spans="1:11" x14ac:dyDescent="0.15">
      <c r="A56" s="17">
        <v>43126</v>
      </c>
      <c r="B56" s="5">
        <v>2.3889293517844079E-2</v>
      </c>
      <c r="C56" s="5">
        <v>-3.5846153846153843</v>
      </c>
      <c r="D56" s="5">
        <v>3.9058228689647922E-3</v>
      </c>
      <c r="E56" s="5">
        <v>1.3304721030042765E-2</v>
      </c>
      <c r="F56" s="5">
        <v>-0.20000000000000007</v>
      </c>
      <c r="G56" s="5">
        <v>-3.1885734273278454E-2</v>
      </c>
      <c r="I56">
        <v>26</v>
      </c>
      <c r="J56">
        <v>3.1001223038495895E-2</v>
      </c>
      <c r="K56">
        <v>0.11547305690927617</v>
      </c>
    </row>
    <row r="57" spans="1:11" x14ac:dyDescent="0.15">
      <c r="A57" s="17">
        <v>43133</v>
      </c>
      <c r="B57" s="5">
        <v>-2.9307156067719498E-2</v>
      </c>
      <c r="C57" s="5">
        <v>-0.29761904761904767</v>
      </c>
      <c r="D57" s="5">
        <v>-5.846832167161975E-3</v>
      </c>
      <c r="E57" s="5">
        <v>-2.6683608640406531E-2</v>
      </c>
      <c r="F57" s="5">
        <v>0.83333333333333348</v>
      </c>
      <c r="G57" s="5">
        <v>-0.31856331377488967</v>
      </c>
      <c r="I57">
        <v>27</v>
      </c>
      <c r="J57">
        <v>1.7247290866246615E-2</v>
      </c>
      <c r="K57">
        <v>0.2927815620340673</v>
      </c>
    </row>
    <row r="58" spans="1:11" x14ac:dyDescent="0.15">
      <c r="A58" s="17">
        <v>43140</v>
      </c>
      <c r="B58" s="5">
        <v>-8.0902828667741455E-2</v>
      </c>
      <c r="C58" s="5">
        <v>-2.8559322033898304</v>
      </c>
      <c r="D58" s="5">
        <v>-3.7127931844476492E-2</v>
      </c>
      <c r="E58" s="5">
        <v>-5.7006092254134E-2</v>
      </c>
      <c r="F58" s="5">
        <v>0.45454545454545459</v>
      </c>
      <c r="G58" s="5">
        <v>0.77252748703919116</v>
      </c>
      <c r="I58">
        <v>28</v>
      </c>
      <c r="J58">
        <v>-1.4044166806871285E-3</v>
      </c>
      <c r="K58">
        <v>-0.19883827616405725</v>
      </c>
    </row>
    <row r="59" spans="1:11" x14ac:dyDescent="0.15">
      <c r="A59" s="17">
        <v>43147</v>
      </c>
      <c r="B59" s="5">
        <v>3.4922659862860916E-2</v>
      </c>
      <c r="C59" s="5">
        <v>-1.8949771689497716</v>
      </c>
      <c r="D59" s="5">
        <v>2.6466465190795319E-2</v>
      </c>
      <c r="E59" s="5">
        <v>6.0913705583756084E-2</v>
      </c>
      <c r="F59" s="5">
        <v>0.3125</v>
      </c>
      <c r="G59" s="5">
        <v>-0.29979769633962927</v>
      </c>
      <c r="I59">
        <v>29</v>
      </c>
      <c r="J59">
        <v>2.1039975250731861E-2</v>
      </c>
      <c r="K59">
        <v>-0.26337664906434399</v>
      </c>
    </row>
    <row r="60" spans="1:11" x14ac:dyDescent="0.15">
      <c r="A60" s="17">
        <v>43161</v>
      </c>
      <c r="B60" s="5">
        <v>-3.7853949329359038E-2</v>
      </c>
      <c r="C60" s="5">
        <v>-0.95565460721649487</v>
      </c>
      <c r="D60" s="5">
        <v>0</v>
      </c>
      <c r="E60" s="5">
        <v>-2.146464646464652E-2</v>
      </c>
      <c r="F60" s="5">
        <v>-6.25E-2</v>
      </c>
      <c r="G60" s="5">
        <v>4.6875369765686292E-2</v>
      </c>
      <c r="I60">
        <v>30</v>
      </c>
      <c r="J60">
        <v>2.0881184781081454E-2</v>
      </c>
      <c r="K60">
        <v>0.48360080466223532</v>
      </c>
    </row>
    <row r="61" spans="1:11" x14ac:dyDescent="0.15">
      <c r="A61" s="17">
        <v>43168</v>
      </c>
      <c r="B61" s="5">
        <v>1.4405204460966381E-2</v>
      </c>
      <c r="C61" s="5">
        <v>-2.8548928675652938</v>
      </c>
      <c r="D61" s="5">
        <v>9.9832229426259911E-3</v>
      </c>
      <c r="E61" s="5">
        <v>9.8924731182796766E-3</v>
      </c>
      <c r="F61" s="5">
        <v>0.31111111111111112</v>
      </c>
      <c r="G61" s="5">
        <v>-7.6978487502075588E-2</v>
      </c>
      <c r="I61">
        <v>31</v>
      </c>
      <c r="J61">
        <v>3.4042999454558714E-2</v>
      </c>
      <c r="K61">
        <v>-3.0150766594225026E-2</v>
      </c>
    </row>
    <row r="62" spans="1:11" x14ac:dyDescent="0.15">
      <c r="A62" s="17">
        <v>43175</v>
      </c>
      <c r="B62" s="5">
        <v>7.6347533974652215E-3</v>
      </c>
      <c r="C62" s="5">
        <v>-2.3536642255134779</v>
      </c>
      <c r="D62" s="5">
        <v>-7.3928597692597409E-3</v>
      </c>
      <c r="E62" s="5">
        <v>-2.8534923339011975E-2</v>
      </c>
      <c r="F62" s="5">
        <v>-0.28813559322033899</v>
      </c>
      <c r="G62" s="5">
        <v>0.10459623186338107</v>
      </c>
      <c r="I62">
        <v>32</v>
      </c>
      <c r="J62">
        <v>4.8786410980742573E-2</v>
      </c>
      <c r="K62">
        <v>-0.19783090055642552</v>
      </c>
    </row>
    <row r="63" spans="1:11" x14ac:dyDescent="0.15">
      <c r="A63" s="17">
        <v>43182</v>
      </c>
      <c r="B63" s="5">
        <v>6.6222154871950378E-2</v>
      </c>
      <c r="C63" s="5">
        <v>13.647262205781177</v>
      </c>
      <c r="D63" s="5">
        <v>-3.9527586507450696E-3</v>
      </c>
      <c r="E63" s="5">
        <v>-1.3590530469092421E-2</v>
      </c>
      <c r="F63" s="5">
        <v>-4.7619047619047672E-2</v>
      </c>
      <c r="G63" s="5">
        <v>-0.16197111998287583</v>
      </c>
      <c r="I63">
        <v>33</v>
      </c>
      <c r="J63">
        <v>3.1499403578408025E-2</v>
      </c>
      <c r="K63">
        <v>0.23116025775834198</v>
      </c>
    </row>
    <row r="64" spans="1:11" x14ac:dyDescent="0.15">
      <c r="A64" s="17">
        <v>43196</v>
      </c>
      <c r="B64" s="5">
        <v>-4.6852748504699449E-2</v>
      </c>
      <c r="C64" s="5">
        <v>0</v>
      </c>
      <c r="D64" s="5">
        <v>0</v>
      </c>
      <c r="E64" s="5">
        <v>-1.6270888302550413E-2</v>
      </c>
      <c r="F64" s="5">
        <v>7.1428571428571397E-2</v>
      </c>
      <c r="G64" s="5">
        <v>0.17592276827397102</v>
      </c>
      <c r="I64">
        <v>34</v>
      </c>
      <c r="J64">
        <v>2.1914252100854702E-2</v>
      </c>
      <c r="K64">
        <v>-0.16648990152173035</v>
      </c>
    </row>
    <row r="65" spans="1:11" x14ac:dyDescent="0.15">
      <c r="A65" s="17">
        <v>43203</v>
      </c>
      <c r="B65" s="5">
        <v>8.5014193933960813E-2</v>
      </c>
      <c r="C65" s="5">
        <v>8.7941176470588225</v>
      </c>
      <c r="D65" s="5">
        <v>-4.6496845999745795E-2</v>
      </c>
      <c r="E65" s="5">
        <v>-8.8958426464014417E-2</v>
      </c>
      <c r="F65" s="5">
        <v>0.42222222222222228</v>
      </c>
      <c r="G65" s="5">
        <v>2.9713359148964003E-3</v>
      </c>
      <c r="I65">
        <v>35</v>
      </c>
      <c r="J65">
        <v>2.6954608664808585E-2</v>
      </c>
      <c r="K65">
        <v>-9.3968975265153687E-2</v>
      </c>
    </row>
    <row r="66" spans="1:11" x14ac:dyDescent="0.15">
      <c r="A66" s="17">
        <v>43210</v>
      </c>
      <c r="B66" s="5">
        <v>1.500963921784626E-2</v>
      </c>
      <c r="C66" s="5">
        <v>-0.45645645645645649</v>
      </c>
      <c r="D66" s="5">
        <v>2.6434836977509812E-2</v>
      </c>
      <c r="E66" s="5">
        <v>3.0421982335623321E-2</v>
      </c>
      <c r="F66" s="5">
        <v>6.25E-2</v>
      </c>
      <c r="G66" s="5">
        <v>-0.10049912375329528</v>
      </c>
      <c r="I66">
        <v>36</v>
      </c>
      <c r="J66">
        <v>1.4602129539792676E-2</v>
      </c>
      <c r="K66">
        <v>0.15622563728264494</v>
      </c>
    </row>
    <row r="67" spans="1:11" x14ac:dyDescent="0.15">
      <c r="A67" s="17">
        <v>43217</v>
      </c>
      <c r="B67" s="5">
        <v>9.9036765703433005E-3</v>
      </c>
      <c r="C67" s="5">
        <v>-0.31767955801104975</v>
      </c>
      <c r="D67" s="5">
        <v>3.0828697607338196E-2</v>
      </c>
      <c r="E67" s="5">
        <v>1.3809523809523716E-2</v>
      </c>
      <c r="F67" s="5">
        <v>-4.4117647058823484E-2</v>
      </c>
      <c r="G67" s="5">
        <v>-3.5688725445889968E-2</v>
      </c>
      <c r="I67">
        <v>37</v>
      </c>
      <c r="J67">
        <v>2.5714412351209005E-2</v>
      </c>
      <c r="K67">
        <v>-5.2933354882384744E-2</v>
      </c>
    </row>
    <row r="68" spans="1:11" x14ac:dyDescent="0.15">
      <c r="A68" s="17">
        <v>43224</v>
      </c>
      <c r="B68" s="5">
        <v>7.522837184309461E-3</v>
      </c>
      <c r="C68" s="5">
        <v>-0.55060728744939269</v>
      </c>
      <c r="D68" s="5">
        <v>-5.2227035529157639E-3</v>
      </c>
      <c r="E68" s="5">
        <v>-7.0455612963832293E-3</v>
      </c>
      <c r="F68" s="5">
        <v>-6.1538461538461542E-2</v>
      </c>
      <c r="G68" s="5">
        <v>-7.7802021574578939E-3</v>
      </c>
      <c r="I68">
        <v>38</v>
      </c>
      <c r="J68">
        <v>2.1137132788771395E-2</v>
      </c>
      <c r="K68">
        <v>0.11085186040628879</v>
      </c>
    </row>
    <row r="69" spans="1:11" x14ac:dyDescent="0.15">
      <c r="A69" s="17">
        <v>43231</v>
      </c>
      <c r="B69" s="5">
        <v>2.9066666666666796E-2</v>
      </c>
      <c r="C69" s="5">
        <v>3.8108108108108105</v>
      </c>
      <c r="D69" s="5">
        <v>2.4368085190022315E-2</v>
      </c>
      <c r="E69" s="5">
        <v>1.7029328287606393E-2</v>
      </c>
      <c r="F69" s="5">
        <v>-0.18032786885245899</v>
      </c>
      <c r="G69" s="5">
        <v>0.16097403220942796</v>
      </c>
      <c r="I69">
        <v>39</v>
      </c>
      <c r="J69">
        <v>2.8004614834181565E-2</v>
      </c>
      <c r="K69">
        <v>-0.15374639419744604</v>
      </c>
    </row>
    <row r="70" spans="1:11" x14ac:dyDescent="0.15">
      <c r="A70" s="17">
        <v>43238</v>
      </c>
      <c r="B70" s="5">
        <v>1.9823788546255328E-2</v>
      </c>
      <c r="C70" s="5">
        <v>-0.13857677902621723</v>
      </c>
      <c r="D70" s="5">
        <v>-7.811500643851943E-3</v>
      </c>
      <c r="E70" s="5">
        <v>-6.9767441860464352E-3</v>
      </c>
      <c r="F70" s="5">
        <v>-0.38</v>
      </c>
      <c r="G70" s="5">
        <v>-0.19787309206896009</v>
      </c>
      <c r="I70">
        <v>40</v>
      </c>
      <c r="J70">
        <v>-3.0396602707238735E-3</v>
      </c>
      <c r="K70">
        <v>5.2372611226785257E-2</v>
      </c>
    </row>
    <row r="71" spans="1:11" x14ac:dyDescent="0.15">
      <c r="A71" s="17">
        <v>43245</v>
      </c>
      <c r="B71" s="5">
        <v>-3.0237580993520474E-2</v>
      </c>
      <c r="C71" s="5">
        <v>-1.1565217391304348</v>
      </c>
      <c r="D71" s="5">
        <v>-8.753985921424623E-3</v>
      </c>
      <c r="E71" s="5">
        <v>-3.7470725995316645E-3</v>
      </c>
      <c r="F71" s="5">
        <v>-0.22580645161290325</v>
      </c>
      <c r="G71" s="5">
        <v>1.9355352019896799E-2</v>
      </c>
      <c r="I71">
        <v>41</v>
      </c>
      <c r="J71">
        <v>1.8291099914286298E-2</v>
      </c>
      <c r="K71">
        <v>-0.17810594591845003</v>
      </c>
    </row>
    <row r="72" spans="1:11" x14ac:dyDescent="0.15">
      <c r="A72" s="17">
        <v>43252</v>
      </c>
      <c r="B72" s="5">
        <v>4.9783833355168117E-3</v>
      </c>
      <c r="C72" s="5">
        <v>6.944444444444442E-2</v>
      </c>
      <c r="D72" s="5">
        <v>-4.8687011449901618E-3</v>
      </c>
      <c r="E72" s="5">
        <v>6.11189468735307E-3</v>
      </c>
      <c r="F72" s="5">
        <v>0.12500000000000022</v>
      </c>
      <c r="G72" s="5">
        <v>-0.11192309402989487</v>
      </c>
      <c r="I72">
        <v>42</v>
      </c>
      <c r="J72">
        <v>2.9873196453350726E-2</v>
      </c>
      <c r="K72">
        <v>-8.6021039395129159E-2</v>
      </c>
    </row>
    <row r="73" spans="1:11" x14ac:dyDescent="0.15">
      <c r="A73" s="17">
        <v>43259</v>
      </c>
      <c r="B73" s="5">
        <v>-4.8233607091642261E-3</v>
      </c>
      <c r="C73" s="5">
        <v>-3.8311688311688314</v>
      </c>
      <c r="D73" s="5">
        <v>-1.1945942649019381E-2</v>
      </c>
      <c r="E73" s="5">
        <v>-1.7757009345794383E-2</v>
      </c>
      <c r="F73" s="5">
        <v>0</v>
      </c>
      <c r="G73" s="5">
        <v>0.15210129199046984</v>
      </c>
      <c r="I73">
        <v>43</v>
      </c>
      <c r="J73">
        <v>1.2668392708524458E-2</v>
      </c>
      <c r="K73">
        <v>0.17871469252454378</v>
      </c>
    </row>
    <row r="74" spans="1:11" x14ac:dyDescent="0.15">
      <c r="A74" s="17">
        <v>43266</v>
      </c>
      <c r="B74" s="5">
        <v>-4.3751637411579836E-2</v>
      </c>
      <c r="C74" s="5">
        <v>-1.1055045871559632</v>
      </c>
      <c r="D74" s="5">
        <v>-1.3399943560619354E-2</v>
      </c>
      <c r="E74" s="5">
        <v>-3.0922930542340521E-2</v>
      </c>
      <c r="F74" s="5">
        <v>0.33333333333333326</v>
      </c>
      <c r="G74" s="5">
        <v>7.4524472747127701E-2</v>
      </c>
      <c r="I74">
        <v>44</v>
      </c>
      <c r="J74">
        <v>2.9125336182947197E-2</v>
      </c>
      <c r="K74">
        <v>-0.27057718300925548</v>
      </c>
    </row>
    <row r="75" spans="1:11" x14ac:dyDescent="0.15">
      <c r="A75" s="17">
        <v>43273</v>
      </c>
      <c r="B75" s="5">
        <v>3.4657534246575361E-2</v>
      </c>
      <c r="C75" s="5">
        <v>-2.7391304347826084</v>
      </c>
      <c r="D75" s="5">
        <v>5.4300947920249421E-3</v>
      </c>
      <c r="E75" s="5">
        <v>2.5036818851251752E-2</v>
      </c>
      <c r="F75" s="5">
        <v>8.3333333333333259E-2</v>
      </c>
      <c r="G75" s="5">
        <v>-4.333299226294951E-2</v>
      </c>
      <c r="I75">
        <v>45</v>
      </c>
      <c r="J75">
        <v>6.6271440479738174E-3</v>
      </c>
      <c r="K75">
        <v>0.11630990352279358</v>
      </c>
    </row>
    <row r="76" spans="1:11" x14ac:dyDescent="0.15">
      <c r="A76" s="17">
        <v>43280</v>
      </c>
      <c r="B76" s="5">
        <v>5.1502714153316642E-2</v>
      </c>
      <c r="C76" s="5">
        <v>11.074999999999999</v>
      </c>
      <c r="D76" s="5">
        <v>2.0567369581451667E-2</v>
      </c>
      <c r="E76" s="5">
        <v>1.7241379310344751E-2</v>
      </c>
      <c r="F76" s="5">
        <v>-0.25641025641025639</v>
      </c>
      <c r="G76" s="5">
        <v>-2.3167208987580734E-2</v>
      </c>
      <c r="I76">
        <v>46</v>
      </c>
      <c r="J76">
        <v>1.7580736599926802E-2</v>
      </c>
      <c r="K76">
        <v>-0.27859756209049263</v>
      </c>
    </row>
    <row r="77" spans="1:11" x14ac:dyDescent="0.15">
      <c r="A77" s="17">
        <v>43287</v>
      </c>
      <c r="B77" s="5">
        <v>-2.6819440946864725E-2</v>
      </c>
      <c r="C77" s="5">
        <v>-0.54865424430641818</v>
      </c>
      <c r="D77" s="5">
        <v>2.1529214486378345E-2</v>
      </c>
      <c r="E77" s="5">
        <v>2.6836158192090398E-2</v>
      </c>
      <c r="F77" s="5">
        <v>0.34482758620689657</v>
      </c>
      <c r="G77" s="5">
        <v>-0.28399246253862664</v>
      </c>
      <c r="I77">
        <v>47</v>
      </c>
      <c r="J77">
        <v>1.610347584368764E-2</v>
      </c>
      <c r="K77">
        <v>0.9641310493131291</v>
      </c>
    </row>
    <row r="78" spans="1:11" x14ac:dyDescent="0.15">
      <c r="A78" s="17">
        <v>43294</v>
      </c>
      <c r="B78" s="5">
        <v>-3.0663733988873121E-2</v>
      </c>
      <c r="C78" s="5">
        <v>-0.65596330275229353</v>
      </c>
      <c r="D78" s="5">
        <v>4.4768864746846937E-4</v>
      </c>
      <c r="E78" s="5">
        <v>-9.1701054562121076E-4</v>
      </c>
      <c r="F78" s="5">
        <v>0.15384615384615397</v>
      </c>
      <c r="G78" s="5">
        <v>0.52122088225672569</v>
      </c>
      <c r="I78">
        <v>48</v>
      </c>
      <c r="J78">
        <v>6.3337922323995863E-2</v>
      </c>
      <c r="K78">
        <v>-0.26860607622486937</v>
      </c>
    </row>
    <row r="79" spans="1:11" x14ac:dyDescent="0.15">
      <c r="A79" s="17">
        <v>43301</v>
      </c>
      <c r="B79" s="5">
        <v>-2.562733582487986E-2</v>
      </c>
      <c r="C79" s="5">
        <v>1.52</v>
      </c>
      <c r="D79" s="5">
        <v>-4.2025545189926738E-2</v>
      </c>
      <c r="E79" s="5">
        <v>-3.4419458467186748E-2</v>
      </c>
      <c r="F79" s="5">
        <v>-2.2222222222222143E-2</v>
      </c>
      <c r="G79" s="5">
        <v>0.13531640419056523</v>
      </c>
      <c r="I79">
        <v>49</v>
      </c>
      <c r="J79">
        <v>3.2771899736543604E-2</v>
      </c>
      <c r="K79">
        <v>-0.22657677129330767</v>
      </c>
    </row>
    <row r="80" spans="1:11" x14ac:dyDescent="0.15">
      <c r="A80" s="17">
        <v>43308</v>
      </c>
      <c r="B80" s="5">
        <v>1.9041095890411031E-2</v>
      </c>
      <c r="C80" s="5">
        <v>2.7407407407407409</v>
      </c>
      <c r="D80" s="5">
        <v>1.9974909022964393E-2</v>
      </c>
      <c r="E80" s="5">
        <v>1.7110266159695797E-2</v>
      </c>
      <c r="F80" s="5">
        <v>-0.38636363636363635</v>
      </c>
      <c r="G80" s="5">
        <v>-0.30188694023977491</v>
      </c>
      <c r="I80">
        <v>50</v>
      </c>
      <c r="J80">
        <v>4.4306848125649244E-2</v>
      </c>
      <c r="K80">
        <v>-0.27956795464859163</v>
      </c>
    </row>
    <row r="81" spans="1:11" x14ac:dyDescent="0.15">
      <c r="A81" s="17">
        <v>43322</v>
      </c>
      <c r="B81" s="5">
        <v>-1.9223013845947157E-2</v>
      </c>
      <c r="C81" s="5">
        <v>-0.49363507779349369</v>
      </c>
      <c r="D81" s="5">
        <v>-7.7070030356953811E-3</v>
      </c>
      <c r="E81" s="5">
        <v>-8.5046728971962637E-2</v>
      </c>
      <c r="F81" s="5">
        <v>-0.18518518518518512</v>
      </c>
      <c r="G81" s="5">
        <v>0.18820821502106599</v>
      </c>
      <c r="I81">
        <v>51</v>
      </c>
      <c r="J81">
        <v>2.4874742183530148E-2</v>
      </c>
      <c r="K81">
        <v>0.54631188609229386</v>
      </c>
    </row>
    <row r="82" spans="1:11" x14ac:dyDescent="0.15">
      <c r="A82" s="17">
        <v>43329</v>
      </c>
      <c r="B82" s="5">
        <v>-1.5076754385964786E-2</v>
      </c>
      <c r="C82" s="5">
        <v>0.25977653631284903</v>
      </c>
      <c r="D82" s="5">
        <v>-8.7602470275379707E-3</v>
      </c>
      <c r="E82" s="5">
        <v>1.3278855975485282E-2</v>
      </c>
      <c r="F82" s="5">
        <v>-9.0909090909090939E-2</v>
      </c>
      <c r="G82" s="5">
        <v>0.22989020585949738</v>
      </c>
      <c r="I82">
        <v>52</v>
      </c>
      <c r="J82">
        <v>3.0760914177672322E-2</v>
      </c>
      <c r="K82">
        <v>-5.2602228295247161E-2</v>
      </c>
    </row>
    <row r="83" spans="1:11" x14ac:dyDescent="0.15">
      <c r="A83" s="17">
        <v>43336</v>
      </c>
      <c r="B83" s="5">
        <v>4.967993320345121E-2</v>
      </c>
      <c r="C83" s="5">
        <v>0.84922394678492252</v>
      </c>
      <c r="D83" s="5">
        <v>1.092624782716678E-2</v>
      </c>
      <c r="E83" s="5">
        <v>4.0322580645162365E-3</v>
      </c>
      <c r="F83" s="5">
        <v>-0.25</v>
      </c>
      <c r="G83" s="5">
        <v>-0.30543889449578554</v>
      </c>
      <c r="I83">
        <v>53</v>
      </c>
      <c r="J83">
        <v>1.6991514181372361E-2</v>
      </c>
      <c r="K83">
        <v>-4.8877248454650815E-2</v>
      </c>
    </row>
    <row r="84" spans="1:11" x14ac:dyDescent="0.15">
      <c r="A84" s="17">
        <v>43343</v>
      </c>
      <c r="B84" s="5">
        <v>2.6779795837200027E-2</v>
      </c>
      <c r="C84" s="5">
        <v>-0.10071942446043169</v>
      </c>
      <c r="D84" s="5">
        <v>2.8989893673017963E-2</v>
      </c>
      <c r="E84" s="5">
        <v>5.5220883534137233E-3</v>
      </c>
      <c r="F84" s="5">
        <v>-0.60000000000000009</v>
      </c>
      <c r="G84" s="5">
        <v>0.2106411502165082</v>
      </c>
      <c r="I84">
        <v>54</v>
      </c>
      <c r="J84">
        <v>3.3688822973677174E-2</v>
      </c>
      <c r="K84">
        <v>-0.35225213674856681</v>
      </c>
    </row>
    <row r="85" spans="1:11" x14ac:dyDescent="0.15">
      <c r="A85" s="17">
        <v>43350</v>
      </c>
      <c r="B85" s="5">
        <v>-4.5190445448677341E-3</v>
      </c>
      <c r="C85" s="5">
        <v>-0.84799999999999998</v>
      </c>
      <c r="D85" s="5">
        <v>-1.0243621714943307E-2</v>
      </c>
      <c r="E85" s="5">
        <v>-4.2436345481777438E-2</v>
      </c>
      <c r="F85" s="5">
        <v>-0.16666666666666663</v>
      </c>
      <c r="G85" s="5">
        <v>-0.18221279163474247</v>
      </c>
      <c r="I85">
        <v>55</v>
      </c>
      <c r="J85">
        <v>2.6469962123374251E-2</v>
      </c>
      <c r="K85">
        <v>0.74605752491581689</v>
      </c>
    </row>
    <row r="86" spans="1:11" x14ac:dyDescent="0.15">
      <c r="A86" s="17">
        <v>43357</v>
      </c>
      <c r="B86" s="5">
        <v>1.2970168612191912E-2</v>
      </c>
      <c r="C86" s="5">
        <v>-7.8947368421052544E-2</v>
      </c>
      <c r="D86" s="5">
        <v>1.6555977638232022E-2</v>
      </c>
      <c r="E86" s="5">
        <v>5.2137643378519227E-2</v>
      </c>
      <c r="F86" s="5">
        <v>1.6</v>
      </c>
      <c r="G86" s="5">
        <v>0.3750862258202412</v>
      </c>
      <c r="I86">
        <v>56</v>
      </c>
      <c r="J86">
        <v>3.5382972944005671E-2</v>
      </c>
      <c r="K86">
        <v>-0.33518066928363494</v>
      </c>
    </row>
    <row r="87" spans="1:11" x14ac:dyDescent="0.15">
      <c r="A87" s="17">
        <v>43364</v>
      </c>
      <c r="B87" s="5">
        <v>8.5787451984635776E-3</v>
      </c>
      <c r="C87" s="5">
        <v>-0.27619047619047621</v>
      </c>
      <c r="D87" s="5">
        <v>2.8191809376933108E-2</v>
      </c>
      <c r="E87" s="5">
        <v>4.658077304261643E-2</v>
      </c>
      <c r="F87" s="5">
        <v>1.7692307692307692</v>
      </c>
      <c r="G87" s="5">
        <v>-0.16207685838676988</v>
      </c>
      <c r="I87">
        <v>57</v>
      </c>
      <c r="J87">
        <v>2.4570749161030612E-2</v>
      </c>
      <c r="K87">
        <v>2.230462060465568E-2</v>
      </c>
    </row>
    <row r="88" spans="1:11" x14ac:dyDescent="0.15">
      <c r="A88" s="17">
        <v>43371</v>
      </c>
      <c r="B88" s="5">
        <v>4.9765139012314386E-2</v>
      </c>
      <c r="C88" s="5">
        <v>2.763157894736842</v>
      </c>
      <c r="D88" s="5">
        <v>2.0009889566507288E-2</v>
      </c>
      <c r="E88" s="5">
        <v>2.0833333333333259E-2</v>
      </c>
      <c r="F88" s="5">
        <v>-0.16666666666666674</v>
      </c>
      <c r="G88" s="5">
        <v>-3.6737840098323038E-2</v>
      </c>
      <c r="I88">
        <v>58</v>
      </c>
      <c r="J88">
        <v>2.704219553678E-2</v>
      </c>
      <c r="K88">
        <v>-0.10402068303885559</v>
      </c>
    </row>
    <row r="89" spans="1:11" x14ac:dyDescent="0.15">
      <c r="A89" s="17">
        <v>43378</v>
      </c>
      <c r="B89" s="5">
        <v>1.7172572257830421E-2</v>
      </c>
      <c r="C89" s="5">
        <v>-0.27622377622377625</v>
      </c>
      <c r="D89" s="5">
        <v>-9.8813909895933971E-3</v>
      </c>
      <c r="E89" s="5">
        <v>-1.6697588126159513E-2</v>
      </c>
      <c r="F89" s="5">
        <v>0.19999999999999996</v>
      </c>
      <c r="G89" s="5">
        <v>0.32225971017738209</v>
      </c>
      <c r="I89">
        <v>59</v>
      </c>
      <c r="J89">
        <v>9.3100434057787791E-3</v>
      </c>
      <c r="K89">
        <v>9.5286188457602297E-2</v>
      </c>
    </row>
    <row r="90" spans="1:11" x14ac:dyDescent="0.15">
      <c r="A90" s="17">
        <v>43385</v>
      </c>
      <c r="B90" s="5">
        <v>-4.173106646058744E-2</v>
      </c>
      <c r="C90" s="5">
        <v>-2.7391304347826089</v>
      </c>
      <c r="D90" s="5">
        <v>-1.95356807703293E-2</v>
      </c>
      <c r="E90" s="5">
        <v>-1.8867924528301883E-3</v>
      </c>
      <c r="F90" s="5">
        <v>0.19444444444444442</v>
      </c>
      <c r="G90" s="5">
        <v>0.13976680745721293</v>
      </c>
      <c r="I90">
        <v>60</v>
      </c>
      <c r="J90">
        <v>4.8082118961849246E-3</v>
      </c>
      <c r="K90">
        <v>-0.16677933187906074</v>
      </c>
    </row>
    <row r="91" spans="1:11" x14ac:dyDescent="0.15">
      <c r="A91" s="17">
        <v>43392</v>
      </c>
      <c r="B91" s="5">
        <v>-7.1960297766748837E-3</v>
      </c>
      <c r="C91" s="5">
        <v>-0.61111111111111116</v>
      </c>
      <c r="D91" s="5">
        <v>-2.423200805652892E-2</v>
      </c>
      <c r="E91" s="5">
        <v>-1.3232514177693777E-2</v>
      </c>
      <c r="F91" s="5">
        <v>0.16279069767441867</v>
      </c>
      <c r="G91" s="5">
        <v>-0.2292567437715366</v>
      </c>
      <c r="I91">
        <v>61</v>
      </c>
      <c r="J91">
        <v>2.9245158200095454E-2</v>
      </c>
      <c r="K91">
        <v>0.14667761007387556</v>
      </c>
    </row>
    <row r="92" spans="1:11" x14ac:dyDescent="0.15">
      <c r="A92" s="17">
        <v>43399</v>
      </c>
      <c r="B92" s="5">
        <v>-2.8617845538615239E-2</v>
      </c>
      <c r="C92" s="5">
        <v>-0.34285714285714275</v>
      </c>
      <c r="D92" s="5">
        <v>-2.1993440777212547E-2</v>
      </c>
      <c r="E92" s="5">
        <v>-2.8256704980842873E-2</v>
      </c>
      <c r="F92" s="5">
        <v>-0.38</v>
      </c>
      <c r="G92" s="5">
        <v>1.936421676373512E-2</v>
      </c>
      <c r="I92">
        <v>62</v>
      </c>
      <c r="J92">
        <v>-1.4549188274113011E-2</v>
      </c>
      <c r="K92">
        <v>1.7520524189009411E-2</v>
      </c>
    </row>
    <row r="93" spans="1:11" x14ac:dyDescent="0.15">
      <c r="A93" s="17">
        <v>43413</v>
      </c>
      <c r="B93" s="5">
        <v>-0.10099060851666031</v>
      </c>
      <c r="C93" s="5">
        <v>7.25</v>
      </c>
      <c r="D93" s="5">
        <v>4.8076503780710045E-2</v>
      </c>
      <c r="E93" s="5">
        <v>1.5771315919171913E-2</v>
      </c>
      <c r="F93" s="5">
        <v>-0.80645161290322576</v>
      </c>
      <c r="G93" s="5">
        <v>-0.14396578167221041</v>
      </c>
      <c r="I93">
        <v>63</v>
      </c>
      <c r="J93">
        <v>3.0497042498864913E-2</v>
      </c>
      <c r="K93">
        <v>-0.13099616625216021</v>
      </c>
    </row>
    <row r="94" spans="1:11" x14ac:dyDescent="0.15">
      <c r="A94" s="17">
        <v>43420</v>
      </c>
      <c r="B94" s="5">
        <v>-3.9782484258729323E-2</v>
      </c>
      <c r="C94" s="5">
        <v>-1.0144927536231885</v>
      </c>
      <c r="D94" s="5">
        <v>-1.2814805260727091E-2</v>
      </c>
      <c r="E94" s="5">
        <v>1.9408054342552328E-2</v>
      </c>
      <c r="F94" s="5">
        <v>-0.16666666666666663</v>
      </c>
      <c r="G94" s="5">
        <v>0.13570814408350862</v>
      </c>
      <c r="I94">
        <v>64</v>
      </c>
      <c r="J94">
        <v>2.8045974325143809E-2</v>
      </c>
      <c r="K94">
        <v>-6.373469977103377E-2</v>
      </c>
    </row>
    <row r="95" spans="1:11" x14ac:dyDescent="0.15">
      <c r="A95" s="17">
        <v>43427</v>
      </c>
      <c r="B95" s="5">
        <v>-0.11788375558867359</v>
      </c>
      <c r="C95" s="5">
        <v>-149.54545454545453</v>
      </c>
      <c r="D95" s="5">
        <v>-1.2517543526912811E-2</v>
      </c>
      <c r="E95" s="5">
        <v>-2.6653974297953464E-2</v>
      </c>
      <c r="F95" s="5">
        <v>-2.6</v>
      </c>
      <c r="G95" s="5">
        <v>-7.5796938434797068E-2</v>
      </c>
      <c r="I95">
        <v>65</v>
      </c>
      <c r="J95">
        <v>1.6863324273914404E-2</v>
      </c>
      <c r="K95">
        <v>-2.4643526431372298E-2</v>
      </c>
    </row>
    <row r="96" spans="1:11" x14ac:dyDescent="0.15">
      <c r="A96" s="17">
        <v>43434</v>
      </c>
      <c r="B96" s="5">
        <v>-8.6163203243790898E-3</v>
      </c>
      <c r="C96" s="5">
        <v>-0.90697674418604657</v>
      </c>
      <c r="D96" s="5">
        <v>2.1139835337200319E-2</v>
      </c>
      <c r="E96" s="5">
        <v>0</v>
      </c>
      <c r="F96" s="5">
        <v>-1.5</v>
      </c>
      <c r="G96" s="5">
        <v>5.1302925101365249E-2</v>
      </c>
      <c r="I96">
        <v>66</v>
      </c>
      <c r="J96">
        <v>2.1502115474736381E-2</v>
      </c>
      <c r="K96">
        <v>0.13947191673469159</v>
      </c>
    </row>
    <row r="97" spans="1:11" x14ac:dyDescent="0.15">
      <c r="A97" s="17">
        <v>43441</v>
      </c>
      <c r="B97" s="5">
        <v>4.6353101567825572E-2</v>
      </c>
      <c r="C97" s="5">
        <v>-3.7434210526315788</v>
      </c>
      <c r="D97" s="5">
        <v>1.6213166144200652E-2</v>
      </c>
      <c r="E97" s="5">
        <v>1.2713936430317929E-2</v>
      </c>
      <c r="F97" s="5">
        <v>0.74999999999999978</v>
      </c>
      <c r="G97" s="5">
        <v>2.0450380442365468E-2</v>
      </c>
      <c r="I97">
        <v>67</v>
      </c>
      <c r="J97">
        <v>9.2432936901711074E-3</v>
      </c>
      <c r="K97">
        <v>-0.20711638575913119</v>
      </c>
    </row>
    <row r="98" spans="1:11" x14ac:dyDescent="0.15">
      <c r="A98" s="17">
        <v>43448</v>
      </c>
      <c r="B98" s="5">
        <v>-1.8729641693811083E-2</v>
      </c>
      <c r="C98" s="5">
        <v>-1.0719424460431655</v>
      </c>
      <c r="D98" s="5">
        <v>-2.6981561228812678E-2</v>
      </c>
      <c r="E98" s="5">
        <v>-2.3177209077740235E-2</v>
      </c>
      <c r="F98" s="5">
        <v>-1.3714285714285714</v>
      </c>
      <c r="G98" s="5">
        <v>0.12357405356520146</v>
      </c>
      <c r="I98">
        <v>68</v>
      </c>
      <c r="J98">
        <v>2.1854796735896846E-2</v>
      </c>
      <c r="K98">
        <v>-2.4994447160000474E-3</v>
      </c>
    </row>
    <row r="99" spans="1:11" x14ac:dyDescent="0.15">
      <c r="A99" s="17">
        <v>43455</v>
      </c>
      <c r="B99" s="5">
        <v>-0.11203319502074693</v>
      </c>
      <c r="C99" s="5">
        <v>12.633333333333333</v>
      </c>
      <c r="D99" s="5">
        <v>-7.8285827813450171E-3</v>
      </c>
      <c r="E99" s="5">
        <v>-7.9584775086505188E-2</v>
      </c>
      <c r="F99" s="5">
        <v>2.4615384615384617</v>
      </c>
      <c r="G99" s="5">
        <v>-0.13856735727056535</v>
      </c>
      <c r="I99">
        <v>69</v>
      </c>
      <c r="J99">
        <v>2.2454125346507831E-2</v>
      </c>
      <c r="K99">
        <v>-0.13437721937640271</v>
      </c>
    </row>
    <row r="100" spans="1:11" x14ac:dyDescent="0.15">
      <c r="A100" s="17">
        <v>43469</v>
      </c>
      <c r="B100" s="5">
        <v>7.3271028037383168E-2</v>
      </c>
      <c r="C100" s="5">
        <v>-2.657701711491443</v>
      </c>
      <c r="D100" s="5">
        <v>2.5277248771925276E-2</v>
      </c>
      <c r="E100" s="5">
        <v>5.853920515574651E-2</v>
      </c>
      <c r="F100" s="5">
        <v>-1</v>
      </c>
      <c r="G100" s="5">
        <v>-0.10140229785473709</v>
      </c>
      <c r="I100">
        <v>70</v>
      </c>
      <c r="J100">
        <v>1.6833736495433484E-2</v>
      </c>
      <c r="K100">
        <v>0.13526755549503636</v>
      </c>
    </row>
    <row r="101" spans="1:11" x14ac:dyDescent="0.15">
      <c r="A101" s="17">
        <v>43476</v>
      </c>
      <c r="B101" s="5">
        <v>5.5207244862417237E-2</v>
      </c>
      <c r="C101" s="5">
        <v>-1.7699115044247815E-2</v>
      </c>
      <c r="D101" s="5">
        <v>1.5769790151672458E-2</v>
      </c>
      <c r="E101" s="5">
        <v>1.7757483510908001E-2</v>
      </c>
      <c r="F101" s="5">
        <v>0</v>
      </c>
      <c r="G101" s="5">
        <v>0.10004878378052084</v>
      </c>
      <c r="I101">
        <v>71</v>
      </c>
      <c r="J101">
        <v>2.6953148576336135E-2</v>
      </c>
      <c r="K101">
        <v>4.7571324170791567E-2</v>
      </c>
    </row>
    <row r="102" spans="1:11" x14ac:dyDescent="0.15">
      <c r="A102" s="17">
        <v>43483</v>
      </c>
      <c r="B102" s="5">
        <v>3.2843703581449057E-2</v>
      </c>
      <c r="C102" s="5">
        <v>-0.53603603603603611</v>
      </c>
      <c r="D102" s="5">
        <v>1.1929063797582407E-2</v>
      </c>
      <c r="E102" s="5">
        <v>2.243270189431712E-2</v>
      </c>
      <c r="F102" s="5">
        <v>-3</v>
      </c>
      <c r="G102" s="5">
        <v>7.8954027795812953E-2</v>
      </c>
      <c r="I102">
        <v>72</v>
      </c>
      <c r="J102">
        <v>2.1324692621131985E-2</v>
      </c>
      <c r="K102">
        <v>-6.4657684884081496E-2</v>
      </c>
    </row>
    <row r="103" spans="1:11" x14ac:dyDescent="0.15">
      <c r="A103" s="17">
        <v>43490</v>
      </c>
      <c r="B103" s="5">
        <v>-1.7098114413550691E-2</v>
      </c>
      <c r="C103" s="5">
        <v>-0.89967637540453071</v>
      </c>
      <c r="D103" s="5">
        <v>9.9530645493832726E-3</v>
      </c>
      <c r="E103" s="5">
        <v>1.1214041930765362E-2</v>
      </c>
      <c r="F103" s="5">
        <v>-1.2</v>
      </c>
      <c r="G103" s="5">
        <v>-4.2749482979626219E-2</v>
      </c>
      <c r="I103">
        <v>73</v>
      </c>
      <c r="J103">
        <v>1.5310246288489903E-2</v>
      </c>
      <c r="K103">
        <v>-3.8477455276070639E-2</v>
      </c>
    </row>
    <row r="104" spans="1:11" x14ac:dyDescent="0.15">
      <c r="A104" s="17">
        <v>43497</v>
      </c>
      <c r="B104" s="5">
        <v>2.2597951552593143E-2</v>
      </c>
      <c r="C104" s="5">
        <v>3.2258064516129004E-2</v>
      </c>
      <c r="D104" s="5">
        <v>9.3946514132003944E-3</v>
      </c>
      <c r="E104" s="5">
        <v>1.8322082931533368E-2</v>
      </c>
      <c r="F104" s="5">
        <v>0</v>
      </c>
      <c r="G104" s="5">
        <v>-7.9253408692884331E-2</v>
      </c>
      <c r="I104">
        <v>74</v>
      </c>
      <c r="J104">
        <v>4.1300244447419011E-2</v>
      </c>
      <c r="K104">
        <v>-0.32529270698604568</v>
      </c>
    </row>
    <row r="105" spans="1:11" x14ac:dyDescent="0.15">
      <c r="A105" s="17">
        <v>43504</v>
      </c>
      <c r="B105" s="5">
        <v>-1.4785373608902974E-2</v>
      </c>
      <c r="C105" s="5">
        <v>0.4375</v>
      </c>
      <c r="D105" s="5">
        <v>-7.4870127295076916E-3</v>
      </c>
      <c r="E105" s="5">
        <v>-1.7045454545454475E-2</v>
      </c>
      <c r="F105" s="5">
        <v>3.5</v>
      </c>
      <c r="G105" s="5">
        <v>0.26218617699153968</v>
      </c>
      <c r="I105">
        <v>75</v>
      </c>
      <c r="J105">
        <v>2.993379202643235E-2</v>
      </c>
      <c r="K105">
        <v>0.49128709023029332</v>
      </c>
    </row>
    <row r="106" spans="1:11" x14ac:dyDescent="0.15">
      <c r="A106" s="17">
        <v>43511</v>
      </c>
      <c r="B106" s="5">
        <v>4.6958205583346624E-2</v>
      </c>
      <c r="C106" s="5">
        <v>8.8260869565217384</v>
      </c>
      <c r="D106" s="5">
        <v>-5.0582942440927647E-3</v>
      </c>
      <c r="E106" s="5">
        <v>-1.3969171483622533E-2</v>
      </c>
      <c r="F106" s="5">
        <v>-0.88888888888888884</v>
      </c>
      <c r="G106" s="5">
        <v>-8.0203455804175872E-2</v>
      </c>
      <c r="I106">
        <v>76</v>
      </c>
      <c r="J106">
        <v>1.144755462263369E-2</v>
      </c>
      <c r="K106">
        <v>0.12386884956793154</v>
      </c>
    </row>
    <row r="107" spans="1:11" x14ac:dyDescent="0.15">
      <c r="A107" s="17">
        <v>43518</v>
      </c>
      <c r="B107" s="5">
        <v>3.128853267570908E-2</v>
      </c>
      <c r="C107" s="5">
        <v>-0.27433628318584069</v>
      </c>
      <c r="D107" s="5">
        <v>-6.1441835062792105E-4</v>
      </c>
      <c r="E107" s="5">
        <v>1.2701514411333825E-2</v>
      </c>
      <c r="F107" s="5">
        <v>4.9999999999999991</v>
      </c>
      <c r="G107" s="5">
        <v>-6.4953879054860386E-2</v>
      </c>
      <c r="I107">
        <v>77</v>
      </c>
      <c r="J107">
        <v>1.9564764167590603E-2</v>
      </c>
      <c r="K107">
        <v>-0.32145170440736553</v>
      </c>
    </row>
    <row r="108" spans="1:11" x14ac:dyDescent="0.15">
      <c r="A108" s="17">
        <v>43525</v>
      </c>
      <c r="B108" s="5">
        <v>-2.8545807801524381E-2</v>
      </c>
      <c r="C108" s="5">
        <v>-0.4359756097560975</v>
      </c>
      <c r="D108" s="5">
        <v>-4.2674081723679258E-3</v>
      </c>
      <c r="E108" s="5">
        <v>-1.3989387361312056E-2</v>
      </c>
      <c r="F108" s="5">
        <v>1.5</v>
      </c>
      <c r="G108" s="5">
        <v>-3.3779418371947423E-2</v>
      </c>
      <c r="I108">
        <v>78</v>
      </c>
      <c r="J108">
        <v>6.3682559909707896E-3</v>
      </c>
      <c r="K108">
        <v>0.1818399590300952</v>
      </c>
    </row>
    <row r="109" spans="1:11" x14ac:dyDescent="0.15">
      <c r="A109" s="17">
        <v>43539</v>
      </c>
      <c r="B109" s="5">
        <v>1.8386263485792309E-2</v>
      </c>
      <c r="C109" s="5">
        <v>0.73228346456692917</v>
      </c>
      <c r="D109" s="5">
        <v>0</v>
      </c>
      <c r="E109" s="5">
        <v>3.4705007436787172E-2</v>
      </c>
      <c r="F109" s="5">
        <v>-1</v>
      </c>
      <c r="G109" s="5">
        <v>-8.3000521699690855E-2</v>
      </c>
      <c r="I109">
        <v>79</v>
      </c>
      <c r="J109">
        <v>2.375887591041196E-2</v>
      </c>
      <c r="K109">
        <v>0.20613132994908542</v>
      </c>
    </row>
    <row r="110" spans="1:11" x14ac:dyDescent="0.15">
      <c r="A110" s="17">
        <v>43546</v>
      </c>
      <c r="B110" s="5">
        <v>8.9525514771704451E-4</v>
      </c>
      <c r="C110" s="5">
        <v>-0.36818181818181828</v>
      </c>
      <c r="D110" s="5">
        <v>6.4480181529678049E-3</v>
      </c>
      <c r="E110" s="5">
        <v>1.4374700527071127E-3</v>
      </c>
      <c r="F110" s="5">
        <v>0</v>
      </c>
      <c r="G110" s="5">
        <v>7.0996017700668768E-2</v>
      </c>
      <c r="I110">
        <v>80</v>
      </c>
      <c r="J110">
        <v>1.1117517708385989E-2</v>
      </c>
      <c r="K110">
        <v>-0.31655641220417152</v>
      </c>
    </row>
    <row r="111" spans="1:11" x14ac:dyDescent="0.15">
      <c r="A111" s="17">
        <v>43553</v>
      </c>
      <c r="B111" s="5">
        <v>1.9528920691711527E-2</v>
      </c>
      <c r="C111" s="5">
        <v>-0.1223021582733812</v>
      </c>
      <c r="D111" s="5">
        <v>1.7651542504111273E-3</v>
      </c>
      <c r="E111" s="5">
        <v>-1.4354066985645786E-2</v>
      </c>
      <c r="F111" s="5">
        <v>-0.69230769230769229</v>
      </c>
      <c r="G111" s="5">
        <v>-1.8296491552647454E-2</v>
      </c>
      <c r="I111">
        <v>81</v>
      </c>
      <c r="J111">
        <v>1.4773199488112388E-2</v>
      </c>
      <c r="K111">
        <v>0.1958679507283958</v>
      </c>
    </row>
    <row r="112" spans="1:11" x14ac:dyDescent="0.15">
      <c r="A112" s="17">
        <v>43560</v>
      </c>
      <c r="B112" s="5">
        <v>3.0560023395233227E-2</v>
      </c>
      <c r="C112" s="5">
        <v>0.10655737704918034</v>
      </c>
      <c r="D112" s="5">
        <v>1.7576388610788474E-2</v>
      </c>
      <c r="E112" s="5">
        <v>2.8640776699029091E-2</v>
      </c>
      <c r="F112" s="5">
        <v>-3.5</v>
      </c>
      <c r="G112" s="5">
        <v>-9.1051454596139392E-2</v>
      </c>
      <c r="I112">
        <v>82</v>
      </c>
      <c r="J112">
        <v>1.0522877129659209E-2</v>
      </c>
      <c r="K112">
        <v>-0.19273566876440168</v>
      </c>
    </row>
    <row r="113" spans="1:11" x14ac:dyDescent="0.15">
      <c r="A113" s="17">
        <v>43567</v>
      </c>
      <c r="B113" s="5">
        <v>1.5181611804767181E-2</v>
      </c>
      <c r="C113" s="5">
        <v>2.5925925925925908E-2</v>
      </c>
      <c r="D113" s="5">
        <v>7.3711427435763088E-3</v>
      </c>
      <c r="E113" s="5">
        <v>1.2269938650306678E-2</v>
      </c>
      <c r="F113" s="5">
        <v>-0.9</v>
      </c>
      <c r="G113" s="5">
        <v>0.22894042869599041</v>
      </c>
      <c r="I113">
        <v>83</v>
      </c>
      <c r="J113">
        <v>5.4835721621213737E-2</v>
      </c>
      <c r="K113">
        <v>0.32025050419902745</v>
      </c>
    </row>
    <row r="114" spans="1:11" x14ac:dyDescent="0.15">
      <c r="A114" s="17">
        <v>43581</v>
      </c>
      <c r="B114" s="5">
        <v>-6.110262463546845E-3</v>
      </c>
      <c r="C114" s="5">
        <v>0</v>
      </c>
      <c r="D114" s="5">
        <v>0</v>
      </c>
      <c r="E114" s="5">
        <v>-1.4265991716520876E-2</v>
      </c>
      <c r="F114" s="5">
        <v>-1.6666666666666667</v>
      </c>
      <c r="G114" s="5">
        <v>0.13512029983184148</v>
      </c>
      <c r="I114">
        <v>84</v>
      </c>
      <c r="J114">
        <v>5.971193056780072E-2</v>
      </c>
      <c r="K114">
        <v>-0.2217887889545706</v>
      </c>
    </row>
    <row r="115" spans="1:11" x14ac:dyDescent="0.15">
      <c r="A115" s="17">
        <v>43588</v>
      </c>
      <c r="B115" s="5">
        <v>-1.1038144473941469E-2</v>
      </c>
      <c r="C115" s="5">
        <v>-1.6226415094339623</v>
      </c>
      <c r="D115" s="5">
        <v>6.7207027288471721E-3</v>
      </c>
      <c r="E115" s="5">
        <v>6.5359477124180554E-3</v>
      </c>
      <c r="F115" s="5">
        <v>3.5</v>
      </c>
      <c r="G115" s="5">
        <v>1.7552677745436007E-4</v>
      </c>
      <c r="I115">
        <v>85</v>
      </c>
      <c r="J115">
        <v>1.7236742683745192E-2</v>
      </c>
      <c r="K115">
        <v>-5.397458278206823E-2</v>
      </c>
    </row>
    <row r="116" spans="1:11" x14ac:dyDescent="0.15">
      <c r="A116" s="17">
        <v>43602</v>
      </c>
      <c r="B116" s="5">
        <v>1.9638315908448778E-2</v>
      </c>
      <c r="C116" s="5">
        <v>-4.1666666666666661</v>
      </c>
      <c r="D116" s="5">
        <v>-1.3444661849317807E-3</v>
      </c>
      <c r="E116" s="5">
        <v>-1.9480519480519431E-2</v>
      </c>
      <c r="F116" s="5">
        <v>-1.0555555555555556</v>
      </c>
      <c r="G116" s="5">
        <v>-8.2941997315965077E-3</v>
      </c>
      <c r="I116">
        <v>86</v>
      </c>
      <c r="J116">
        <v>1.6043882408339965E-2</v>
      </c>
      <c r="K116">
        <v>0.3062158277690421</v>
      </c>
    </row>
    <row r="117" spans="1:11" x14ac:dyDescent="0.15">
      <c r="A117" s="17">
        <v>43616</v>
      </c>
      <c r="B117" s="5">
        <v>-0.10669253152279345</v>
      </c>
      <c r="C117" s="5">
        <v>-3.1483253588516749</v>
      </c>
      <c r="D117" s="5">
        <v>3.4083678631841918E-2</v>
      </c>
      <c r="E117" s="5">
        <v>2.3651844843897818E-2</v>
      </c>
      <c r="F117" s="5">
        <v>19</v>
      </c>
      <c r="G117" s="5">
        <v>-8.6993846905893069E-2</v>
      </c>
      <c r="I117">
        <v>87</v>
      </c>
      <c r="J117">
        <v>2.8204649085219177E-2</v>
      </c>
      <c r="K117">
        <v>0.11156215837199375</v>
      </c>
    </row>
    <row r="118" spans="1:11" x14ac:dyDescent="0.15">
      <c r="A118" s="17">
        <v>43623</v>
      </c>
      <c r="B118" s="5">
        <v>-1.9078641228478355E-2</v>
      </c>
      <c r="C118" s="5">
        <v>-0.31848552338530067</v>
      </c>
      <c r="D118" s="5">
        <v>2.4117088690706279E-2</v>
      </c>
      <c r="E118" s="5">
        <v>3.1423290203327126E-2</v>
      </c>
      <c r="F118" s="5">
        <v>1</v>
      </c>
      <c r="G118" s="5">
        <v>0.15200424063636064</v>
      </c>
      <c r="I118">
        <v>88</v>
      </c>
      <c r="J118">
        <v>1.7889746348616054E-2</v>
      </c>
      <c r="K118">
        <v>-0.24714649012015266</v>
      </c>
    </row>
    <row r="119" spans="1:11" x14ac:dyDescent="0.15">
      <c r="A119" s="17">
        <v>43630</v>
      </c>
      <c r="B119" s="5">
        <v>-1.8975332068311257E-2</v>
      </c>
      <c r="C119" s="5">
        <v>-1.6666666666666665</v>
      </c>
      <c r="D119" s="5">
        <v>3.5426306322148271E-3</v>
      </c>
      <c r="E119" s="5">
        <v>2.1057347670250914E-2</v>
      </c>
      <c r="F119" s="5">
        <v>-2.5000000000000022E-2</v>
      </c>
      <c r="G119" s="5">
        <v>-9.0410564082143319E-2</v>
      </c>
      <c r="I119">
        <v>89</v>
      </c>
      <c r="J119">
        <v>1.2205672641957845E-2</v>
      </c>
      <c r="K119">
        <v>7.1585441217772751E-3</v>
      </c>
    </row>
    <row r="120" spans="1:11" x14ac:dyDescent="0.15">
      <c r="A120" s="17">
        <v>43637</v>
      </c>
      <c r="B120" s="5">
        <v>5.3352675693101093E-2</v>
      </c>
      <c r="C120" s="5">
        <v>2.8186274509803919</v>
      </c>
      <c r="D120" s="5">
        <v>8.0130545252765639E-3</v>
      </c>
      <c r="E120" s="5">
        <v>3.8174637999122574E-2</v>
      </c>
      <c r="F120" s="5">
        <v>0.20512820512820529</v>
      </c>
      <c r="G120" s="5">
        <v>-9.1737892267886978E-2</v>
      </c>
      <c r="I120">
        <v>90</v>
      </c>
      <c r="J120">
        <v>4.3523520683048794E-2</v>
      </c>
      <c r="K120">
        <v>-0.18748930235525921</v>
      </c>
    </row>
    <row r="121" spans="1:11" x14ac:dyDescent="0.15">
      <c r="A121" s="17">
        <v>43644</v>
      </c>
      <c r="B121" s="5">
        <v>1.7750573833205996E-2</v>
      </c>
      <c r="C121" s="5">
        <v>3.4659820282413323E-2</v>
      </c>
      <c r="D121" s="5">
        <v>1.6731673927923296E-3</v>
      </c>
      <c r="E121" s="5">
        <v>-1.2679628064243831E-3</v>
      </c>
      <c r="F121" s="5">
        <v>-0.23404255319148937</v>
      </c>
      <c r="G121" s="5">
        <v>1.0626430781072393E-2</v>
      </c>
      <c r="I121">
        <v>91</v>
      </c>
      <c r="J121">
        <v>2.7773152551978254E-2</v>
      </c>
      <c r="K121">
        <v>0.10793499153153037</v>
      </c>
    </row>
    <row r="122" spans="1:11" x14ac:dyDescent="0.15">
      <c r="A122" s="17">
        <v>43651</v>
      </c>
      <c r="B122" s="5">
        <v>-3.1123139377537301E-2</v>
      </c>
      <c r="C122" s="5">
        <v>-0.32630272952853601</v>
      </c>
      <c r="D122" s="5">
        <v>2.5127899199161252E-2</v>
      </c>
      <c r="E122" s="5">
        <v>9.3101988997039697E-3</v>
      </c>
      <c r="F122" s="5">
        <v>0.11111111111111116</v>
      </c>
      <c r="G122" s="5">
        <v>-0.12866217778739752</v>
      </c>
      <c r="I122">
        <v>92</v>
      </c>
      <c r="J122">
        <v>-3.784536631166853E-3</v>
      </c>
      <c r="K122">
        <v>-7.2012401803630222E-2</v>
      </c>
    </row>
    <row r="123" spans="1:11" x14ac:dyDescent="0.15">
      <c r="A123" s="17">
        <v>43658</v>
      </c>
      <c r="B123" s="5">
        <v>3.9726877715704489E-2</v>
      </c>
      <c r="C123" s="5">
        <v>0.68139963167587503</v>
      </c>
      <c r="D123" s="5">
        <v>-2.0374909623150583E-2</v>
      </c>
      <c r="E123" s="5">
        <v>2.9350104821803669E-3</v>
      </c>
      <c r="F123" s="5">
        <v>0</v>
      </c>
      <c r="G123" s="5">
        <v>0.17167152146226439</v>
      </c>
      <c r="I123">
        <v>93</v>
      </c>
      <c r="J123">
        <v>6.1586443434411518E-3</v>
      </c>
      <c r="K123">
        <v>4.5144280757924093E-2</v>
      </c>
    </row>
    <row r="124" spans="1:11" x14ac:dyDescent="0.15">
      <c r="A124" s="17">
        <v>43665</v>
      </c>
      <c r="B124" s="5">
        <v>-6.4925373134328335E-2</v>
      </c>
      <c r="C124" s="5">
        <v>-0.69441401971522454</v>
      </c>
      <c r="D124" s="5">
        <v>-2.7725574060873059E-2</v>
      </c>
      <c r="E124" s="5">
        <v>-1.0869565217391353E-2</v>
      </c>
      <c r="F124" s="5">
        <v>0</v>
      </c>
      <c r="G124" s="5">
        <v>-0.20496662895837781</v>
      </c>
      <c r="I124">
        <v>94</v>
      </c>
      <c r="J124">
        <v>2.8801417712831803E-2</v>
      </c>
      <c r="K124">
        <v>-8.3510372704663355E-3</v>
      </c>
    </row>
    <row r="125" spans="1:11" x14ac:dyDescent="0.15">
      <c r="A125" s="17">
        <v>43672</v>
      </c>
      <c r="B125" s="5">
        <v>1.1811652035115694E-2</v>
      </c>
      <c r="C125" s="5">
        <v>1.1326164874551972</v>
      </c>
      <c r="D125" s="5">
        <v>5.5951151053295067E-3</v>
      </c>
      <c r="E125" s="5">
        <v>-8.4530853761621838E-4</v>
      </c>
      <c r="F125" s="5">
        <v>-1.1000000000000001</v>
      </c>
      <c r="G125" s="5">
        <v>9.7200944323923233E-2</v>
      </c>
      <c r="I125">
        <v>95</v>
      </c>
      <c r="J125">
        <v>-4.3629132829230109E-3</v>
      </c>
      <c r="K125">
        <v>0.12793696684812447</v>
      </c>
    </row>
    <row r="126" spans="1:11" x14ac:dyDescent="0.15">
      <c r="A126" s="17">
        <v>43679</v>
      </c>
      <c r="B126" s="5">
        <v>-3.5021296734500718E-2</v>
      </c>
      <c r="C126" s="5">
        <v>-0.41344537815126048</v>
      </c>
      <c r="D126" s="5">
        <v>-1.501649678901773E-2</v>
      </c>
      <c r="E126" s="5">
        <v>-4.5262267343485596E-2</v>
      </c>
      <c r="F126" s="5">
        <v>3</v>
      </c>
      <c r="G126" s="5">
        <v>-9.9841543634592633E-2</v>
      </c>
      <c r="I126">
        <v>96</v>
      </c>
      <c r="J126">
        <v>6.4633066073867818E-2</v>
      </c>
      <c r="K126">
        <v>-0.20320042334443317</v>
      </c>
    </row>
    <row r="127" spans="1:11" x14ac:dyDescent="0.15">
      <c r="A127" s="17">
        <v>43686</v>
      </c>
      <c r="B127" s="5">
        <v>-4.4956678110184778E-2</v>
      </c>
      <c r="C127" s="5">
        <v>-0.92550143266475648</v>
      </c>
      <c r="D127" s="5">
        <v>1.7981980634789174E-3</v>
      </c>
      <c r="E127" s="5">
        <v>-8.4182543198937365E-3</v>
      </c>
      <c r="F127" s="5">
        <v>-1.3125</v>
      </c>
      <c r="G127" s="5">
        <v>0.17810585780260713</v>
      </c>
      <c r="I127">
        <v>97</v>
      </c>
      <c r="J127">
        <v>7.9746631580762291E-3</v>
      </c>
      <c r="K127">
        <v>-0.10937696101281331</v>
      </c>
    </row>
    <row r="128" spans="1:11" x14ac:dyDescent="0.15">
      <c r="A128" s="17">
        <v>43693</v>
      </c>
      <c r="B128" s="5">
        <v>3.765833618623704E-3</v>
      </c>
      <c r="C128" s="5">
        <v>15.461538461538463</v>
      </c>
      <c r="D128" s="5">
        <v>-2.4073500490724875E-2</v>
      </c>
      <c r="E128" s="5">
        <v>-4.0661304736371751E-2</v>
      </c>
      <c r="F128" s="5">
        <v>2</v>
      </c>
      <c r="G128" s="5">
        <v>-1.5384905906818735E-2</v>
      </c>
      <c r="I128">
        <v>98</v>
      </c>
      <c r="J128">
        <v>1.7035340878632725E-2</v>
      </c>
      <c r="K128">
        <v>8.3013442901888113E-2</v>
      </c>
    </row>
    <row r="129" spans="1:11" x14ac:dyDescent="0.15">
      <c r="A129" s="17">
        <v>43700</v>
      </c>
      <c r="B129" s="5">
        <v>5.1159618008185248E-3</v>
      </c>
      <c r="C129" s="5">
        <v>-0.63317757009345788</v>
      </c>
      <c r="D129" s="5">
        <v>1.7413582135209493E-2</v>
      </c>
      <c r="E129" s="5">
        <v>1.2575687005123459E-2</v>
      </c>
      <c r="F129" s="5">
        <v>0</v>
      </c>
      <c r="G129" s="5">
        <v>2.1315581318713805E-2</v>
      </c>
      <c r="I129">
        <v>99</v>
      </c>
      <c r="J129">
        <v>-2.1987445063951828E-2</v>
      </c>
      <c r="K129">
        <v>0.10094147285976478</v>
      </c>
    </row>
    <row r="130" spans="1:11" x14ac:dyDescent="0.15">
      <c r="A130" s="17">
        <v>43707</v>
      </c>
      <c r="B130" s="5">
        <v>2.5279945707499252E-2</v>
      </c>
      <c r="C130" s="5">
        <v>0.42675159235668803</v>
      </c>
      <c r="D130" s="5">
        <v>2.9803738809504265E-2</v>
      </c>
      <c r="E130" s="5">
        <v>2.3919043238270543E-2</v>
      </c>
      <c r="F130" s="5">
        <v>0.33333333333333326</v>
      </c>
      <c r="G130" s="5">
        <v>-0.12470528417839277</v>
      </c>
      <c r="I130">
        <v>100</v>
      </c>
      <c r="J130">
        <v>1.1740243461067092E-2</v>
      </c>
      <c r="K130">
        <v>-5.448972644069331E-2</v>
      </c>
    </row>
    <row r="131" spans="1:11" x14ac:dyDescent="0.15">
      <c r="A131" s="17">
        <v>43714</v>
      </c>
      <c r="B131" s="5">
        <v>2.2339897401952635E-2</v>
      </c>
      <c r="C131" s="5">
        <v>-0.65625</v>
      </c>
      <c r="D131" s="5">
        <v>2.0988744689858674E-2</v>
      </c>
      <c r="E131" s="5">
        <v>3.638814016172498E-2</v>
      </c>
      <c r="F131" s="5">
        <v>1.2000000000000002</v>
      </c>
      <c r="G131" s="5">
        <v>0.33388515544610309</v>
      </c>
      <c r="I131">
        <v>101</v>
      </c>
      <c r="J131">
        <v>2.2303205795299583E-2</v>
      </c>
      <c r="K131">
        <v>-0.10155661448818391</v>
      </c>
    </row>
    <row r="132" spans="1:11" x14ac:dyDescent="0.15">
      <c r="A132" s="17">
        <v>43721</v>
      </c>
      <c r="B132" s="5">
        <v>-2.476529621236645E-2</v>
      </c>
      <c r="C132" s="5">
        <v>-0.32467532467532467</v>
      </c>
      <c r="D132" s="5">
        <v>-2.0768172150633646E-3</v>
      </c>
      <c r="E132" s="5">
        <v>2.3407022106632036E-2</v>
      </c>
      <c r="F132" s="5">
        <v>-0.25000000000000011</v>
      </c>
      <c r="G132" s="5">
        <v>-6.3704862887431268E-2</v>
      </c>
      <c r="I132">
        <v>102</v>
      </c>
      <c r="J132">
        <v>7.0761069892524578E-2</v>
      </c>
      <c r="K132">
        <v>0.19142510709901511</v>
      </c>
    </row>
    <row r="133" spans="1:11" x14ac:dyDescent="0.15">
      <c r="A133" s="17">
        <v>43728</v>
      </c>
      <c r="B133" s="5">
        <v>7.5020746887966672E-2</v>
      </c>
      <c r="C133" s="5">
        <v>4.2692307692307692</v>
      </c>
      <c r="D133" s="5">
        <v>1.6727918788999041E-3</v>
      </c>
      <c r="E133" s="5">
        <v>-7.6238881829733263E-3</v>
      </c>
      <c r="F133" s="5">
        <v>-0.45454545454545447</v>
      </c>
      <c r="G133" s="5">
        <v>-2.7267071558835676E-2</v>
      </c>
      <c r="I133">
        <v>103</v>
      </c>
      <c r="J133">
        <v>-3.953488603046524E-3</v>
      </c>
      <c r="K133">
        <v>-7.6249967201129351E-2</v>
      </c>
    </row>
    <row r="134" spans="1:11" x14ac:dyDescent="0.15">
      <c r="A134" s="17">
        <v>43735</v>
      </c>
      <c r="B134" s="5">
        <v>-4.415624517523542E-2</v>
      </c>
      <c r="C134" s="5">
        <v>-1.6277372262773722</v>
      </c>
      <c r="D134" s="5">
        <v>-1.3742620002074046E-2</v>
      </c>
      <c r="E134" s="5">
        <v>-1.9206145966709331E-2</v>
      </c>
      <c r="F134" s="5">
        <v>2.1666666666666665</v>
      </c>
      <c r="G134" s="5">
        <v>-0.11947212288368558</v>
      </c>
      <c r="I134">
        <v>104</v>
      </c>
      <c r="J134">
        <v>8.988013203094293E-2</v>
      </c>
      <c r="K134">
        <v>-0.1548340110858033</v>
      </c>
    </row>
    <row r="135" spans="1:11" x14ac:dyDescent="0.15">
      <c r="A135" s="17">
        <v>43742</v>
      </c>
      <c r="B135" s="5">
        <v>-5.6210628331448853E-2</v>
      </c>
      <c r="C135" s="5">
        <v>-7.5581395348837122E-2</v>
      </c>
      <c r="D135" s="5">
        <v>-2.3723884872261514E-2</v>
      </c>
      <c r="E135" s="5">
        <v>-2.0452567449956383E-2</v>
      </c>
      <c r="F135" s="5">
        <v>-0.26315789473684215</v>
      </c>
      <c r="G135" s="5">
        <v>0.36921913769444137</v>
      </c>
      <c r="I135">
        <v>105</v>
      </c>
      <c r="J135">
        <v>4.5738227378080046E-2</v>
      </c>
      <c r="K135">
        <v>-7.9517645750027469E-2</v>
      </c>
    </row>
    <row r="136" spans="1:11" x14ac:dyDescent="0.15">
      <c r="A136" s="17">
        <v>43749</v>
      </c>
      <c r="B136" s="5">
        <v>3.8507615950710283E-2</v>
      </c>
      <c r="C136" s="5">
        <v>-3.0503144654088046</v>
      </c>
      <c r="D136" s="5">
        <v>5.7640526638316203E-3</v>
      </c>
      <c r="E136" s="5">
        <v>1.8214127054642315E-2</v>
      </c>
      <c r="F136" s="5">
        <v>-0.23809523809523814</v>
      </c>
      <c r="G136" s="5">
        <v>-0.16090851806287232</v>
      </c>
      <c r="I136">
        <v>106</v>
      </c>
      <c r="J136">
        <v>9.4894439315968415E-3</v>
      </c>
      <c r="K136">
        <v>-9.2489965631287696E-2</v>
      </c>
    </row>
    <row r="137" spans="1:11" x14ac:dyDescent="0.15">
      <c r="A137" s="17">
        <v>43756</v>
      </c>
      <c r="B137" s="5">
        <v>-2.2742254449571564E-2</v>
      </c>
      <c r="C137" s="5">
        <v>-0.44785276073619629</v>
      </c>
      <c r="D137" s="5">
        <v>1.6557917631375707E-2</v>
      </c>
      <c r="E137" s="5">
        <v>4.3630017452005454E-3</v>
      </c>
      <c r="F137" s="5">
        <v>0.3125</v>
      </c>
      <c r="G137" s="5">
        <v>-6.1262112888136766E-2</v>
      </c>
      <c r="I137">
        <v>107</v>
      </c>
      <c r="J137">
        <v>2.3081858166826924E-2</v>
      </c>
      <c r="K137">
        <v>4.7914159533841844E-2</v>
      </c>
    </row>
    <row r="138" spans="1:11" x14ac:dyDescent="0.15">
      <c r="A138" s="17">
        <v>43763</v>
      </c>
      <c r="B138" s="5">
        <v>4.6037099494097955E-2</v>
      </c>
      <c r="C138" s="5">
        <v>1.5444444444444443</v>
      </c>
      <c r="D138" s="5">
        <v>4.3771863228365682E-2</v>
      </c>
      <c r="E138" s="5">
        <v>4.7350130321459627E-2</v>
      </c>
      <c r="F138" s="5">
        <v>-0.69047619047619047</v>
      </c>
      <c r="G138" s="5">
        <v>-8.2613868940551671E-2</v>
      </c>
      <c r="I138">
        <v>108</v>
      </c>
      <c r="J138">
        <v>5.5636909877438898E-3</v>
      </c>
      <c r="K138">
        <v>-2.3860182540391343E-2</v>
      </c>
    </row>
    <row r="139" spans="1:11" x14ac:dyDescent="0.15">
      <c r="A139" s="17">
        <v>43770</v>
      </c>
      <c r="B139" s="5">
        <v>-7.738191197807609E-3</v>
      </c>
      <c r="C139" s="5">
        <v>-0.6506550218340611</v>
      </c>
      <c r="D139" s="5">
        <v>1.9833577526353841E-2</v>
      </c>
      <c r="E139" s="5">
        <v>2.6545002073828261E-2</v>
      </c>
      <c r="F139" s="5">
        <v>-1.6153846153846154</v>
      </c>
      <c r="G139" s="5">
        <v>-0.21344681249678477</v>
      </c>
      <c r="I139">
        <v>109</v>
      </c>
      <c r="J139">
        <v>-2.6461751240241138E-2</v>
      </c>
      <c r="K139">
        <v>-6.4589703355898254E-2</v>
      </c>
    </row>
    <row r="140" spans="1:11" x14ac:dyDescent="0.15">
      <c r="A140" s="17">
        <v>43777</v>
      </c>
      <c r="B140" s="5">
        <v>1.7221770917952961E-2</v>
      </c>
      <c r="C140" s="5">
        <v>-1.2250000000000001</v>
      </c>
      <c r="D140" s="5">
        <v>1.460210210210211E-2</v>
      </c>
      <c r="E140" s="5">
        <v>8.8888888888889461E-3</v>
      </c>
      <c r="F140" s="5">
        <v>0</v>
      </c>
      <c r="G140" s="5">
        <v>-0.19595751046838938</v>
      </c>
      <c r="I140">
        <v>110</v>
      </c>
      <c r="J140">
        <v>9.2606058129757959E-3</v>
      </c>
      <c r="K140">
        <v>0.2196798228830146</v>
      </c>
    </row>
    <row r="141" spans="1:11" x14ac:dyDescent="0.15">
      <c r="A141" s="17">
        <v>43784</v>
      </c>
      <c r="B141" s="5">
        <v>1.3416387158600829E-2</v>
      </c>
      <c r="C141" s="5">
        <v>1.3611111111111112</v>
      </c>
      <c r="D141" s="5">
        <v>-1.2905330638136148E-2</v>
      </c>
      <c r="E141" s="5">
        <v>-9.6115338406086437E-3</v>
      </c>
      <c r="F141" s="5">
        <v>0</v>
      </c>
      <c r="G141" s="5">
        <v>0.42397523043300001</v>
      </c>
      <c r="I141">
        <v>111</v>
      </c>
      <c r="J141">
        <v>-3.7744090065220323E-3</v>
      </c>
      <c r="K141">
        <v>0.13889470883836352</v>
      </c>
    </row>
    <row r="142" spans="1:11" x14ac:dyDescent="0.15">
      <c r="A142" s="17">
        <v>43791</v>
      </c>
      <c r="B142" s="5">
        <v>7.8802206461769941E-4</v>
      </c>
      <c r="C142" s="5">
        <v>-0.74117647058823533</v>
      </c>
      <c r="D142" s="5">
        <v>4.3818700976550051E-3</v>
      </c>
      <c r="E142" s="5">
        <v>-4.043671653861769E-3</v>
      </c>
      <c r="F142" s="5">
        <v>-3.3749999999999996</v>
      </c>
      <c r="G142" s="5">
        <v>1.1213134735983399E-2</v>
      </c>
      <c r="I142">
        <v>112</v>
      </c>
      <c r="J142">
        <v>7.7112350297098606E-2</v>
      </c>
      <c r="K142">
        <v>-7.6936823519644246E-2</v>
      </c>
    </row>
    <row r="143" spans="1:11" x14ac:dyDescent="0.15">
      <c r="A143" s="17">
        <v>43805</v>
      </c>
      <c r="B143" s="5">
        <v>5.4755944931164091E-3</v>
      </c>
      <c r="C143" s="5">
        <v>0</v>
      </c>
      <c r="D143" s="5">
        <v>0</v>
      </c>
      <c r="E143" s="5">
        <v>0</v>
      </c>
      <c r="F143" s="5">
        <v>0</v>
      </c>
      <c r="G143" s="5">
        <v>-0.30785508973904385</v>
      </c>
      <c r="I143">
        <v>113</v>
      </c>
      <c r="J143">
        <v>-1.3936950823977261E-3</v>
      </c>
      <c r="K143">
        <v>-6.9005046491987816E-3</v>
      </c>
    </row>
    <row r="144" spans="1:11" x14ac:dyDescent="0.15">
      <c r="A144" s="17">
        <v>43812</v>
      </c>
      <c r="B144" s="5">
        <v>1.1202738447176008E-2</v>
      </c>
      <c r="C144" s="5">
        <v>4.1666666666666741E-2</v>
      </c>
      <c r="D144" s="5">
        <v>2.3173629795544937E-2</v>
      </c>
      <c r="E144" s="5">
        <v>4.5361667347772805E-2</v>
      </c>
      <c r="F144" s="5">
        <v>0.25</v>
      </c>
      <c r="G144" s="5">
        <v>0.79934665392376747</v>
      </c>
      <c r="I144">
        <v>114</v>
      </c>
      <c r="J144">
        <v>0.32978927366402</v>
      </c>
      <c r="K144">
        <v>-0.41678312056991307</v>
      </c>
    </row>
    <row r="145" spans="1:11" x14ac:dyDescent="0.15">
      <c r="A145" s="17">
        <v>43819</v>
      </c>
      <c r="B145" s="5">
        <v>1.7079550700107804E-2</v>
      </c>
      <c r="C145" s="5">
        <v>-0.60499999999999998</v>
      </c>
      <c r="D145" s="5">
        <v>6.440568238321065E-3</v>
      </c>
      <c r="E145" s="5">
        <v>1.6419077404222104E-2</v>
      </c>
      <c r="F145" s="5">
        <v>0.24</v>
      </c>
      <c r="G145" s="5">
        <v>-4.0300951325289103E-2</v>
      </c>
      <c r="I145">
        <v>115</v>
      </c>
      <c r="J145">
        <v>5.0603089638358467E-2</v>
      </c>
      <c r="K145">
        <v>0.10140115099800218</v>
      </c>
    </row>
    <row r="146" spans="1:11" x14ac:dyDescent="0.15">
      <c r="A146" s="17">
        <v>43826</v>
      </c>
      <c r="B146" s="5">
        <v>3.1770045385779211E-2</v>
      </c>
      <c r="C146" s="5">
        <v>0.12658227848101267</v>
      </c>
      <c r="D146" s="5">
        <v>1.1452520449745096E-2</v>
      </c>
      <c r="E146" s="5">
        <v>-3.6153846153846203E-2</v>
      </c>
      <c r="F146" s="5">
        <v>0.46774193548387077</v>
      </c>
      <c r="G146" s="5">
        <v>-8.6339509966433581E-2</v>
      </c>
      <c r="I146">
        <v>116</v>
      </c>
      <c r="J146">
        <v>2.9449922427951171E-2</v>
      </c>
      <c r="K146">
        <v>-0.11986048651009448</v>
      </c>
    </row>
    <row r="147" spans="1:11" x14ac:dyDescent="0.15">
      <c r="A147" s="17">
        <v>43833</v>
      </c>
      <c r="B147" s="5">
        <v>7.3313782991202281E-3</v>
      </c>
      <c r="C147" s="5">
        <v>-1</v>
      </c>
      <c r="D147" s="5">
        <v>8.4904949073421054E-3</v>
      </c>
      <c r="E147" s="5">
        <v>1.5961691939345712E-3</v>
      </c>
      <c r="F147" s="5">
        <v>-0.23076923076923073</v>
      </c>
      <c r="G147" s="5">
        <v>5.8919888530980291E-2</v>
      </c>
      <c r="I147">
        <v>117</v>
      </c>
      <c r="J147">
        <v>2.2326293293436123E-2</v>
      </c>
      <c r="K147">
        <v>-0.1140641855613231</v>
      </c>
    </row>
    <row r="148" spans="1:11" x14ac:dyDescent="0.15">
      <c r="A148" s="17">
        <v>43840</v>
      </c>
      <c r="B148" s="5">
        <v>-5.2401746724890952E-2</v>
      </c>
      <c r="C148" s="5">
        <v>0</v>
      </c>
      <c r="D148" s="5">
        <v>1.5372013119358208E-2</v>
      </c>
      <c r="E148" s="5">
        <v>3.6254980079681198E-2</v>
      </c>
      <c r="F148" s="5">
        <v>-0.29999999999999993</v>
      </c>
      <c r="G148" s="5">
        <v>-1.1179306313778836E-2</v>
      </c>
      <c r="I148">
        <v>118</v>
      </c>
      <c r="J148">
        <v>1.4817652255410626E-2</v>
      </c>
      <c r="K148">
        <v>-4.1912214743382321E-3</v>
      </c>
    </row>
    <row r="149" spans="1:11" x14ac:dyDescent="0.15">
      <c r="A149" s="17">
        <v>43847</v>
      </c>
      <c r="B149" s="5">
        <v>3.8402457757296116E-3</v>
      </c>
      <c r="C149" s="5">
        <v>-2.5348837209302326</v>
      </c>
      <c r="D149" s="5">
        <v>2.3440451265502649E-2</v>
      </c>
      <c r="E149" s="5">
        <v>2.1530180699730783E-2</v>
      </c>
      <c r="F149" s="5">
        <v>-0.28571428571428581</v>
      </c>
      <c r="G149" s="5">
        <v>7.7052693011860462E-2</v>
      </c>
      <c r="I149">
        <v>119</v>
      </c>
      <c r="J149">
        <v>3.6518190031248191E-2</v>
      </c>
      <c r="K149">
        <v>-0.1651803678186457</v>
      </c>
    </row>
    <row r="150" spans="1:11" x14ac:dyDescent="0.15">
      <c r="A150" s="17">
        <v>43854</v>
      </c>
      <c r="B150" s="5">
        <v>-7.3297628156082539E-2</v>
      </c>
      <c r="C150" s="5">
        <v>-2.9696969696969697</v>
      </c>
      <c r="D150" s="5">
        <v>-1.5852956632717019E-2</v>
      </c>
      <c r="E150" s="5">
        <v>-2.6721866767030478E-2</v>
      </c>
      <c r="F150" s="5">
        <v>-2.8571428571428581E-2</v>
      </c>
      <c r="G150" s="5">
        <v>-0.12246354273405269</v>
      </c>
      <c r="I150">
        <v>120</v>
      </c>
      <c r="J150">
        <v>9.7863549756095191E-3</v>
      </c>
      <c r="K150">
        <v>0.16188516648665488</v>
      </c>
    </row>
    <row r="151" spans="1:11" x14ac:dyDescent="0.15">
      <c r="A151" s="17">
        <v>43861</v>
      </c>
      <c r="B151" s="5">
        <v>-3.9134742404227318E-2</v>
      </c>
      <c r="C151" s="5">
        <v>-0.93846153846153846</v>
      </c>
      <c r="D151" s="5">
        <v>-2.2106032674337195E-2</v>
      </c>
      <c r="E151" s="5">
        <v>-4.8723897911832847E-2</v>
      </c>
      <c r="F151" s="5">
        <v>-0.41176470588235292</v>
      </c>
      <c r="G151" s="5">
        <v>0.23245678575069095</v>
      </c>
      <c r="I151">
        <v>121</v>
      </c>
      <c r="J151">
        <v>2.6770421983398015E-2</v>
      </c>
      <c r="K151">
        <v>-0.23173705094177582</v>
      </c>
    </row>
    <row r="152" spans="1:11" x14ac:dyDescent="0.15">
      <c r="A152" s="17">
        <v>43868</v>
      </c>
      <c r="B152" s="5">
        <v>-6.341295755284404E-2</v>
      </c>
      <c r="C152" s="5">
        <v>42.75</v>
      </c>
      <c r="D152" s="5">
        <v>3.5688167324849918E-3</v>
      </c>
      <c r="E152" s="5">
        <v>0</v>
      </c>
      <c r="F152" s="5">
        <v>0.5</v>
      </c>
      <c r="G152" s="5">
        <v>-0.16048107499426345</v>
      </c>
      <c r="I152">
        <v>122</v>
      </c>
      <c r="J152">
        <v>4.4090172278071146E-3</v>
      </c>
      <c r="K152">
        <v>9.2791927096116111E-2</v>
      </c>
    </row>
    <row r="153" spans="1:11" x14ac:dyDescent="0.15">
      <c r="A153" s="17">
        <v>43875</v>
      </c>
      <c r="B153" s="5">
        <v>5.0275229357798157E-2</v>
      </c>
      <c r="C153" s="5">
        <v>0.8342857142857143</v>
      </c>
      <c r="D153" s="5">
        <v>2.995825276992381E-3</v>
      </c>
      <c r="E153" s="5">
        <v>7.7235772357722166E-3</v>
      </c>
      <c r="F153" s="5">
        <v>-0.4</v>
      </c>
      <c r="G153" s="5">
        <v>4.0961890488400599E-2</v>
      </c>
      <c r="I153">
        <v>123</v>
      </c>
      <c r="J153">
        <v>6.1030650173556612E-2</v>
      </c>
      <c r="K153">
        <v>-0.16087219380814924</v>
      </c>
    </row>
    <row r="154" spans="1:11" x14ac:dyDescent="0.15">
      <c r="A154" s="17">
        <v>43882</v>
      </c>
      <c r="B154" s="5">
        <v>1.9566736547868668E-2</v>
      </c>
      <c r="C154" s="5">
        <v>-0.41588785046728971</v>
      </c>
      <c r="D154" s="5">
        <v>2.9545865516262815E-3</v>
      </c>
      <c r="E154" s="5">
        <v>0</v>
      </c>
      <c r="F154" s="5">
        <v>1.1666666666666665</v>
      </c>
      <c r="G154" s="5">
        <v>0.13713002912188021</v>
      </c>
      <c r="I154">
        <v>124</v>
      </c>
      <c r="J154">
        <v>1.0532951655440818E-2</v>
      </c>
      <c r="K154">
        <v>0.1675729061471663</v>
      </c>
    </row>
    <row r="155" spans="1:11" x14ac:dyDescent="0.15">
      <c r="A155" s="17">
        <v>43889</v>
      </c>
      <c r="B155" s="5">
        <v>-0.13468128855380401</v>
      </c>
      <c r="C155" s="5">
        <v>-3.1760000000000002</v>
      </c>
      <c r="D155" s="5">
        <v>-0.10333126209341192</v>
      </c>
      <c r="E155" s="5">
        <v>-0.13795885437676481</v>
      </c>
      <c r="F155" s="5">
        <v>0.12820512820512842</v>
      </c>
      <c r="G155" s="5">
        <v>-8.9098709966752399E-2</v>
      </c>
      <c r="I155">
        <v>125</v>
      </c>
      <c r="J155">
        <v>3.8027635115207875E-2</v>
      </c>
      <c r="K155">
        <v>-5.3412541022026611E-2</v>
      </c>
    </row>
    <row r="156" spans="1:11" x14ac:dyDescent="0.15">
      <c r="A156" s="17">
        <v>43896</v>
      </c>
      <c r="B156" s="5">
        <v>-9.9009900990098987E-2</v>
      </c>
      <c r="C156" s="5">
        <v>-0.64950980392156865</v>
      </c>
      <c r="D156" s="5">
        <v>-2.3543309348384889E-2</v>
      </c>
      <c r="E156" s="5">
        <v>-3.509592887225077E-2</v>
      </c>
      <c r="F156" s="5">
        <v>-0.25000000000000011</v>
      </c>
      <c r="G156" s="5">
        <v>-0.33320311602852482</v>
      </c>
      <c r="I156">
        <v>126</v>
      </c>
      <c r="J156">
        <v>2.6527630964222868E-2</v>
      </c>
      <c r="K156">
        <v>-5.2120496455090627E-3</v>
      </c>
    </row>
    <row r="157" spans="1:11" x14ac:dyDescent="0.15">
      <c r="A157" s="17">
        <v>43903</v>
      </c>
      <c r="B157" s="5">
        <v>-0.23142857142857143</v>
      </c>
      <c r="C157" s="5">
        <v>2.9055944055944058</v>
      </c>
      <c r="D157" s="5">
        <v>-0.14823626315034699</v>
      </c>
      <c r="E157" s="5">
        <v>-0.15906886517943752</v>
      </c>
      <c r="F157" s="5">
        <v>0.90909090909090917</v>
      </c>
      <c r="G157" s="5">
        <v>0.25052017507228919</v>
      </c>
      <c r="I157">
        <v>127</v>
      </c>
      <c r="J157">
        <v>3.1983734517938428E-2</v>
      </c>
      <c r="K157">
        <v>-0.1566890186963312</v>
      </c>
    </row>
    <row r="158" spans="1:11" x14ac:dyDescent="0.15">
      <c r="A158" s="17">
        <v>43910</v>
      </c>
      <c r="B158" s="5">
        <v>-0.2219044895624821</v>
      </c>
      <c r="C158" s="5">
        <v>-0.95434198746642795</v>
      </c>
      <c r="D158" s="5">
        <v>6.5749143059428139E-3</v>
      </c>
      <c r="E158" s="5">
        <v>-0.14648212226066892</v>
      </c>
      <c r="F158" s="5">
        <v>0.33333333333333348</v>
      </c>
      <c r="G158" s="5">
        <v>0.39878840883088129</v>
      </c>
      <c r="I158">
        <v>128</v>
      </c>
      <c r="J158">
        <v>4.5366026832481046E-2</v>
      </c>
      <c r="K158">
        <v>0.28851912861362206</v>
      </c>
    </row>
    <row r="159" spans="1:11" x14ac:dyDescent="0.15">
      <c r="A159" s="17">
        <v>43917</v>
      </c>
      <c r="B159" s="5">
        <v>-7.7545020213156901E-2</v>
      </c>
      <c r="C159" s="5">
        <v>-16.117647058823529</v>
      </c>
      <c r="D159" s="5">
        <v>2.9807729423016793E-2</v>
      </c>
      <c r="E159" s="5">
        <v>9.6621621621621578E-2</v>
      </c>
      <c r="F159" s="5">
        <v>3.5714285714285587E-2</v>
      </c>
      <c r="G159" s="5">
        <v>-8.917158971879191E-2</v>
      </c>
      <c r="I159">
        <v>129</v>
      </c>
      <c r="J159">
        <v>2.658217777023231E-2</v>
      </c>
      <c r="K159">
        <v>-9.0287040657663575E-2</v>
      </c>
    </row>
    <row r="160" spans="1:11" x14ac:dyDescent="0.15">
      <c r="A160" s="17">
        <v>43924</v>
      </c>
      <c r="B160" s="5">
        <v>0.38047808764940227</v>
      </c>
      <c r="C160" s="5">
        <v>0.96368352788586265</v>
      </c>
      <c r="D160" s="5">
        <v>7.126703899446496E-2</v>
      </c>
      <c r="E160" s="5">
        <v>9.488601355514481E-2</v>
      </c>
      <c r="F160" s="5">
        <v>0</v>
      </c>
      <c r="G160" s="5">
        <v>-2.9455673524724779E-2</v>
      </c>
      <c r="I160">
        <v>130</v>
      </c>
      <c r="J160">
        <v>-8.6034182907723453E-4</v>
      </c>
      <c r="K160">
        <v>-2.6406729729758441E-2</v>
      </c>
    </row>
    <row r="161" spans="1:11" x14ac:dyDescent="0.15">
      <c r="A161" s="17">
        <v>43938</v>
      </c>
      <c r="B161" s="5">
        <v>-0.11801436153605993</v>
      </c>
      <c r="C161" s="5">
        <v>0</v>
      </c>
      <c r="D161" s="5">
        <v>0</v>
      </c>
      <c r="E161" s="5">
        <v>-2.1299254526091715E-2</v>
      </c>
      <c r="F161" s="5">
        <v>0.16216216216216206</v>
      </c>
      <c r="G161" s="5">
        <v>8.9038971766921549E-2</v>
      </c>
      <c r="I161">
        <v>131</v>
      </c>
      <c r="J161">
        <v>5.5550204583926455E-2</v>
      </c>
      <c r="K161">
        <v>-0.17502232746761204</v>
      </c>
    </row>
    <row r="162" spans="1:11" x14ac:dyDescent="0.15">
      <c r="A162" s="17">
        <v>43945</v>
      </c>
      <c r="B162" s="5">
        <v>-0.22831858407079642</v>
      </c>
      <c r="C162" s="5">
        <v>-0.19576059850374061</v>
      </c>
      <c r="D162" s="5">
        <v>1.0674682540621871E-2</v>
      </c>
      <c r="E162" s="5">
        <v>1.6322089227420733E-3</v>
      </c>
      <c r="F162" s="5">
        <v>-1.0813953488372092</v>
      </c>
      <c r="G162" s="5">
        <v>-0.48792706919901851</v>
      </c>
      <c r="I162">
        <v>132</v>
      </c>
      <c r="J162">
        <v>2.0425030235354469E-2</v>
      </c>
      <c r="K162">
        <v>0.3487941074590869</v>
      </c>
    </row>
    <row r="163" spans="1:11" x14ac:dyDescent="0.15">
      <c r="A163" s="17">
        <v>43966</v>
      </c>
      <c r="B163" s="5">
        <v>6.0920285158781784E-2</v>
      </c>
      <c r="C163" s="5">
        <v>-0.74143302180685355</v>
      </c>
      <c r="D163" s="5">
        <v>-1.803486589313108E-2</v>
      </c>
      <c r="E163" s="5">
        <v>-2.4276859504132164E-2</v>
      </c>
      <c r="F163" s="5">
        <v>0</v>
      </c>
      <c r="G163" s="5">
        <v>7.0192180053583852E-2</v>
      </c>
      <c r="I163">
        <v>133</v>
      </c>
      <c r="J163">
        <v>1.4773107072910456E-2</v>
      </c>
      <c r="K163">
        <v>-0.17568162513578278</v>
      </c>
    </row>
    <row r="164" spans="1:11" x14ac:dyDescent="0.15">
      <c r="A164" s="17">
        <v>43973</v>
      </c>
      <c r="B164" s="5">
        <v>7.2693952351863045E-2</v>
      </c>
      <c r="C164" s="5">
        <v>0.94377510040160617</v>
      </c>
      <c r="D164" s="5">
        <v>4.4515808181471384E-2</v>
      </c>
      <c r="E164" s="5">
        <v>6.6172578083642186E-2</v>
      </c>
      <c r="F164" s="5">
        <v>0.875</v>
      </c>
      <c r="G164" s="5">
        <v>-0.21882214064068484</v>
      </c>
      <c r="I164">
        <v>134</v>
      </c>
      <c r="J164">
        <v>3.5043023836999754E-2</v>
      </c>
      <c r="K164">
        <v>-9.630513672513652E-2</v>
      </c>
    </row>
    <row r="165" spans="1:11" x14ac:dyDescent="0.15">
      <c r="A165" s="17">
        <v>43980</v>
      </c>
      <c r="B165" s="5">
        <v>5.4100227790434552E-3</v>
      </c>
      <c r="C165" s="5">
        <v>-1.0991735537190084</v>
      </c>
      <c r="D165" s="5">
        <v>9.3932929304858526E-3</v>
      </c>
      <c r="E165" s="5">
        <v>2.3833167825223489E-2</v>
      </c>
      <c r="F165" s="5">
        <v>1.2666666666666666</v>
      </c>
      <c r="G165" s="5">
        <v>-0.21339142555966262</v>
      </c>
      <c r="I165">
        <v>135</v>
      </c>
      <c r="J165">
        <v>2.0091470254920814E-2</v>
      </c>
      <c r="K165">
        <v>-0.10270533919547248</v>
      </c>
    </row>
    <row r="166" spans="1:11" x14ac:dyDescent="0.15">
      <c r="A166" s="17">
        <v>43987</v>
      </c>
      <c r="B166" s="5">
        <v>0.19144718210138767</v>
      </c>
      <c r="C166" s="5">
        <v>-10.020833333333334</v>
      </c>
      <c r="D166" s="5">
        <v>2.117499076725049E-2</v>
      </c>
      <c r="E166" s="5">
        <v>3.8797284190106751E-2</v>
      </c>
      <c r="F166" s="5">
        <v>-0.17647058823529416</v>
      </c>
      <c r="G166" s="5">
        <v>0.10375203794584431</v>
      </c>
      <c r="I166">
        <v>136</v>
      </c>
      <c r="J166">
        <v>8.6416932145302848E-3</v>
      </c>
      <c r="K166">
        <v>-0.22208850571131505</v>
      </c>
    </row>
    <row r="167" spans="1:11" x14ac:dyDescent="0.15">
      <c r="A167" s="17">
        <v>44001</v>
      </c>
      <c r="B167" s="5">
        <v>7.3770491803278659E-2</v>
      </c>
      <c r="C167" s="5">
        <v>2.4700000000000002</v>
      </c>
      <c r="D167" s="5">
        <v>0</v>
      </c>
      <c r="E167" s="5">
        <v>-3.3460803059273125E-3</v>
      </c>
      <c r="F167" s="5">
        <v>0.10714285714285721</v>
      </c>
      <c r="G167" s="5">
        <v>-2.8949017574536273E-2</v>
      </c>
      <c r="I167">
        <v>137</v>
      </c>
      <c r="J167">
        <v>2.2835164023099676E-2</v>
      </c>
      <c r="K167">
        <v>-0.21879267449148906</v>
      </c>
    </row>
    <row r="168" spans="1:11" x14ac:dyDescent="0.15">
      <c r="A168" s="17">
        <v>44008</v>
      </c>
      <c r="B168" s="5">
        <v>-2.9818702290076327E-2</v>
      </c>
      <c r="C168" s="5">
        <v>-1.8674351585014408</v>
      </c>
      <c r="D168" s="5">
        <v>1.1128551077148607E-3</v>
      </c>
      <c r="E168" s="5">
        <v>1.534772182254196E-2</v>
      </c>
      <c r="F168" s="5">
        <v>0.25806451612903225</v>
      </c>
      <c r="G168" s="5">
        <v>-0.50030284492936028</v>
      </c>
      <c r="I168">
        <v>138</v>
      </c>
      <c r="J168">
        <v>1.4520554499693633E-2</v>
      </c>
      <c r="K168">
        <v>0.40945467593330637</v>
      </c>
    </row>
    <row r="169" spans="1:11" x14ac:dyDescent="0.15">
      <c r="A169" s="17">
        <v>44022</v>
      </c>
      <c r="B169" s="5">
        <v>9.1164095371669696E-3</v>
      </c>
      <c r="C169" s="5">
        <v>-0.9943820224719101</v>
      </c>
      <c r="D169" s="5">
        <v>-2.5699049849015054E-4</v>
      </c>
      <c r="E169" s="5">
        <v>0</v>
      </c>
      <c r="F169" s="5">
        <v>-0.15999999999999992</v>
      </c>
      <c r="G169" s="5">
        <v>0.70946388753580147</v>
      </c>
      <c r="I169">
        <v>139</v>
      </c>
      <c r="J169">
        <v>-2.7218216354665634E-2</v>
      </c>
      <c r="K169">
        <v>3.8431351090649032E-2</v>
      </c>
    </row>
    <row r="170" spans="1:11" x14ac:dyDescent="0.15">
      <c r="A170" s="17">
        <v>44029</v>
      </c>
      <c r="B170" s="5">
        <v>-1.6214964095436768E-3</v>
      </c>
      <c r="C170" s="5">
        <v>-63</v>
      </c>
      <c r="D170" s="5">
        <v>-9.3361514348754282E-3</v>
      </c>
      <c r="E170" s="5">
        <v>-9.3327111525898232E-3</v>
      </c>
      <c r="F170" s="5">
        <v>0</v>
      </c>
      <c r="G170" s="5">
        <v>0.13431810043201331</v>
      </c>
      <c r="I170">
        <v>140</v>
      </c>
      <c r="J170">
        <v>2.0531175238836293E-2</v>
      </c>
      <c r="K170">
        <v>-0.32838626497788015</v>
      </c>
    </row>
    <row r="171" spans="1:11" x14ac:dyDescent="0.15">
      <c r="A171" s="17">
        <v>44036</v>
      </c>
      <c r="B171" s="5">
        <v>7.4245939675174899E-3</v>
      </c>
      <c r="C171" s="5">
        <v>-1.370967741935484</v>
      </c>
      <c r="D171" s="5">
        <v>3.1833039617412462E-2</v>
      </c>
      <c r="E171" s="5">
        <v>4.8987282147903821E-2</v>
      </c>
      <c r="F171" s="5">
        <v>-0.76190476190476186</v>
      </c>
      <c r="G171" s="5">
        <v>-0.2054424500551808</v>
      </c>
      <c r="I171">
        <v>141</v>
      </c>
      <c r="J171">
        <v>3.5880702554961272E-2</v>
      </c>
      <c r="K171">
        <v>0.76346595136880624</v>
      </c>
    </row>
    <row r="172" spans="1:11" x14ac:dyDescent="0.15">
      <c r="A172" s="17">
        <v>44043</v>
      </c>
      <c r="B172" s="5">
        <v>-2.3030861354215171E-3</v>
      </c>
      <c r="C172" s="5">
        <v>-6.9565217391304346</v>
      </c>
      <c r="D172" s="5">
        <v>1.6922098968957133E-2</v>
      </c>
      <c r="E172" s="5">
        <v>-1.6614279299506096E-2</v>
      </c>
      <c r="F172" s="5">
        <v>-1.2</v>
      </c>
      <c r="G172" s="5">
        <v>0.49306364352395837</v>
      </c>
      <c r="I172">
        <v>142</v>
      </c>
      <c r="J172">
        <v>2.5903834545213153E-2</v>
      </c>
      <c r="K172">
        <v>-6.6204785870502256E-2</v>
      </c>
    </row>
    <row r="173" spans="1:11" x14ac:dyDescent="0.15">
      <c r="A173" s="17">
        <v>44050</v>
      </c>
      <c r="B173" s="5">
        <v>3.1625115420129246E-2</v>
      </c>
      <c r="C173" s="5">
        <v>-1.8321167883211678</v>
      </c>
      <c r="D173" s="5">
        <v>2.0875335300198694E-2</v>
      </c>
      <c r="E173" s="5">
        <v>2.7853881278538939E-2</v>
      </c>
      <c r="F173" s="5">
        <v>9</v>
      </c>
      <c r="G173" s="5">
        <v>-7.6975107640149587E-2</v>
      </c>
      <c r="I173">
        <v>143</v>
      </c>
      <c r="J173">
        <v>1.8234490535928252E-2</v>
      </c>
      <c r="K173">
        <v>-0.10457400050236183</v>
      </c>
    </row>
    <row r="174" spans="1:11" x14ac:dyDescent="0.15">
      <c r="A174" s="17">
        <v>44057</v>
      </c>
      <c r="B174" s="5">
        <v>5.8178563437012443E-3</v>
      </c>
      <c r="C174" s="5">
        <v>-0.2807017543859649</v>
      </c>
      <c r="D174" s="5">
        <v>3.0157955826198179E-2</v>
      </c>
      <c r="E174" s="5">
        <v>4.3980453131941211E-2</v>
      </c>
      <c r="F174" s="5">
        <v>1.1000000000000001</v>
      </c>
      <c r="G174" s="5">
        <v>0.35269108902383239</v>
      </c>
      <c r="I174">
        <v>144</v>
      </c>
      <c r="J174">
        <v>1.8896836333685871E-2</v>
      </c>
      <c r="K174">
        <v>4.002305219729442E-2</v>
      </c>
    </row>
    <row r="175" spans="1:11" x14ac:dyDescent="0.15">
      <c r="A175" s="17">
        <v>44064</v>
      </c>
      <c r="B175" s="5">
        <v>-1.5350389321468372E-2</v>
      </c>
      <c r="C175" s="5">
        <v>-0.47560975609756095</v>
      </c>
      <c r="D175" s="5">
        <v>-2.1678712210033257E-2</v>
      </c>
      <c r="E175" s="5">
        <v>-3.8723404255319172E-2</v>
      </c>
      <c r="F175" s="5">
        <v>-0.66666666666666674</v>
      </c>
      <c r="G175" s="5">
        <v>-0.13069486526202068</v>
      </c>
      <c r="I175">
        <v>145</v>
      </c>
      <c r="J175">
        <v>3.7409376472976763E-2</v>
      </c>
      <c r="K175">
        <v>-4.8588682786755599E-2</v>
      </c>
    </row>
    <row r="176" spans="1:11" x14ac:dyDescent="0.15">
      <c r="A176" s="17">
        <v>44071</v>
      </c>
      <c r="B176" s="5">
        <v>1.8526886579304014E-2</v>
      </c>
      <c r="C176" s="5">
        <v>-3.7441860465116279</v>
      </c>
      <c r="D176" s="5">
        <v>-5.154208992492415E-3</v>
      </c>
      <c r="E176" s="5">
        <v>4.4267374944666482E-3</v>
      </c>
      <c r="F176" s="5">
        <v>-3.1428571428571428</v>
      </c>
      <c r="G176" s="5">
        <v>-0.41664531513663172</v>
      </c>
      <c r="I176">
        <v>146</v>
      </c>
      <c r="J176">
        <v>2.544608507264623E-2</v>
      </c>
      <c r="K176">
        <v>5.1606607939214233E-2</v>
      </c>
    </row>
    <row r="177" spans="1:11" x14ac:dyDescent="0.15">
      <c r="A177" s="17">
        <v>44078</v>
      </c>
      <c r="B177" s="5">
        <v>-6.0559006211180044E-2</v>
      </c>
      <c r="C177" s="5">
        <v>0.31355932203389836</v>
      </c>
      <c r="D177" s="5">
        <v>-1.9670018824429425E-2</v>
      </c>
      <c r="E177" s="5">
        <v>-2.8206258263552275E-2</v>
      </c>
      <c r="F177" s="5">
        <v>0</v>
      </c>
      <c r="G177" s="5">
        <v>0.45869365516186389</v>
      </c>
      <c r="I177">
        <v>147</v>
      </c>
      <c r="J177">
        <v>2.7786802126106479E-2</v>
      </c>
      <c r="K177">
        <v>-0.15025034486015917</v>
      </c>
    </row>
    <row r="178" spans="1:11" x14ac:dyDescent="0.15">
      <c r="A178" s="17">
        <v>44085</v>
      </c>
      <c r="B178" s="5">
        <v>-5.7378984651711873E-2</v>
      </c>
      <c r="C178" s="5">
        <v>-0.21935483870967742</v>
      </c>
      <c r="D178" s="5">
        <v>-3.7788160394310877E-3</v>
      </c>
      <c r="E178" s="5">
        <v>-1.5419501133786873E-2</v>
      </c>
      <c r="F178" s="5">
        <v>-1.4666666666666666</v>
      </c>
      <c r="G178" s="5">
        <v>0.23636136238232974</v>
      </c>
      <c r="I178">
        <v>148</v>
      </c>
      <c r="J178">
        <v>1.0263715643629209E-2</v>
      </c>
      <c r="K178">
        <v>0.22219307010706174</v>
      </c>
    </row>
    <row r="179" spans="1:11" x14ac:dyDescent="0.15">
      <c r="A179" s="17">
        <v>44092</v>
      </c>
      <c r="B179" s="5">
        <v>7.8156312625250468E-2</v>
      </c>
      <c r="C179" s="5">
        <v>-4.9586776859504136</v>
      </c>
      <c r="D179" s="5">
        <v>1.4183081315645607E-2</v>
      </c>
      <c r="E179" s="5">
        <v>7.369875633348677E-3</v>
      </c>
      <c r="F179" s="5">
        <v>0</v>
      </c>
      <c r="G179" s="5">
        <v>-3.1505321445701728E-4</v>
      </c>
      <c r="I179">
        <v>149</v>
      </c>
      <c r="J179">
        <v>4.3536065554178445E-2</v>
      </c>
      <c r="K179">
        <v>-0.20401714054844189</v>
      </c>
    </row>
    <row r="180" spans="1:11" x14ac:dyDescent="0.15">
      <c r="A180" s="17">
        <v>44099</v>
      </c>
      <c r="B180" s="5">
        <v>-2.9042750929368033E-2</v>
      </c>
      <c r="C180" s="5">
        <v>-0.75574112734864296</v>
      </c>
      <c r="D180" s="5">
        <v>-1.8619210716209533E-2</v>
      </c>
      <c r="E180" s="5">
        <v>-4.6181984453589453E-2</v>
      </c>
      <c r="F180" s="5">
        <v>-1.2857142857142858</v>
      </c>
      <c r="G180" s="5">
        <v>-0.12825527266265224</v>
      </c>
      <c r="I180">
        <v>150</v>
      </c>
      <c r="J180">
        <v>7.7522956055486123E-3</v>
      </c>
      <c r="K180">
        <v>3.3209594882851988E-2</v>
      </c>
    </row>
    <row r="181" spans="1:11" x14ac:dyDescent="0.15">
      <c r="A181" s="17">
        <v>44106</v>
      </c>
      <c r="B181" s="5">
        <v>-6.9155300311079193E-2</v>
      </c>
      <c r="C181" s="5">
        <v>-0.29914529914529919</v>
      </c>
      <c r="D181" s="5">
        <v>-1.5330550981590196E-2</v>
      </c>
      <c r="E181" s="5">
        <v>-7.6701821668264669E-3</v>
      </c>
      <c r="F181" s="5">
        <v>-2</v>
      </c>
      <c r="G181" s="5">
        <v>-0.16341464868075273</v>
      </c>
      <c r="I181">
        <v>151</v>
      </c>
      <c r="J181">
        <v>3.5238195554155652E-2</v>
      </c>
      <c r="K181">
        <v>0.10189183356772456</v>
      </c>
    </row>
    <row r="182" spans="1:11" x14ac:dyDescent="0.15">
      <c r="A182" s="17">
        <v>44113</v>
      </c>
      <c r="B182" s="5">
        <v>0.1007712082262211</v>
      </c>
      <c r="C182" s="5">
        <v>4.963414634146341</v>
      </c>
      <c r="D182" s="5">
        <v>-6.4261223802946077E-3</v>
      </c>
      <c r="E182" s="5">
        <v>2.3671497584541124E-2</v>
      </c>
      <c r="F182" s="5">
        <v>2.4999999999999996</v>
      </c>
      <c r="G182" s="5">
        <v>0.39165432979630221</v>
      </c>
      <c r="I182">
        <v>152</v>
      </c>
      <c r="J182">
        <v>4.1850750478771371E-3</v>
      </c>
      <c r="K182">
        <v>-9.3283785014629542E-2</v>
      </c>
    </row>
    <row r="183" spans="1:11" x14ac:dyDescent="0.15">
      <c r="A183" s="17">
        <v>44120</v>
      </c>
      <c r="B183" s="5">
        <v>7.0060719290054863E-4</v>
      </c>
      <c r="C183" s="5">
        <v>-0.44989775051124747</v>
      </c>
      <c r="D183" s="5">
        <v>-1.2190861969803457E-2</v>
      </c>
      <c r="E183" s="5">
        <v>-2.17083529966966E-2</v>
      </c>
      <c r="F183" s="5">
        <v>-2.4285714285714288</v>
      </c>
      <c r="G183" s="5">
        <v>6.4527838207053101E-2</v>
      </c>
      <c r="I183">
        <v>153</v>
      </c>
      <c r="J183">
        <v>2.6687810413527985E-2</v>
      </c>
      <c r="K183">
        <v>-0.35989092644205278</v>
      </c>
    </row>
    <row r="184" spans="1:11" x14ac:dyDescent="0.15">
      <c r="A184" s="17">
        <v>44127</v>
      </c>
      <c r="B184" s="5">
        <v>-2.9404900816802804E-2</v>
      </c>
      <c r="C184" s="5">
        <v>-0.44609665427509293</v>
      </c>
      <c r="D184" s="5">
        <v>6.1295784307422441E-3</v>
      </c>
      <c r="E184" s="5">
        <v>3.4249879401833105E-2</v>
      </c>
      <c r="F184" s="5">
        <v>-0.30000000000000004</v>
      </c>
      <c r="G184" s="5">
        <v>-0.25124514885039406</v>
      </c>
      <c r="I184">
        <v>154</v>
      </c>
      <c r="J184">
        <v>2.1728015310918704E-2</v>
      </c>
      <c r="K184">
        <v>0.22879215976137049</v>
      </c>
    </row>
    <row r="185" spans="1:11" x14ac:dyDescent="0.15">
      <c r="A185" s="17">
        <v>44134</v>
      </c>
      <c r="B185" s="5">
        <v>-9.9543159413320481E-2</v>
      </c>
      <c r="C185" s="5">
        <v>-2.2953020134228188</v>
      </c>
      <c r="D185" s="5">
        <v>-4.4772251215961845E-2</v>
      </c>
      <c r="E185" s="5">
        <v>-9.2583955223880743E-2</v>
      </c>
      <c r="F185" s="5">
        <v>1</v>
      </c>
      <c r="G185" s="5">
        <v>-0.27509061474342311</v>
      </c>
      <c r="I185">
        <v>155</v>
      </c>
      <c r="J185">
        <v>4.6970861537309727E-2</v>
      </c>
      <c r="K185">
        <v>0.35181754729357156</v>
      </c>
    </row>
    <row r="186" spans="1:11" x14ac:dyDescent="0.15">
      <c r="A186" s="17">
        <v>44141</v>
      </c>
      <c r="B186" s="5">
        <v>5.7409879839786404E-2</v>
      </c>
      <c r="C186" s="5">
        <v>-2.6373056994818653</v>
      </c>
      <c r="D186" s="5">
        <v>7.6202617269818029E-2</v>
      </c>
      <c r="E186" s="5">
        <v>0.10203032639424325</v>
      </c>
      <c r="F186" s="5">
        <v>-0.64285714285714279</v>
      </c>
      <c r="G186" s="5">
        <v>0.48599880115219318</v>
      </c>
      <c r="I186">
        <v>156</v>
      </c>
      <c r="J186">
        <v>6.047540984992697E-2</v>
      </c>
      <c r="K186">
        <v>-0.14964699956871888</v>
      </c>
    </row>
    <row r="187" spans="1:11" x14ac:dyDescent="0.15">
      <c r="A187" s="17">
        <v>44148</v>
      </c>
      <c r="B187" s="5">
        <v>7.6515151515151647E-2</v>
      </c>
      <c r="C187" s="5">
        <v>-1.6740506329113924</v>
      </c>
      <c r="D187" s="5">
        <v>4.4757254059579532E-2</v>
      </c>
      <c r="E187" s="5">
        <v>4.664179104477606E-2</v>
      </c>
      <c r="F187" s="5">
        <v>0</v>
      </c>
      <c r="G187" s="5">
        <v>0.18003491830165608</v>
      </c>
      <c r="I187">
        <v>157</v>
      </c>
      <c r="J187">
        <v>-2.2855301873851468E-2</v>
      </c>
      <c r="K187">
        <v>-6.6003716508733108E-3</v>
      </c>
    </row>
    <row r="188" spans="1:11" x14ac:dyDescent="0.15">
      <c r="A188" s="17">
        <v>44155</v>
      </c>
      <c r="B188" s="5">
        <v>6.1224489795918435E-2</v>
      </c>
      <c r="C188" s="5">
        <v>-1.0938967136150235</v>
      </c>
      <c r="D188" s="5">
        <v>8.5349164688850454E-3</v>
      </c>
      <c r="E188" s="5">
        <v>1.559714795008893E-2</v>
      </c>
      <c r="F188" s="5">
        <v>0.39999999999999991</v>
      </c>
      <c r="G188" s="5">
        <v>-0.18327564460939505</v>
      </c>
      <c r="I188">
        <v>158</v>
      </c>
      <c r="J188">
        <v>4.3969817871045369E-2</v>
      </c>
      <c r="K188">
        <v>4.5069153895876179E-2</v>
      </c>
    </row>
    <row r="189" spans="1:11" x14ac:dyDescent="0.15">
      <c r="A189" s="17">
        <v>44162</v>
      </c>
      <c r="B189" s="5">
        <v>6.6976127320955037E-2</v>
      </c>
      <c r="C189" s="5">
        <v>7.9499999999999993</v>
      </c>
      <c r="D189" s="5">
        <v>3.0035659971681783E-2</v>
      </c>
      <c r="E189" s="5">
        <v>2.4133391838525808E-2</v>
      </c>
      <c r="F189" s="5">
        <v>-1.1428571428571428</v>
      </c>
      <c r="G189" s="5">
        <v>-0.52745793193492618</v>
      </c>
      <c r="I189">
        <v>159</v>
      </c>
      <c r="J189">
        <v>5.4363613660434108E-2</v>
      </c>
      <c r="K189">
        <v>-0.54229068285945259</v>
      </c>
    </row>
    <row r="190" spans="1:11" x14ac:dyDescent="0.15">
      <c r="A190" s="17">
        <v>44169</v>
      </c>
      <c r="B190" s="5">
        <v>1.5744769007665083E-2</v>
      </c>
      <c r="C190" s="5">
        <v>-0.88268156424581012</v>
      </c>
      <c r="D190" s="5">
        <v>1.3377117619356671E-2</v>
      </c>
      <c r="E190" s="5">
        <v>3.5989717223650297E-2</v>
      </c>
      <c r="F190" s="5">
        <v>12</v>
      </c>
      <c r="G190" s="5">
        <v>1.1674211883655401</v>
      </c>
      <c r="I190">
        <v>160</v>
      </c>
      <c r="J190">
        <v>1.2769614928446653E-3</v>
      </c>
      <c r="K190">
        <v>6.8915218560739192E-2</v>
      </c>
    </row>
    <row r="191" spans="1:11" x14ac:dyDescent="0.15">
      <c r="A191" s="17">
        <v>44176</v>
      </c>
      <c r="B191" s="5">
        <v>2.1211503161329803E-2</v>
      </c>
      <c r="C191" s="5">
        <v>1.5238095238095242</v>
      </c>
      <c r="D191" s="5">
        <v>2.8843980004521708E-2</v>
      </c>
      <c r="E191" s="5">
        <v>3.8047973531844637E-2</v>
      </c>
      <c r="F191" s="5">
        <v>0</v>
      </c>
      <c r="G191" s="5">
        <v>7.0343636212653937E-2</v>
      </c>
      <c r="I191">
        <v>161</v>
      </c>
      <c r="J191">
        <v>4.0840708324308903E-2</v>
      </c>
      <c r="K191">
        <v>-0.25966284896499375</v>
      </c>
    </row>
    <row r="192" spans="1:11" x14ac:dyDescent="0.15">
      <c r="A192" s="17">
        <v>44183</v>
      </c>
      <c r="B192" s="5">
        <v>4.5935690033952481E-2</v>
      </c>
      <c r="C192" s="5">
        <v>2.3584905660377355</v>
      </c>
      <c r="D192" s="5">
        <v>-8.6370544897418355E-4</v>
      </c>
      <c r="E192" s="5">
        <v>-1.5936254980081221E-3</v>
      </c>
      <c r="F192" s="5">
        <v>1</v>
      </c>
      <c r="G192" s="5">
        <v>0.16723069058085738</v>
      </c>
      <c r="I192">
        <v>162</v>
      </c>
      <c r="J192">
        <v>4.5036136757804539E-2</v>
      </c>
      <c r="K192">
        <v>-0.25842756231746716</v>
      </c>
    </row>
    <row r="193" spans="1:11" x14ac:dyDescent="0.15">
      <c r="A193" s="17">
        <v>44204</v>
      </c>
      <c r="B193" s="5">
        <v>8.9713843774168689E-2</v>
      </c>
      <c r="C193" s="5">
        <v>0</v>
      </c>
      <c r="D193" s="5">
        <v>0</v>
      </c>
      <c r="E193" s="5">
        <v>6.7908902691511397E-2</v>
      </c>
      <c r="F193" s="5">
        <v>0</v>
      </c>
      <c r="G193" s="5">
        <v>-7.4838578731454719E-2</v>
      </c>
      <c r="I193">
        <v>163</v>
      </c>
      <c r="J193">
        <v>-8.3196780929090525E-3</v>
      </c>
      <c r="K193">
        <v>0.11207171603875336</v>
      </c>
    </row>
    <row r="194" spans="1:11" x14ac:dyDescent="0.15">
      <c r="A194" s="17">
        <v>44211</v>
      </c>
      <c r="B194" s="5">
        <v>-2.4130589070262554E-2</v>
      </c>
      <c r="C194" s="5">
        <v>-1.101522842639594</v>
      </c>
      <c r="D194" s="5">
        <v>-1.1201741335294946E-3</v>
      </c>
      <c r="E194" s="5">
        <v>-3.489724699495933E-3</v>
      </c>
      <c r="F194" s="5">
        <v>-0.5714285714285714</v>
      </c>
      <c r="G194" s="5">
        <v>6.558618033040764E-2</v>
      </c>
      <c r="I194">
        <v>164</v>
      </c>
      <c r="J194">
        <v>7.8635531450708916E-3</v>
      </c>
      <c r="K194">
        <v>-3.6812570719607168E-2</v>
      </c>
    </row>
    <row r="195" spans="1:11" x14ac:dyDescent="0.15">
      <c r="A195" s="17">
        <v>44218</v>
      </c>
      <c r="B195" s="5">
        <v>3.8181818181819427E-3</v>
      </c>
      <c r="C195" s="5">
        <v>3.1999999999999993</v>
      </c>
      <c r="D195" s="5">
        <v>-1.9713412248800966E-2</v>
      </c>
      <c r="E195" s="5">
        <v>-4.0077821011673009E-2</v>
      </c>
      <c r="F195" s="5">
        <v>-1</v>
      </c>
      <c r="G195" s="5">
        <v>-0.15494853220101901</v>
      </c>
      <c r="I195">
        <v>165</v>
      </c>
      <c r="J195">
        <v>3.4207870702805239E-2</v>
      </c>
      <c r="K195">
        <v>-0.53451071563216557</v>
      </c>
    </row>
    <row r="196" spans="1:11" x14ac:dyDescent="0.15">
      <c r="A196" s="17">
        <v>44225</v>
      </c>
      <c r="B196" s="5">
        <v>1.2316609309907633E-2</v>
      </c>
      <c r="C196" s="5">
        <v>-1.6071428571428572</v>
      </c>
      <c r="D196" s="5">
        <v>-3.1286580823667198E-2</v>
      </c>
      <c r="E196" s="5">
        <v>-4.1345764085934489E-2</v>
      </c>
      <c r="F196" s="5">
        <v>0</v>
      </c>
      <c r="G196" s="5">
        <v>3.4483507954985448E-4</v>
      </c>
      <c r="I196">
        <v>166</v>
      </c>
      <c r="J196">
        <v>1.7399056878399245E-2</v>
      </c>
      <c r="K196">
        <v>0.69206483065740221</v>
      </c>
    </row>
    <row r="197" spans="1:11" x14ac:dyDescent="0.15">
      <c r="A197" s="17">
        <v>44232</v>
      </c>
      <c r="B197" s="5">
        <v>6.6738235820361425E-2</v>
      </c>
      <c r="C197" s="5">
        <v>6.3921568627450975</v>
      </c>
      <c r="D197" s="5">
        <v>3.5290563550477883E-2</v>
      </c>
      <c r="E197" s="5">
        <v>5.412262156448211E-2</v>
      </c>
      <c r="F197" s="5">
        <v>0.25</v>
      </c>
      <c r="G197" s="5">
        <v>0.14548290185257962</v>
      </c>
      <c r="I197">
        <v>167</v>
      </c>
      <c r="J197">
        <v>1.6608339467837418E-2</v>
      </c>
      <c r="K197">
        <v>0.11770976096417589</v>
      </c>
    </row>
    <row r="198" spans="1:11" x14ac:dyDescent="0.15">
      <c r="A198" s="17">
        <v>44239</v>
      </c>
      <c r="B198" s="5">
        <v>5.1828245555182839E-2</v>
      </c>
      <c r="C198" s="5">
        <v>-0.41909814323607431</v>
      </c>
      <c r="D198" s="5">
        <v>1.0124589932001715E-2</v>
      </c>
      <c r="E198" s="5">
        <v>1.9253910950661979E-2</v>
      </c>
      <c r="F198" s="5">
        <v>1.4</v>
      </c>
      <c r="G198" s="5">
        <v>0.15507735347746587</v>
      </c>
      <c r="I198">
        <v>168</v>
      </c>
      <c r="J198">
        <v>2.443345816824713E-2</v>
      </c>
      <c r="K198">
        <v>-0.22987590822342793</v>
      </c>
    </row>
    <row r="199" spans="1:11" x14ac:dyDescent="0.15">
      <c r="A199" s="17">
        <v>44246</v>
      </c>
      <c r="B199" s="5">
        <v>2.0730346037314273E-3</v>
      </c>
      <c r="C199" s="5">
        <v>0.31050228310502281</v>
      </c>
      <c r="D199" s="5">
        <v>8.9288840645680434E-3</v>
      </c>
      <c r="E199" s="5">
        <v>3.1483667847302943E-3</v>
      </c>
      <c r="F199" s="5">
        <v>0</v>
      </c>
      <c r="G199" s="5">
        <v>-0.23025037395852643</v>
      </c>
      <c r="I199">
        <v>169</v>
      </c>
      <c r="J199">
        <v>5.2813657597547935E-3</v>
      </c>
      <c r="K199">
        <v>0.48778227776420358</v>
      </c>
    </row>
    <row r="200" spans="1:11" x14ac:dyDescent="0.15">
      <c r="A200" s="17">
        <v>44253</v>
      </c>
      <c r="B200" s="5">
        <v>4.9809038828771302E-2</v>
      </c>
      <c r="C200" s="5">
        <v>-0.15679442508710806</v>
      </c>
      <c r="D200" s="5">
        <v>-3.211401864834218E-2</v>
      </c>
      <c r="E200" s="5">
        <v>-4.0015692428403304E-2</v>
      </c>
      <c r="F200" s="5">
        <v>0</v>
      </c>
      <c r="G200" s="5">
        <v>-0.16056651348639661</v>
      </c>
      <c r="I200">
        <v>170</v>
      </c>
      <c r="J200">
        <v>0.15501125080602179</v>
      </c>
      <c r="K200">
        <v>-0.23198635844617138</v>
      </c>
    </row>
    <row r="201" spans="1:11" x14ac:dyDescent="0.15">
      <c r="A201" s="17">
        <v>44260</v>
      </c>
      <c r="B201" s="5">
        <v>5.6389267849022318E-2</v>
      </c>
      <c r="C201" s="5">
        <v>0.73140495867768607</v>
      </c>
      <c r="D201" s="5">
        <v>2.0166495350560698E-2</v>
      </c>
      <c r="E201" s="5">
        <v>4.3727012668573817E-2</v>
      </c>
      <c r="F201" s="5">
        <v>0.27777777777777768</v>
      </c>
      <c r="G201" s="5">
        <v>-7.9462809137384571E-2</v>
      </c>
      <c r="I201">
        <v>171</v>
      </c>
      <c r="J201">
        <v>5.0539869115975515E-2</v>
      </c>
      <c r="K201">
        <v>0.30215121990785687</v>
      </c>
    </row>
    <row r="202" spans="1:11" x14ac:dyDescent="0.15">
      <c r="A202" s="17">
        <v>44267</v>
      </c>
      <c r="B202" s="5">
        <v>-6.6006600660064585E-3</v>
      </c>
      <c r="C202" s="5">
        <v>-0.15513126491646789</v>
      </c>
      <c r="D202" s="5">
        <v>3.6720921581779198E-2</v>
      </c>
      <c r="E202" s="5">
        <v>4.8551292090837972E-2</v>
      </c>
      <c r="F202" s="5">
        <v>6.5217391304347894E-2</v>
      </c>
      <c r="G202" s="5">
        <v>0.57285704709366292</v>
      </c>
      <c r="I202">
        <v>172</v>
      </c>
      <c r="J202">
        <v>3.6361321322271652E-3</v>
      </c>
      <c r="K202">
        <v>-0.13433099739424784</v>
      </c>
    </row>
    <row r="203" spans="1:11" x14ac:dyDescent="0.15">
      <c r="A203" s="17">
        <v>44274</v>
      </c>
      <c r="B203" s="5">
        <v>-6.8900765564061994E-2</v>
      </c>
      <c r="C203" s="5">
        <v>-2.2033898305084745</v>
      </c>
      <c r="D203" s="5">
        <v>-1.8149456137872555E-2</v>
      </c>
      <c r="E203" s="5">
        <v>-3.3233756534727377E-2</v>
      </c>
      <c r="F203" s="5">
        <v>-0.26530612244897966</v>
      </c>
      <c r="G203" s="5">
        <v>2.3599990894461742E-2</v>
      </c>
      <c r="I203">
        <v>173</v>
      </c>
      <c r="J203">
        <v>-2.8084215081576179E-2</v>
      </c>
      <c r="K203">
        <v>-0.38856110005505556</v>
      </c>
    </row>
    <row r="204" spans="1:11" x14ac:dyDescent="0.15">
      <c r="A204" s="17">
        <v>44281</v>
      </c>
      <c r="B204" s="5">
        <v>-2.0167545764814276E-3</v>
      </c>
      <c r="C204" s="5">
        <v>-0.96478873239436624</v>
      </c>
      <c r="D204" s="5">
        <v>4.1924920725355808E-3</v>
      </c>
      <c r="E204" s="5">
        <v>-1.1587485515643148E-2</v>
      </c>
      <c r="F204" s="5">
        <v>0.16666666666666674</v>
      </c>
      <c r="G204" s="5">
        <v>-0.25415744490874215</v>
      </c>
      <c r="I204">
        <v>174</v>
      </c>
      <c r="J204">
        <v>2.4651860795608552E-2</v>
      </c>
      <c r="K204">
        <v>0.43404179436625534</v>
      </c>
    </row>
    <row r="205" spans="1:11" x14ac:dyDescent="0.15">
      <c r="A205" s="17">
        <v>44295</v>
      </c>
      <c r="B205" s="5">
        <v>-2.4748646558391485E-2</v>
      </c>
      <c r="C205" s="5">
        <v>0</v>
      </c>
      <c r="D205" s="5">
        <v>0</v>
      </c>
      <c r="E205" s="5">
        <v>-2.34375E-2</v>
      </c>
      <c r="F205" s="5">
        <v>0.23809523809523814</v>
      </c>
      <c r="G205" s="5">
        <v>0.33068977042551495</v>
      </c>
      <c r="I205">
        <v>175</v>
      </c>
      <c r="J205">
        <v>8.3920555714953778E-3</v>
      </c>
      <c r="K205">
        <v>0.22796930681083435</v>
      </c>
    </row>
    <row r="206" spans="1:11" x14ac:dyDescent="0.15">
      <c r="A206" s="17">
        <v>44302</v>
      </c>
      <c r="B206" s="5">
        <v>5.8207771609833481E-2</v>
      </c>
      <c r="C206" s="5">
        <v>2.5837563451776648</v>
      </c>
      <c r="D206" s="5">
        <v>3.2245849863598464E-2</v>
      </c>
      <c r="E206" s="5">
        <v>5.2400000000000002E-2</v>
      </c>
      <c r="F206" s="5">
        <v>-1.9230769230769384E-2</v>
      </c>
      <c r="G206" s="5">
        <v>0.11862837552326733</v>
      </c>
      <c r="I206">
        <v>176</v>
      </c>
      <c r="J206">
        <v>1.0149952919600254E-2</v>
      </c>
      <c r="K206">
        <v>-1.0465006134057271E-2</v>
      </c>
    </row>
    <row r="207" spans="1:11" x14ac:dyDescent="0.15">
      <c r="A207" s="17">
        <v>44309</v>
      </c>
      <c r="B207" s="5">
        <v>-8.9928057553956275E-3</v>
      </c>
      <c r="C207" s="5">
        <v>-0.69546742209631729</v>
      </c>
      <c r="D207" s="5">
        <v>-3.5293071442066282E-4</v>
      </c>
      <c r="E207" s="5">
        <v>1.330292664386179E-2</v>
      </c>
      <c r="F207" s="5">
        <v>-1.9607843137254832E-2</v>
      </c>
      <c r="G207" s="5">
        <v>-0.21629284093084478</v>
      </c>
      <c r="I207">
        <v>177</v>
      </c>
      <c r="J207">
        <v>-3.2292158823055903E-3</v>
      </c>
      <c r="K207">
        <v>-0.12502605678034664</v>
      </c>
    </row>
    <row r="208" spans="1:11" x14ac:dyDescent="0.15">
      <c r="A208" s="17">
        <v>44316</v>
      </c>
      <c r="B208" s="5">
        <v>1.7241379310344751E-2</v>
      </c>
      <c r="C208" s="5">
        <v>0.46046511627906983</v>
      </c>
      <c r="D208" s="5">
        <v>-1.4781064003091315E-2</v>
      </c>
      <c r="E208" s="5">
        <v>-2.6631657914478635E-2</v>
      </c>
      <c r="F208" s="5">
        <v>8.0000000000000071E-2</v>
      </c>
      <c r="G208" s="5">
        <v>-7.1437323116267493E-2</v>
      </c>
      <c r="I208">
        <v>178</v>
      </c>
      <c r="J208">
        <v>1.8748632476330677E-3</v>
      </c>
      <c r="K208">
        <v>-0.16528951192838578</v>
      </c>
    </row>
    <row r="209" spans="1:11" x14ac:dyDescent="0.15">
      <c r="A209" s="17">
        <v>44323</v>
      </c>
      <c r="B209" s="5">
        <v>1.5016354445435587E-2</v>
      </c>
      <c r="C209" s="5">
        <v>-0.14012738853503182</v>
      </c>
      <c r="D209" s="5">
        <v>3.9133747178329514E-2</v>
      </c>
      <c r="E209" s="5">
        <v>5.8574181117533763E-2</v>
      </c>
      <c r="F209" s="5">
        <v>-0.33333333333333337</v>
      </c>
      <c r="G209" s="5">
        <v>0.12593123862379763</v>
      </c>
      <c r="I209">
        <v>179</v>
      </c>
      <c r="J209">
        <v>4.0493544844238595E-2</v>
      </c>
      <c r="K209">
        <v>0.3511607849520636</v>
      </c>
    </row>
    <row r="210" spans="1:11" x14ac:dyDescent="0.15">
      <c r="A210" s="17">
        <v>44330</v>
      </c>
      <c r="B210" s="5">
        <v>8.2027244763440699E-3</v>
      </c>
      <c r="C210" s="5">
        <v>-0.6518518518518519</v>
      </c>
      <c r="D210" s="5">
        <v>-1.2243767463457456E-2</v>
      </c>
      <c r="E210" s="5">
        <v>-8.0087368037858875E-3</v>
      </c>
      <c r="F210" s="5">
        <v>-2.777777777777779E-2</v>
      </c>
      <c r="G210" s="5">
        <v>0.1596756141949347</v>
      </c>
      <c r="I210">
        <v>180</v>
      </c>
      <c r="J210">
        <v>-2.011917082828563E-2</v>
      </c>
      <c r="K210">
        <v>8.4647009035338727E-2</v>
      </c>
    </row>
    <row r="211" spans="1:11" x14ac:dyDescent="0.15">
      <c r="A211" s="17">
        <v>44337</v>
      </c>
      <c r="B211" s="5">
        <v>-3.0509952055789546E-2</v>
      </c>
      <c r="C211" s="5">
        <v>-1.946808510638298</v>
      </c>
      <c r="D211" s="5">
        <v>6.2898614471080805E-3</v>
      </c>
      <c r="E211" s="5">
        <v>5.3211009174312096E-3</v>
      </c>
      <c r="F211" s="5">
        <v>0.17142857142857126</v>
      </c>
      <c r="G211" s="5">
        <v>-0.17519687731870626</v>
      </c>
      <c r="I211">
        <v>181</v>
      </c>
      <c r="J211">
        <v>3.0438592757022154E-2</v>
      </c>
      <c r="K211">
        <v>-0.28168374160741622</v>
      </c>
    </row>
    <row r="212" spans="1:11" x14ac:dyDescent="0.15">
      <c r="A212" s="17">
        <v>44344</v>
      </c>
      <c r="B212" s="5">
        <v>4.3758429491982609E-2</v>
      </c>
      <c r="C212" s="5">
        <v>-4.6853932584269664</v>
      </c>
      <c r="D212" s="5">
        <v>1.9142298277821546E-2</v>
      </c>
      <c r="E212" s="5">
        <v>2.682971345135976E-2</v>
      </c>
      <c r="F212" s="5">
        <v>-0.21951219512195108</v>
      </c>
      <c r="G212" s="5">
        <v>0.24609664825537547</v>
      </c>
      <c r="I212">
        <v>182</v>
      </c>
      <c r="J212">
        <v>3.030733625357241E-2</v>
      </c>
      <c r="K212">
        <v>-0.30539795099699552</v>
      </c>
    </row>
    <row r="213" spans="1:11" x14ac:dyDescent="0.15">
      <c r="A213" s="17">
        <v>44351</v>
      </c>
      <c r="B213" s="5">
        <v>3.1155778894472075E-2</v>
      </c>
      <c r="C213" s="5">
        <v>0.59146341463414642</v>
      </c>
      <c r="D213" s="5">
        <v>2.0608221307850005E-2</v>
      </c>
      <c r="E213" s="5">
        <v>2.9150373266974672E-2</v>
      </c>
      <c r="F213" s="5">
        <v>-0.1875</v>
      </c>
      <c r="G213" s="5">
        <v>-0.17435116731601275</v>
      </c>
      <c r="I213">
        <v>183</v>
      </c>
      <c r="J213">
        <v>3.4875480387015032E-2</v>
      </c>
      <c r="K213">
        <v>0.45112332076517814</v>
      </c>
    </row>
    <row r="214" spans="1:11" x14ac:dyDescent="0.15">
      <c r="A214" s="17">
        <v>44358</v>
      </c>
      <c r="B214" s="5">
        <v>1.1138958507379781E-2</v>
      </c>
      <c r="C214" s="5">
        <v>-0.29118773946360144</v>
      </c>
      <c r="D214" s="5">
        <v>8.956172536330298E-3</v>
      </c>
      <c r="E214" s="5">
        <v>1.899827288428324E-2</v>
      </c>
      <c r="F214" s="5">
        <v>0.26923076923076916</v>
      </c>
      <c r="G214" s="5">
        <v>0.41670339135074896</v>
      </c>
      <c r="I214">
        <v>184</v>
      </c>
      <c r="J214">
        <v>2.3983937879673414E-2</v>
      </c>
      <c r="K214">
        <v>0.15605098042198268</v>
      </c>
    </row>
    <row r="215" spans="1:11" x14ac:dyDescent="0.15">
      <c r="A215" s="17">
        <v>44365</v>
      </c>
      <c r="B215" s="5">
        <v>8.2621867254200065E-3</v>
      </c>
      <c r="C215" s="5">
        <v>-0.24864864864864877</v>
      </c>
      <c r="D215" s="5">
        <v>-1.0042873542572939E-2</v>
      </c>
      <c r="E215" s="5">
        <v>-2.3389830508474652E-2</v>
      </c>
      <c r="F215" s="5">
        <v>0</v>
      </c>
      <c r="G215" s="5">
        <v>-6.8414070850575381E-2</v>
      </c>
      <c r="I215">
        <v>185</v>
      </c>
      <c r="J215">
        <v>1.9658950531654631E-2</v>
      </c>
      <c r="K215">
        <v>-0.20293459514104967</v>
      </c>
    </row>
    <row r="216" spans="1:11" x14ac:dyDescent="0.15">
      <c r="A216" s="17">
        <v>44372</v>
      </c>
      <c r="B216" s="5">
        <v>3.8104343075662461E-2</v>
      </c>
      <c r="C216" s="5">
        <v>0.3633093525179858</v>
      </c>
      <c r="D216" s="5">
        <v>7.5967341143061695E-3</v>
      </c>
      <c r="E216" s="5">
        <v>1.8396390142311647E-2</v>
      </c>
      <c r="F216" s="5">
        <v>6.0606060606060552E-2</v>
      </c>
      <c r="G216" s="5">
        <v>-0.5187378485726053</v>
      </c>
      <c r="I216">
        <v>186</v>
      </c>
      <c r="J216">
        <v>2.5123771873079952E-3</v>
      </c>
      <c r="K216">
        <v>-0.5299703091222342</v>
      </c>
    </row>
    <row r="217" spans="1:11" x14ac:dyDescent="0.15">
      <c r="A217" s="17">
        <v>44379</v>
      </c>
      <c r="B217" s="5">
        <v>-5.2624654650712532E-4</v>
      </c>
      <c r="C217" s="5">
        <v>-0.23218997361477567</v>
      </c>
      <c r="D217" s="5">
        <v>8.7634139212493523E-3</v>
      </c>
      <c r="E217" s="5">
        <v>-6.8166325835039565E-4</v>
      </c>
      <c r="F217" s="5">
        <v>0.22857142857142843</v>
      </c>
      <c r="G217" s="5">
        <v>0.26006395575701835</v>
      </c>
      <c r="I217">
        <v>187</v>
      </c>
      <c r="J217">
        <v>0.20149682138837421</v>
      </c>
      <c r="K217">
        <v>0.96592436697716588</v>
      </c>
    </row>
    <row r="218" spans="1:11" x14ac:dyDescent="0.15">
      <c r="A218" s="17">
        <v>44386</v>
      </c>
      <c r="B218" s="5">
        <v>-5.1336053705409723E-3</v>
      </c>
      <c r="C218" s="5">
        <v>-0.2371134020618556</v>
      </c>
      <c r="D218" s="5">
        <v>-2.61549844518838E-3</v>
      </c>
      <c r="E218" s="5">
        <v>-1.6712141882674003E-2</v>
      </c>
      <c r="F218" s="5">
        <v>0.23255813953488369</v>
      </c>
      <c r="G218" s="5">
        <v>0.28202575091432758</v>
      </c>
      <c r="I218">
        <v>188</v>
      </c>
      <c r="J218">
        <v>3.0243792144716432E-2</v>
      </c>
      <c r="K218">
        <v>4.0099844067937505E-2</v>
      </c>
    </row>
    <row r="219" spans="1:11" x14ac:dyDescent="0.15">
      <c r="A219" s="17">
        <v>44393</v>
      </c>
      <c r="B219" s="5">
        <v>-3.0166710770044958E-2</v>
      </c>
      <c r="C219" s="5">
        <v>-1.3513513513513598E-2</v>
      </c>
      <c r="D219" s="5">
        <v>-2.2089014891150116E-2</v>
      </c>
      <c r="E219" s="5">
        <v>-1.7689906347554518E-2</v>
      </c>
      <c r="F219" s="5">
        <v>9.4339622641509413E-2</v>
      </c>
      <c r="G219" s="5">
        <v>1.6404287454819144E-2</v>
      </c>
      <c r="I219">
        <v>189</v>
      </c>
      <c r="J219">
        <v>2.650496265956458E-2</v>
      </c>
      <c r="K219">
        <v>0.14072572792129279</v>
      </c>
    </row>
    <row r="220" spans="1:11" x14ac:dyDescent="0.15">
      <c r="A220" s="17">
        <v>44400</v>
      </c>
      <c r="B220" s="5">
        <v>1.2141882673942783E-2</v>
      </c>
      <c r="C220" s="5">
        <v>0.8447488584474887</v>
      </c>
      <c r="D220" s="5">
        <v>-9.4452475365701671E-3</v>
      </c>
      <c r="E220" s="5">
        <v>-4.9435028248587809E-3</v>
      </c>
      <c r="F220" s="5">
        <v>-0.13793103448275856</v>
      </c>
      <c r="G220" s="5">
        <v>-0.30712818936500585</v>
      </c>
      <c r="I220">
        <v>190</v>
      </c>
      <c r="J220">
        <v>1.540924453973332E-2</v>
      </c>
      <c r="K220">
        <v>-9.0247823271188035E-2</v>
      </c>
    </row>
    <row r="221" spans="1:11" x14ac:dyDescent="0.15">
      <c r="A221" s="17">
        <v>44407</v>
      </c>
      <c r="B221" s="5">
        <v>2.8844857797546863E-2</v>
      </c>
      <c r="C221" s="5">
        <v>0.83910891089108897</v>
      </c>
      <c r="D221" s="5">
        <v>9.9182228601113476E-3</v>
      </c>
      <c r="E221" s="5">
        <v>2.0936834634492474E-2</v>
      </c>
      <c r="F221" s="5">
        <v>-4.0000000000000036E-2</v>
      </c>
      <c r="G221" s="5">
        <v>7.5806655841493154E-2</v>
      </c>
      <c r="I221">
        <v>191</v>
      </c>
      <c r="J221">
        <v>1.7314058186610928E-2</v>
      </c>
      <c r="K221">
        <v>4.8272122143796711E-2</v>
      </c>
    </row>
    <row r="222" spans="1:11" x14ac:dyDescent="0.15">
      <c r="A222" s="17">
        <v>44414</v>
      </c>
      <c r="B222" s="5">
        <v>-7.6509891261627216E-2</v>
      </c>
      <c r="C222" s="5">
        <v>-0.62449528936742937</v>
      </c>
      <c r="D222" s="5">
        <v>8.9564585664363427E-3</v>
      </c>
      <c r="E222" s="5">
        <v>4.5185957594715553E-3</v>
      </c>
      <c r="F222" s="5">
        <v>-0.1875</v>
      </c>
      <c r="G222" s="5">
        <v>0.39191389726641157</v>
      </c>
      <c r="I222">
        <v>192</v>
      </c>
      <c r="J222">
        <v>-4.7529645885474904E-3</v>
      </c>
      <c r="K222">
        <v>-0.15019556761247152</v>
      </c>
    </row>
    <row r="223" spans="1:11" x14ac:dyDescent="0.15">
      <c r="A223" s="17">
        <v>44421</v>
      </c>
      <c r="B223" s="5">
        <v>-3.4047382607461651E-3</v>
      </c>
      <c r="C223" s="5">
        <v>0.62724014336917566</v>
      </c>
      <c r="D223" s="5">
        <v>1.7774927996299983E-2</v>
      </c>
      <c r="E223" s="5">
        <v>1.2802768166090051E-2</v>
      </c>
      <c r="F223" s="5">
        <v>0.15384615384615397</v>
      </c>
      <c r="G223" s="5">
        <v>-8.8771280806000386E-2</v>
      </c>
      <c r="I223">
        <v>193</v>
      </c>
      <c r="J223">
        <v>5.1854783610303231E-3</v>
      </c>
      <c r="K223">
        <v>-4.8406432814804687E-3</v>
      </c>
    </row>
    <row r="224" spans="1:11" x14ac:dyDescent="0.15">
      <c r="A224" s="17">
        <v>44428</v>
      </c>
      <c r="B224" s="5">
        <v>-7.4733096085409234E-2</v>
      </c>
      <c r="C224" s="5">
        <v>-0.88546255506607929</v>
      </c>
      <c r="D224" s="5">
        <v>-1.0405370513813628E-2</v>
      </c>
      <c r="E224" s="5">
        <v>-2.9723266142808402E-2</v>
      </c>
      <c r="F224" s="5">
        <v>8.8888888888889017E-2</v>
      </c>
      <c r="G224" s="5">
        <v>0.1422901122757918</v>
      </c>
      <c r="I224">
        <v>194</v>
      </c>
      <c r="J224">
        <v>2.9043302014993576E-2</v>
      </c>
      <c r="K224">
        <v>0.11643959983758603</v>
      </c>
    </row>
    <row r="225" spans="1:11" x14ac:dyDescent="0.15">
      <c r="A225" s="17">
        <v>44435</v>
      </c>
      <c r="B225" s="5">
        <v>0.11923076923076925</v>
      </c>
      <c r="C225" s="5">
        <v>18.288461538461537</v>
      </c>
      <c r="D225" s="5">
        <v>1.4266704933858732E-2</v>
      </c>
      <c r="E225" s="5">
        <v>2.5352112676056526E-2</v>
      </c>
      <c r="F225" s="5">
        <v>-0.22448979591836749</v>
      </c>
      <c r="G225" s="5">
        <v>-0.4082142379698277</v>
      </c>
      <c r="I225">
        <v>195</v>
      </c>
      <c r="J225">
        <v>3.7034000295713299E-2</v>
      </c>
      <c r="K225">
        <v>0.11804335318175257</v>
      </c>
    </row>
    <row r="226" spans="1:11" x14ac:dyDescent="0.15">
      <c r="A226" s="17">
        <v>44442</v>
      </c>
      <c r="B226" s="5">
        <v>-3.711340206185465E-3</v>
      </c>
      <c r="C226" s="5">
        <v>-0.27916251246261203</v>
      </c>
      <c r="D226" s="5">
        <v>2.940798172548087E-2</v>
      </c>
      <c r="E226" s="5">
        <v>3.6401098901098772E-2</v>
      </c>
      <c r="F226" s="5">
        <v>-0.18421052631578938</v>
      </c>
      <c r="G226" s="5">
        <v>0.27188660040926615</v>
      </c>
      <c r="I226">
        <v>196</v>
      </c>
      <c r="J226">
        <v>2.3696379113826691E-2</v>
      </c>
      <c r="K226">
        <v>-0.25394675307235315</v>
      </c>
    </row>
    <row r="227" spans="1:11" x14ac:dyDescent="0.15">
      <c r="A227" s="17">
        <v>44449</v>
      </c>
      <c r="B227" s="5">
        <v>6.4845474613686171E-3</v>
      </c>
      <c r="C227" s="5">
        <v>-0.31811894882434311</v>
      </c>
      <c r="D227" s="5">
        <v>2.3989804333157672E-4</v>
      </c>
      <c r="E227" s="5">
        <v>-1.2259774685221991E-2</v>
      </c>
      <c r="F227" s="5">
        <v>-0.35483870967741937</v>
      </c>
      <c r="G227" s="5">
        <v>0.60581736294816957</v>
      </c>
      <c r="I227">
        <v>197</v>
      </c>
      <c r="J227">
        <v>-2.2477044454299374E-3</v>
      </c>
      <c r="K227">
        <v>-0.15831880904096668</v>
      </c>
    </row>
    <row r="228" spans="1:11" x14ac:dyDescent="0.15">
      <c r="A228" s="17">
        <v>44456</v>
      </c>
      <c r="B228" s="5">
        <v>3.4818368745716199E-2</v>
      </c>
      <c r="C228" s="5">
        <v>0.4989858012170385</v>
      </c>
      <c r="D228" s="5">
        <v>8.1220988042951525E-3</v>
      </c>
      <c r="E228" s="5">
        <v>7.0446159007044873E-3</v>
      </c>
      <c r="F228" s="5">
        <v>1.5</v>
      </c>
      <c r="G228" s="5">
        <v>-0.22602437988642998</v>
      </c>
      <c r="I228">
        <v>198</v>
      </c>
      <c r="J228">
        <v>2.630018214649215E-2</v>
      </c>
      <c r="K228">
        <v>-0.10576299128387673</v>
      </c>
    </row>
    <row r="229" spans="1:11" x14ac:dyDescent="0.15">
      <c r="A229" s="17">
        <v>44463</v>
      </c>
      <c r="B229" s="5">
        <v>3.4176712147304222E-2</v>
      </c>
      <c r="C229" s="5">
        <v>0.121786197564276</v>
      </c>
      <c r="D229" s="5">
        <v>7.5833236270095306E-4</v>
      </c>
      <c r="E229" s="5">
        <v>3.6642238507660352E-3</v>
      </c>
      <c r="F229" s="5">
        <v>-1.9999999999999907E-2</v>
      </c>
      <c r="G229" s="5">
        <v>6.9797580133379444E-2</v>
      </c>
      <c r="I229">
        <v>199</v>
      </c>
      <c r="J229">
        <v>4.0248466149719067E-2</v>
      </c>
      <c r="K229">
        <v>0.53260858094394381</v>
      </c>
    </row>
    <row r="230" spans="1:11" x14ac:dyDescent="0.15">
      <c r="A230" s="17">
        <v>44470</v>
      </c>
      <c r="B230" s="5">
        <v>1.4986550531574272E-2</v>
      </c>
      <c r="C230" s="5">
        <v>-8.4439083232810574E-2</v>
      </c>
      <c r="D230" s="5">
        <v>1.2074597038801649E-2</v>
      </c>
      <c r="E230" s="5">
        <v>9.6249585131098492E-3</v>
      </c>
      <c r="F230" s="5">
        <v>-0.16326530612244916</v>
      </c>
      <c r="G230" s="5">
        <v>0.1368022427391471</v>
      </c>
      <c r="I230">
        <v>200</v>
      </c>
      <c r="J230">
        <v>2.1868331315542108E-2</v>
      </c>
      <c r="K230">
        <v>1.7316595789196344E-3</v>
      </c>
    </row>
    <row r="231" spans="1:11" x14ac:dyDescent="0.15">
      <c r="A231" s="17">
        <v>44477</v>
      </c>
      <c r="B231" s="5">
        <v>4.2150429076224238E-2</v>
      </c>
      <c r="C231" s="5">
        <v>0.15810276679841895</v>
      </c>
      <c r="D231" s="5">
        <v>3.6948952652196443E-2</v>
      </c>
      <c r="E231" s="5">
        <v>5.1610782380012932E-2</v>
      </c>
      <c r="F231" s="5">
        <v>4.8780487804878092E-2</v>
      </c>
      <c r="G231" s="5">
        <v>-0.1334276238371267</v>
      </c>
      <c r="I231">
        <v>201</v>
      </c>
      <c r="J231">
        <v>2.3318364137259694E-2</v>
      </c>
      <c r="K231">
        <v>-0.27747580904600183</v>
      </c>
    </row>
    <row r="232" spans="1:11" x14ac:dyDescent="0.15">
      <c r="A232" s="17">
        <v>44484</v>
      </c>
      <c r="B232" s="5">
        <v>2.8336158876241191E-2</v>
      </c>
      <c r="C232" s="5">
        <v>0.10238907849829348</v>
      </c>
      <c r="D232" s="5">
        <v>5.6205757432750136E-3</v>
      </c>
      <c r="E232" s="5">
        <v>2.0318849640512671E-2</v>
      </c>
      <c r="F232" s="5">
        <v>0</v>
      </c>
      <c r="G232" s="5">
        <v>0.20604073729449701</v>
      </c>
      <c r="I232">
        <v>202</v>
      </c>
      <c r="J232">
        <v>2.5980656672606611E-2</v>
      </c>
      <c r="K232">
        <v>0.30470911375290832</v>
      </c>
    </row>
    <row r="233" spans="1:11" x14ac:dyDescent="0.15">
      <c r="A233" s="17">
        <v>44491</v>
      </c>
      <c r="B233" s="5">
        <v>1.0009420631182264E-2</v>
      </c>
      <c r="C233" s="5">
        <v>-0.2683178534571723</v>
      </c>
      <c r="D233" s="5">
        <v>-1.521885016260649E-2</v>
      </c>
      <c r="E233" s="5">
        <v>9.1911764705887578E-4</v>
      </c>
      <c r="F233" s="5">
        <v>-0.16279069767441856</v>
      </c>
      <c r="G233" s="5">
        <v>-0.11917404981914537</v>
      </c>
      <c r="I233">
        <v>203</v>
      </c>
      <c r="J233">
        <v>2.5793673329737282E-2</v>
      </c>
      <c r="K233">
        <v>9.2834702193530044E-2</v>
      </c>
    </row>
    <row r="234" spans="1:11" x14ac:dyDescent="0.15">
      <c r="A234" s="17">
        <v>44498</v>
      </c>
      <c r="B234" s="5">
        <v>-1.6206132680424368E-2</v>
      </c>
      <c r="C234" s="5">
        <v>-0.44569816643159377</v>
      </c>
      <c r="D234" s="5">
        <v>-1.1189051122717397E-2</v>
      </c>
      <c r="E234" s="5">
        <v>-2.0508111417202324E-2</v>
      </c>
      <c r="F234" s="5">
        <v>-0.22222222222222232</v>
      </c>
      <c r="G234" s="5">
        <v>-0.30553802367495153</v>
      </c>
      <c r="I234">
        <v>204</v>
      </c>
      <c r="J234">
        <v>2.5364317107231499E-2</v>
      </c>
      <c r="K234">
        <v>-0.24165715803807628</v>
      </c>
    </row>
    <row r="235" spans="1:11" x14ac:dyDescent="0.15">
      <c r="A235" s="17">
        <v>44505</v>
      </c>
      <c r="B235" s="5">
        <v>-2.1687603697558622E-2</v>
      </c>
      <c r="C235" s="5">
        <v>-0.52671755725190839</v>
      </c>
      <c r="D235" s="5">
        <v>5.966265060241005E-3</v>
      </c>
      <c r="E235" s="5">
        <v>-2.1875000000000089E-3</v>
      </c>
      <c r="F235" s="5">
        <v>0.14285714285714302</v>
      </c>
      <c r="G235" s="5">
        <v>0.45688220932205614</v>
      </c>
      <c r="I235">
        <v>205</v>
      </c>
      <c r="J235">
        <v>1.1529268743152254E-2</v>
      </c>
      <c r="K235">
        <v>-8.296659185941975E-2</v>
      </c>
    </row>
    <row r="236" spans="1:11" x14ac:dyDescent="0.15">
      <c r="A236" s="17">
        <v>44512</v>
      </c>
      <c r="B236" s="5">
        <v>-7.2683222289521288E-3</v>
      </c>
      <c r="C236" s="5">
        <v>-5.9139784946236618E-2</v>
      </c>
      <c r="D236" s="5">
        <v>-1.2719294043250451E-2</v>
      </c>
      <c r="E236" s="5">
        <v>-2.0670216097713801E-2</v>
      </c>
      <c r="F236" s="5">
        <v>-9.3750000000000111E-2</v>
      </c>
      <c r="G236" s="5">
        <v>-0.21878686095073174</v>
      </c>
      <c r="I236">
        <v>206</v>
      </c>
      <c r="J236">
        <v>3.2394285013587952E-2</v>
      </c>
      <c r="K236">
        <v>9.3536953610209667E-2</v>
      </c>
    </row>
    <row r="237" spans="1:11" x14ac:dyDescent="0.15">
      <c r="A237" s="17">
        <v>44519</v>
      </c>
      <c r="B237" s="5">
        <v>-4.0146430750457651E-2</v>
      </c>
      <c r="C237" s="5">
        <v>-0.98285714285714287</v>
      </c>
      <c r="D237" s="5">
        <v>-2.5521270556038145E-2</v>
      </c>
      <c r="E237" s="5">
        <v>-4.3172369683402545E-2</v>
      </c>
      <c r="F237" s="5">
        <v>0.13793103448275867</v>
      </c>
      <c r="G237" s="5">
        <v>0.11793600999234322</v>
      </c>
      <c r="I237">
        <v>207</v>
      </c>
      <c r="J237">
        <v>1.5530612007679058E-2</v>
      </c>
      <c r="K237">
        <v>0.14414500218725565</v>
      </c>
    </row>
    <row r="238" spans="1:11" x14ac:dyDescent="0.15">
      <c r="A238" s="17">
        <v>44526</v>
      </c>
      <c r="B238" s="5">
        <v>-7.33536740401729E-2</v>
      </c>
      <c r="C238" s="5">
        <v>-68.333333333333343</v>
      </c>
      <c r="D238" s="5">
        <v>-5.1161841119191642E-2</v>
      </c>
      <c r="E238" s="5">
        <v>-7.5200534759358284E-2</v>
      </c>
      <c r="F238" s="5">
        <v>-0.15151515151515149</v>
      </c>
      <c r="G238" s="5">
        <v>-0.36185127932269179</v>
      </c>
      <c r="I238">
        <v>208</v>
      </c>
      <c r="J238">
        <v>3.2466388621990479E-2</v>
      </c>
      <c r="K238">
        <v>-0.20766326594069673</v>
      </c>
    </row>
    <row r="239" spans="1:11" x14ac:dyDescent="0.15">
      <c r="A239" s="17">
        <v>44533</v>
      </c>
      <c r="B239" s="5">
        <v>-3.7728083413362645E-2</v>
      </c>
      <c r="C239" s="5">
        <v>-3.222772277227723</v>
      </c>
      <c r="D239" s="5">
        <v>2.6785761142803066E-2</v>
      </c>
      <c r="E239" s="5">
        <v>4.1741958800144419E-2</v>
      </c>
      <c r="F239" s="5">
        <v>0</v>
      </c>
      <c r="G239" s="5">
        <v>0.92052412478490875</v>
      </c>
      <c r="I239">
        <v>209</v>
      </c>
      <c r="J239">
        <v>1.8327282245457561E-2</v>
      </c>
      <c r="K239">
        <v>0.2277693660099179</v>
      </c>
    </row>
    <row r="240" spans="1:11" x14ac:dyDescent="0.15">
      <c r="A240" s="17">
        <v>44540</v>
      </c>
      <c r="B240" s="5">
        <v>7.3139435414884435E-2</v>
      </c>
      <c r="C240" s="5">
        <v>0.38975501113585742</v>
      </c>
      <c r="D240" s="5">
        <v>-3.9056390650795025E-2</v>
      </c>
      <c r="E240" s="5">
        <v>-2.6539462272333059E-2</v>
      </c>
      <c r="F240" s="5">
        <v>0</v>
      </c>
      <c r="G240" s="5">
        <v>-5.3619996842472539E-2</v>
      </c>
      <c r="I240">
        <v>210</v>
      </c>
      <c r="J240">
        <v>2.2183206277408316E-2</v>
      </c>
      <c r="K240">
        <v>-0.19653437359342107</v>
      </c>
    </row>
    <row r="241" spans="1:11" x14ac:dyDescent="0.15">
      <c r="A241" s="17">
        <v>44547</v>
      </c>
      <c r="B241" s="5">
        <v>-3.1885213232363374E-2</v>
      </c>
      <c r="C241" s="5">
        <v>6.0897435897435903E-2</v>
      </c>
      <c r="D241" s="5">
        <v>-9.8291859806448612E-3</v>
      </c>
      <c r="E241" s="5">
        <v>-2.1739130434782594E-2</v>
      </c>
      <c r="F241" s="5">
        <v>-0.1785714285714286</v>
      </c>
      <c r="G241" s="5">
        <v>-0.25261086755876472</v>
      </c>
      <c r="I241">
        <v>211</v>
      </c>
      <c r="J241">
        <v>2.8518936504386527E-2</v>
      </c>
      <c r="K241">
        <v>0.38818445484636244</v>
      </c>
    </row>
    <row r="242" spans="1:11" x14ac:dyDescent="0.15">
      <c r="A242" s="17"/>
      <c r="I242">
        <v>212</v>
      </c>
      <c r="J242">
        <v>1.3738116319534512E-2</v>
      </c>
      <c r="K242">
        <v>-8.2152187170109886E-2</v>
      </c>
    </row>
    <row r="243" spans="1:11" x14ac:dyDescent="0.15">
      <c r="A243" s="17"/>
      <c r="I243">
        <v>213</v>
      </c>
      <c r="J243">
        <v>1.9703186672233315E-2</v>
      </c>
      <c r="K243">
        <v>-0.53844103524483866</v>
      </c>
    </row>
    <row r="244" spans="1:11" x14ac:dyDescent="0.15">
      <c r="A244" s="17"/>
      <c r="I244">
        <v>214</v>
      </c>
      <c r="J244">
        <v>2.6815640972807319E-2</v>
      </c>
      <c r="K244">
        <v>0.23324831478421104</v>
      </c>
    </row>
    <row r="245" spans="1:11" x14ac:dyDescent="0.15">
      <c r="A245" s="17"/>
      <c r="I245">
        <v>215</v>
      </c>
      <c r="J245">
        <v>2.2559685405126907E-2</v>
      </c>
      <c r="K245">
        <v>0.25946606550920065</v>
      </c>
    </row>
    <row r="246" spans="1:11" x14ac:dyDescent="0.15">
      <c r="A246" s="17"/>
      <c r="I246">
        <v>216</v>
      </c>
      <c r="J246">
        <v>2.1213258785020291E-2</v>
      </c>
      <c r="K246">
        <v>-4.8089713302011464E-3</v>
      </c>
    </row>
    <row r="247" spans="1:11" x14ac:dyDescent="0.15">
      <c r="A247" s="17"/>
      <c r="I247">
        <v>217</v>
      </c>
      <c r="J247">
        <v>1.4320288600329054E-2</v>
      </c>
      <c r="K247">
        <v>-0.32144847796533493</v>
      </c>
    </row>
    <row r="248" spans="1:11" x14ac:dyDescent="0.15">
      <c r="I248">
        <v>218</v>
      </c>
      <c r="J248">
        <v>2.1058430687901433E-2</v>
      </c>
      <c r="K248">
        <v>5.474822515359172E-2</v>
      </c>
    </row>
    <row r="249" spans="1:11" x14ac:dyDescent="0.15">
      <c r="I249">
        <v>219</v>
      </c>
      <c r="J249">
        <v>3.6968986473328538E-2</v>
      </c>
      <c r="K249">
        <v>0.35494491079308305</v>
      </c>
    </row>
    <row r="250" spans="1:11" x14ac:dyDescent="0.15">
      <c r="I250">
        <v>220</v>
      </c>
      <c r="J250">
        <v>3.06191280182239E-2</v>
      </c>
      <c r="K250">
        <v>-0.11939040882422429</v>
      </c>
    </row>
    <row r="251" spans="1:11" x14ac:dyDescent="0.15">
      <c r="I251">
        <v>221</v>
      </c>
      <c r="J251">
        <v>3.0489038613460102E-2</v>
      </c>
      <c r="K251">
        <v>0.1118010736623317</v>
      </c>
    </row>
    <row r="252" spans="1:11" x14ac:dyDescent="0.15">
      <c r="I252">
        <v>222</v>
      </c>
      <c r="J252">
        <v>2.4231658040367115E-3</v>
      </c>
      <c r="K252">
        <v>-0.41063740377386443</v>
      </c>
    </row>
    <row r="253" spans="1:11" x14ac:dyDescent="0.15">
      <c r="I253">
        <v>223</v>
      </c>
      <c r="J253">
        <v>3.2363022951492459E-2</v>
      </c>
      <c r="K253">
        <v>0.2395235774577737</v>
      </c>
    </row>
    <row r="254" spans="1:11" x14ac:dyDescent="0.15">
      <c r="I254">
        <v>224</v>
      </c>
      <c r="J254">
        <v>1.3101553591878182E-2</v>
      </c>
      <c r="K254">
        <v>0.59271580935629142</v>
      </c>
    </row>
    <row r="255" spans="1:11" x14ac:dyDescent="0.15">
      <c r="I255">
        <v>225</v>
      </c>
      <c r="J255">
        <v>3.9371105321698158E-2</v>
      </c>
      <c r="K255">
        <v>-0.26539548520812817</v>
      </c>
    </row>
    <row r="256" spans="1:11" x14ac:dyDescent="0.15">
      <c r="I256">
        <v>226</v>
      </c>
      <c r="J256">
        <v>1.5283845115086701E-2</v>
      </c>
      <c r="K256">
        <v>5.4513735018292743E-2</v>
      </c>
    </row>
    <row r="257" spans="9:11" x14ac:dyDescent="0.15">
      <c r="I257">
        <v>227</v>
      </c>
      <c r="J257">
        <v>2.0530671186021105E-2</v>
      </c>
      <c r="K257">
        <v>0.11627157155312599</v>
      </c>
    </row>
    <row r="258" spans="9:11" x14ac:dyDescent="0.15">
      <c r="I258">
        <v>228</v>
      </c>
      <c r="J258">
        <v>3.0814491521218831E-2</v>
      </c>
      <c r="K258">
        <v>-0.16424211535834554</v>
      </c>
    </row>
    <row r="259" spans="9:11" x14ac:dyDescent="0.15">
      <c r="I259">
        <v>229</v>
      </c>
      <c r="J259">
        <v>2.0685240710092083E-2</v>
      </c>
      <c r="K259">
        <v>0.18535549658440492</v>
      </c>
    </row>
    <row r="260" spans="9:11" x14ac:dyDescent="0.15">
      <c r="I260">
        <v>230</v>
      </c>
      <c r="J260">
        <v>1.4128763406753694E-2</v>
      </c>
      <c r="K260">
        <v>-0.13330281322589907</v>
      </c>
    </row>
    <row r="261" spans="9:11" x14ac:dyDescent="0.15">
      <c r="I261">
        <v>231</v>
      </c>
      <c r="J261">
        <v>1.567556843044943E-2</v>
      </c>
      <c r="K261">
        <v>-0.32121359210540096</v>
      </c>
    </row>
    <row r="262" spans="9:11" x14ac:dyDescent="0.15">
      <c r="I262">
        <v>232</v>
      </c>
      <c r="J262">
        <v>2.8947343722545968E-2</v>
      </c>
      <c r="K262">
        <v>0.42793486559951016</v>
      </c>
    </row>
    <row r="263" spans="9:11" x14ac:dyDescent="0.15">
      <c r="I263">
        <v>233</v>
      </c>
      <c r="J263">
        <v>1.5395732616784719E-2</v>
      </c>
      <c r="K263">
        <v>-0.23418259356751647</v>
      </c>
    </row>
    <row r="264" spans="9:11" x14ac:dyDescent="0.15">
      <c r="I264">
        <v>234</v>
      </c>
      <c r="J264">
        <v>1.8658507339176452E-2</v>
      </c>
      <c r="K264">
        <v>9.927750265316676E-2</v>
      </c>
    </row>
    <row r="265" spans="9:11" x14ac:dyDescent="0.15">
      <c r="I265">
        <v>235</v>
      </c>
      <c r="J265">
        <v>8.2045921064337318E-3</v>
      </c>
      <c r="K265">
        <v>-0.37005587142912549</v>
      </c>
    </row>
    <row r="266" spans="9:11" x14ac:dyDescent="0.15">
      <c r="I266">
        <v>236</v>
      </c>
      <c r="J266">
        <v>4.2140808188384837E-2</v>
      </c>
      <c r="K266">
        <v>0.87838331659652391</v>
      </c>
    </row>
    <row r="267" spans="9:11" x14ac:dyDescent="0.15">
      <c r="I267">
        <v>237</v>
      </c>
      <c r="J267">
        <v>-6.0753199068341382E-3</v>
      </c>
      <c r="K267">
        <v>-4.7544676935638401E-2</v>
      </c>
    </row>
    <row r="268" spans="9:11" ht="15" thickBot="1" x14ac:dyDescent="0.2">
      <c r="I268" s="7">
        <v>238</v>
      </c>
      <c r="J268" s="7">
        <v>1.9548720284574106E-2</v>
      </c>
      <c r="K268" s="7">
        <v>-0.27215958784333882</v>
      </c>
    </row>
  </sheetData>
  <mergeCells count="1">
    <mergeCell ref="B1:G1"/>
  </mergeCells>
  <conditionalFormatting sqref="B4:B24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{38B5349C-B8E0-456F-9378-1610C81BCF50}</x14:id>
        </ext>
      </extLst>
    </cfRule>
  </conditionalFormatting>
  <conditionalFormatting sqref="C4:C24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{78566470-EC6C-492A-A00F-E1D5A25DDC7F}</x14:id>
        </ext>
      </extLst>
    </cfRule>
  </conditionalFormatting>
  <conditionalFormatting sqref="D4:D24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{246B207F-E175-4B08-94C5-55BEA64306D1}</x14:id>
        </ext>
      </extLst>
    </cfRule>
  </conditionalFormatting>
  <conditionalFormatting sqref="E4:E24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{5C5A6174-83FF-4B66-A792-99B0A410A3D4}</x14:id>
        </ext>
      </extLst>
    </cfRule>
  </conditionalFormatting>
  <conditionalFormatting sqref="F4:F2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{C40CFFC4-7535-4EF4-A40E-23DE9ED3C13A}</x14:id>
        </ext>
      </extLst>
    </cfRule>
  </conditionalFormatting>
  <conditionalFormatting sqref="G4:G2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{34B98366-1A47-47BF-B161-18ACBD4FA3C3}</x14:id>
        </ext>
      </extLst>
    </cfRule>
  </conditionalFormatting>
  <conditionalFormatting sqref="M19:M24">
    <cfRule type="cellIs" dxfId="4" priority="7" operator="greaterThan">
      <formula>0.05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B5349C-B8E0-456F-9378-1610C81BC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B4:B241</xm:sqref>
        </x14:conditionalFormatting>
        <x14:conditionalFormatting xmlns:xm="http://schemas.microsoft.com/office/excel/2006/main">
          <x14:cfRule type="dataBar" id="{78566470-EC6C-492A-A00F-E1D5A25DD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C4:C241</xm:sqref>
        </x14:conditionalFormatting>
        <x14:conditionalFormatting xmlns:xm="http://schemas.microsoft.com/office/excel/2006/main">
          <x14:cfRule type="dataBar" id="{246B207F-E175-4B08-94C5-55BEA64306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D4:D241</xm:sqref>
        </x14:conditionalFormatting>
        <x14:conditionalFormatting xmlns:xm="http://schemas.microsoft.com/office/excel/2006/main">
          <x14:cfRule type="dataBar" id="{5C5A6174-83FF-4B66-A792-99B0A410A3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E4:E241</xm:sqref>
        </x14:conditionalFormatting>
        <x14:conditionalFormatting xmlns:xm="http://schemas.microsoft.com/office/excel/2006/main">
          <x14:cfRule type="dataBar" id="{C40CFFC4-7535-4EF4-A40E-23DE9ED3C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F4:F241</xm:sqref>
        </x14:conditionalFormatting>
        <x14:conditionalFormatting xmlns:xm="http://schemas.microsoft.com/office/excel/2006/main">
          <x14:cfRule type="dataBar" id="{34B98366-1A47-47BF-B161-18ACBD4FA3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G4:G241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A1D0-D2CC-4B80-9361-7D1A403BB95F}">
  <dimension ref="A1:Q490"/>
  <sheetViews>
    <sheetView showGridLines="0" zoomScale="80" zoomScaleNormal="80" workbookViewId="0">
      <pane xSplit="1" ySplit="8" topLeftCell="B9" activePane="bottomRight" state="frozen"/>
      <selection pane="topRight" activeCell="B1" sqref="B1"/>
      <selection pane="bottomLeft" activeCell="A4" sqref="A4"/>
      <selection pane="bottomRight" activeCell="L3" sqref="L3"/>
    </sheetView>
  </sheetViews>
  <sheetFormatPr baseColWidth="10" defaultColWidth="9" defaultRowHeight="14" x14ac:dyDescent="0.15"/>
  <cols>
    <col min="1" max="1" width="10.6640625" style="1" customWidth="1"/>
    <col min="2" max="2" width="6.1640625" style="1" customWidth="1"/>
    <col min="3" max="3" width="18" style="1" customWidth="1"/>
    <col min="4" max="4" width="7.5" style="1" customWidth="1"/>
    <col min="5" max="5" width="6.1640625" style="1" customWidth="1"/>
    <col min="6" max="6" width="13.83203125" style="1" customWidth="1"/>
    <col min="7" max="7" width="12.5" style="1" customWidth="1"/>
    <col min="8" max="11" width="12.33203125" style="1" customWidth="1"/>
    <col min="12" max="12" width="13.5" style="1" customWidth="1"/>
    <col min="13" max="13" width="12.33203125" style="1" customWidth="1"/>
    <col min="14" max="14" width="1.83203125" style="1" customWidth="1"/>
    <col min="15" max="15" width="15.6640625" style="1" customWidth="1"/>
    <col min="16" max="16" width="18.33203125" style="1" customWidth="1"/>
    <col min="17" max="17" width="14" style="1" customWidth="1"/>
    <col min="18" max="18" width="10.83203125" style="1" customWidth="1"/>
    <col min="19" max="16384" width="9" style="1"/>
  </cols>
  <sheetData>
    <row r="1" spans="1:17" ht="18" x14ac:dyDescent="0.15">
      <c r="B1" s="30" t="s">
        <v>59</v>
      </c>
    </row>
    <row r="2" spans="1:17" ht="13.5" customHeight="1" x14ac:dyDescent="0.15">
      <c r="B2" s="30"/>
    </row>
    <row r="3" spans="1:17" x14ac:dyDescent="0.15">
      <c r="C3" s="22" t="s">
        <v>49</v>
      </c>
    </row>
    <row r="4" spans="1:17" x14ac:dyDescent="0.15">
      <c r="C4" s="26" t="s">
        <v>47</v>
      </c>
    </row>
    <row r="5" spans="1:17" x14ac:dyDescent="0.15">
      <c r="C5" s="26" t="s">
        <v>48</v>
      </c>
    </row>
    <row r="6" spans="1:17" x14ac:dyDescent="0.15">
      <c r="O6" s="26"/>
    </row>
    <row r="7" spans="1:17" x14ac:dyDescent="0.15">
      <c r="B7" s="39" t="s">
        <v>45</v>
      </c>
      <c r="C7" s="39"/>
      <c r="D7" s="39"/>
      <c r="E7" s="39"/>
      <c r="F7" s="39"/>
      <c r="G7" s="39"/>
    </row>
    <row r="8" spans="1:17" x14ac:dyDescent="0.15">
      <c r="A8" s="25"/>
      <c r="B8" s="19" t="s">
        <v>3</v>
      </c>
      <c r="C8" s="19" t="s">
        <v>36</v>
      </c>
      <c r="D8" s="19" t="s">
        <v>37</v>
      </c>
      <c r="E8" s="19" t="s">
        <v>38</v>
      </c>
      <c r="F8" s="19" t="s">
        <v>39</v>
      </c>
      <c r="G8" s="19" t="s">
        <v>40</v>
      </c>
      <c r="H8" s="19" t="str" cm="1">
        <f t="array" ref="H8:M8">B8:G8</f>
        <v>LCOc1</v>
      </c>
      <c r="I8" s="19" t="str">
        <v>NWEMURLCRKMc1</v>
      </c>
      <c r="J8" s="19" t="str">
        <v>.IMOEX</v>
      </c>
      <c r="K8" s="19" t="str">
        <v>RSX</v>
      </c>
      <c r="L8" s="19" t="str">
        <v>BFO-URL-NWE</v>
      </c>
      <c r="M8" s="19" t="str">
        <v>Urals loading</v>
      </c>
      <c r="P8" s="21" t="s">
        <v>43</v>
      </c>
      <c r="Q8" s="21" t="s">
        <v>44</v>
      </c>
    </row>
    <row r="9" spans="1:17" x14ac:dyDescent="0.15">
      <c r="A9" s="17">
        <v>42741</v>
      </c>
      <c r="P9" s="23" t="s">
        <v>3</v>
      </c>
      <c r="Q9" s="24">
        <f>AVERAGE(B10:B247)</f>
        <v>1.3936852361549716E-3</v>
      </c>
    </row>
    <row r="10" spans="1:17" x14ac:dyDescent="0.15">
      <c r="A10" s="17">
        <v>42748</v>
      </c>
      <c r="B10" s="5">
        <v>-2.0440528634361188E-2</v>
      </c>
      <c r="C10" s="5">
        <v>-3.2708475885078898</v>
      </c>
      <c r="D10" s="5">
        <v>-8.4645856011706933E-3</v>
      </c>
      <c r="E10" s="5">
        <v>-3.2527881040892437E-3</v>
      </c>
      <c r="F10" s="5">
        <v>-0.18000000000000005</v>
      </c>
      <c r="G10" s="5">
        <v>6.374236733922034E-2</v>
      </c>
      <c r="H10" s="1" t="str">
        <f>IF(B10&gt;$Q$9,"High","Low")</f>
        <v>Low</v>
      </c>
      <c r="I10" s="1" t="str">
        <f>IF(C10&gt;$Q$10,"High","Low")</f>
        <v>Low</v>
      </c>
      <c r="J10" s="1" t="str">
        <f>IF(D10&gt;$Q$11,"High","Low")</f>
        <v>Low</v>
      </c>
      <c r="K10" s="1" t="str">
        <f>IF(E10&gt;$Q$12,"High","Low")</f>
        <v>Low</v>
      </c>
      <c r="L10" s="1" t="str">
        <f>IF(F10&gt;$Q$13,"High","Low")</f>
        <v>Low</v>
      </c>
      <c r="M10" s="1" t="str">
        <f>IF(G10&gt;$Q$14,"High","Low")</f>
        <v>High</v>
      </c>
      <c r="P10" s="23" t="s">
        <v>36</v>
      </c>
      <c r="Q10" s="24">
        <f>AVERAGE(C10:C247)</f>
        <v>-1.0432484368345774</v>
      </c>
    </row>
    <row r="11" spans="1:17" x14ac:dyDescent="0.15">
      <c r="A11" s="17">
        <v>42755</v>
      </c>
      <c r="B11" s="5">
        <v>-1.7988846914912537E-3</v>
      </c>
      <c r="C11" s="5">
        <v>-0.68786444564856231</v>
      </c>
      <c r="D11" s="5">
        <v>-1.6048724711756113E-2</v>
      </c>
      <c r="E11" s="5">
        <v>-1.7249417249417309E-2</v>
      </c>
      <c r="F11" s="5">
        <v>-0.26829268292682917</v>
      </c>
      <c r="G11" s="5">
        <v>-6.9577381799054261E-2</v>
      </c>
      <c r="H11" s="1" t="str">
        <f t="shared" ref="H11:H74" si="0">IF(B11&gt;$Q$9,"High","Low")</f>
        <v>Low</v>
      </c>
      <c r="I11" s="1" t="str">
        <f t="shared" ref="I11:I74" si="1">IF(C11&gt;$Q$10,"High","Low")</f>
        <v>High</v>
      </c>
      <c r="J11" s="1" t="str">
        <f t="shared" ref="J11:J74" si="2">IF(D11&gt;$Q$11,"High","Low")</f>
        <v>Low</v>
      </c>
      <c r="K11" s="1" t="str">
        <f t="shared" ref="K11:K74" si="3">IF(E11&gt;$Q$12,"High","Low")</f>
        <v>Low</v>
      </c>
      <c r="L11" s="1" t="str">
        <f t="shared" ref="L11:L74" si="4">IF(F11&gt;$Q$13,"High","Low")</f>
        <v>Low</v>
      </c>
      <c r="M11" s="1" t="str">
        <f t="shared" ref="M11:M74" si="5">IF(G11&gt;$Q$14,"High","Low")</f>
        <v>Low</v>
      </c>
      <c r="P11" s="23" t="s">
        <v>37</v>
      </c>
      <c r="Q11" s="24">
        <f>AVERAGE(D10:D247)</f>
        <v>2.3004337265852591E-3</v>
      </c>
    </row>
    <row r="12" spans="1:17" x14ac:dyDescent="0.15">
      <c r="A12" s="17">
        <v>42762</v>
      </c>
      <c r="B12" s="5">
        <v>-5.4063795278425086E-4</v>
      </c>
      <c r="C12" s="5">
        <v>-9.8072080267676665E-2</v>
      </c>
      <c r="D12" s="5">
        <v>4.9116650308339116E-2</v>
      </c>
      <c r="E12" s="5">
        <v>4.743833017077792E-2</v>
      </c>
      <c r="F12" s="5">
        <v>6.6666666666666652E-2</v>
      </c>
      <c r="G12" s="5">
        <v>-3.2640243025142679E-2</v>
      </c>
      <c r="H12" s="1" t="str">
        <f t="shared" si="0"/>
        <v>Low</v>
      </c>
      <c r="I12" s="1" t="str">
        <f t="shared" si="1"/>
        <v>High</v>
      </c>
      <c r="J12" s="1" t="str">
        <f t="shared" si="2"/>
        <v>High</v>
      </c>
      <c r="K12" s="1" t="str">
        <f t="shared" si="3"/>
        <v>High</v>
      </c>
      <c r="L12" s="1" t="str">
        <f t="shared" si="4"/>
        <v>Low</v>
      </c>
      <c r="M12" s="1" t="str">
        <f t="shared" si="5"/>
        <v>Low</v>
      </c>
      <c r="P12" s="23" t="s">
        <v>38</v>
      </c>
      <c r="Q12" s="24">
        <f>AVERAGE(E10:E247)</f>
        <v>1.365399155227833E-3</v>
      </c>
    </row>
    <row r="13" spans="1:17" x14ac:dyDescent="0.15">
      <c r="A13" s="17">
        <v>42769</v>
      </c>
      <c r="B13" s="5">
        <v>2.2719076812116823E-2</v>
      </c>
      <c r="C13" s="5">
        <v>-0.36992986164245478</v>
      </c>
      <c r="D13" s="5">
        <v>-1.7404735111758329E-2</v>
      </c>
      <c r="E13" s="5">
        <v>-1.26811594202898E-2</v>
      </c>
      <c r="F13" s="5">
        <v>9.375E-2</v>
      </c>
      <c r="G13" s="5">
        <v>0.15472414485550567</v>
      </c>
      <c r="H13" s="1" t="str">
        <f t="shared" si="0"/>
        <v>High</v>
      </c>
      <c r="I13" s="1" t="str">
        <f t="shared" si="1"/>
        <v>High</v>
      </c>
      <c r="J13" s="1" t="str">
        <f t="shared" si="2"/>
        <v>Low</v>
      </c>
      <c r="K13" s="1" t="str">
        <f t="shared" si="3"/>
        <v>Low</v>
      </c>
      <c r="L13" s="1" t="str">
        <f t="shared" si="4"/>
        <v>Low</v>
      </c>
      <c r="M13" s="1" t="str">
        <f t="shared" si="5"/>
        <v>High</v>
      </c>
      <c r="P13" s="23" t="s">
        <v>39</v>
      </c>
      <c r="Q13" s="24">
        <f>AVERAGE(F10:F247)</f>
        <v>0.16595355718680382</v>
      </c>
    </row>
    <row r="14" spans="1:17" x14ac:dyDescent="0.15">
      <c r="A14" s="17">
        <v>42776</v>
      </c>
      <c r="B14" s="5">
        <v>-1.939351198871675E-3</v>
      </c>
      <c r="C14" s="5">
        <v>3.4432231026368552</v>
      </c>
      <c r="D14" s="5">
        <v>-2.8931874014757941E-2</v>
      </c>
      <c r="E14" s="5">
        <v>-3.2110091743119407E-3</v>
      </c>
      <c r="F14" s="5">
        <v>0.25714285714285734</v>
      </c>
      <c r="G14" s="5">
        <v>-4.1196487061209153E-2</v>
      </c>
      <c r="H14" s="1" t="str">
        <f t="shared" si="0"/>
        <v>Low</v>
      </c>
      <c r="I14" s="1" t="str">
        <f t="shared" si="1"/>
        <v>High</v>
      </c>
      <c r="J14" s="1" t="str">
        <f t="shared" si="2"/>
        <v>Low</v>
      </c>
      <c r="K14" s="1" t="str">
        <f t="shared" si="3"/>
        <v>Low</v>
      </c>
      <c r="L14" s="1" t="str">
        <f t="shared" si="4"/>
        <v>High</v>
      </c>
      <c r="M14" s="1" t="str">
        <f t="shared" si="5"/>
        <v>Low</v>
      </c>
      <c r="P14" s="23" t="s">
        <v>40</v>
      </c>
      <c r="Q14" s="24">
        <f>AVERAGE(G10:G247)</f>
        <v>2.4460801591294951E-2</v>
      </c>
    </row>
    <row r="15" spans="1:17" x14ac:dyDescent="0.15">
      <c r="A15" s="17">
        <v>42783</v>
      </c>
      <c r="B15" s="5">
        <v>-1.5721603956898034E-2</v>
      </c>
      <c r="C15" s="5">
        <v>-0.60063991302995512</v>
      </c>
      <c r="D15" s="5">
        <v>-1.5715547662323859E-2</v>
      </c>
      <c r="E15" s="5">
        <v>-2.3469857340082889E-2</v>
      </c>
      <c r="F15" s="5">
        <v>-0.13636363636363646</v>
      </c>
      <c r="G15" s="5">
        <v>0.17402808976503037</v>
      </c>
      <c r="H15" s="1" t="str">
        <f t="shared" si="0"/>
        <v>Low</v>
      </c>
      <c r="I15" s="1" t="str">
        <f t="shared" si="1"/>
        <v>High</v>
      </c>
      <c r="J15" s="1" t="str">
        <f t="shared" si="2"/>
        <v>Low</v>
      </c>
      <c r="K15" s="1" t="str">
        <f t="shared" si="3"/>
        <v>Low</v>
      </c>
      <c r="L15" s="1" t="str">
        <f t="shared" si="4"/>
        <v>Low</v>
      </c>
      <c r="M15" s="1" t="str">
        <f t="shared" si="5"/>
        <v>High</v>
      </c>
    </row>
    <row r="16" spans="1:17" x14ac:dyDescent="0.15">
      <c r="A16" s="17">
        <v>42790</v>
      </c>
      <c r="B16" s="5">
        <v>5.7430007178751463E-3</v>
      </c>
      <c r="C16" s="5">
        <v>0.38620501466037416</v>
      </c>
      <c r="D16" s="5">
        <v>-1.6502130898736422E-2</v>
      </c>
      <c r="E16" s="5">
        <v>-2.3091423185673809E-2</v>
      </c>
      <c r="F16" s="5">
        <v>0.31578947368421062</v>
      </c>
      <c r="G16" s="5">
        <v>0.10639211379737912</v>
      </c>
      <c r="H16" s="1" t="str">
        <f t="shared" si="0"/>
        <v>High</v>
      </c>
      <c r="I16" s="1" t="str">
        <f t="shared" si="1"/>
        <v>High</v>
      </c>
      <c r="J16" s="1" t="str">
        <f t="shared" si="2"/>
        <v>Low</v>
      </c>
      <c r="K16" s="1" t="str">
        <f t="shared" si="3"/>
        <v>Low</v>
      </c>
      <c r="L16" s="1" t="str">
        <f t="shared" si="4"/>
        <v>High</v>
      </c>
      <c r="M16" s="1" t="str">
        <f t="shared" si="5"/>
        <v>High</v>
      </c>
    </row>
    <row r="17" spans="1:13" x14ac:dyDescent="0.15">
      <c r="A17" s="17">
        <v>42797</v>
      </c>
      <c r="B17" s="5">
        <v>-5.8886509635973638E-3</v>
      </c>
      <c r="C17" s="5">
        <v>-1.0899342666922267</v>
      </c>
      <c r="D17" s="5">
        <v>-1.7295004037093609E-2</v>
      </c>
      <c r="E17" s="5">
        <v>-8.2006753497347873E-3</v>
      </c>
      <c r="F17" s="5">
        <v>-0.19999999999999996</v>
      </c>
      <c r="G17" s="5">
        <v>-0.24107527078096325</v>
      </c>
      <c r="H17" s="1" t="str">
        <f t="shared" si="0"/>
        <v>Low</v>
      </c>
      <c r="I17" s="1" t="str">
        <f t="shared" si="1"/>
        <v>Low</v>
      </c>
      <c r="J17" s="1" t="str">
        <f t="shared" si="2"/>
        <v>Low</v>
      </c>
      <c r="K17" s="1" t="str">
        <f t="shared" si="3"/>
        <v>Low</v>
      </c>
      <c r="L17" s="1" t="str">
        <f t="shared" si="4"/>
        <v>Low</v>
      </c>
      <c r="M17" s="1" t="str">
        <f t="shared" si="5"/>
        <v>Low</v>
      </c>
    </row>
    <row r="18" spans="1:13" x14ac:dyDescent="0.15">
      <c r="A18" s="17">
        <v>42804</v>
      </c>
      <c r="B18" s="5">
        <v>-7.9698438341410882E-2</v>
      </c>
      <c r="C18" s="5">
        <v>-6.722512870367483</v>
      </c>
      <c r="D18" s="5">
        <v>-4.0318150217075188E-2</v>
      </c>
      <c r="E18" s="5">
        <v>-5.1556420233462963E-2</v>
      </c>
      <c r="F18" s="5">
        <v>2.4999999999999911E-2</v>
      </c>
      <c r="G18" s="5">
        <v>-6.3629395628308716E-2</v>
      </c>
      <c r="H18" s="1" t="str">
        <f t="shared" si="0"/>
        <v>Low</v>
      </c>
      <c r="I18" s="1" t="str">
        <f t="shared" si="1"/>
        <v>Low</v>
      </c>
      <c r="J18" s="1" t="str">
        <f t="shared" si="2"/>
        <v>Low</v>
      </c>
      <c r="K18" s="1" t="str">
        <f t="shared" si="3"/>
        <v>Low</v>
      </c>
      <c r="L18" s="1" t="str">
        <f t="shared" si="4"/>
        <v>Low</v>
      </c>
      <c r="M18" s="1" t="str">
        <f t="shared" si="5"/>
        <v>Low</v>
      </c>
    </row>
    <row r="19" spans="1:13" x14ac:dyDescent="0.15">
      <c r="A19" s="17">
        <v>42811</v>
      </c>
      <c r="B19" s="5">
        <v>7.8018334308562753E-3</v>
      </c>
      <c r="C19" s="5">
        <v>2.1031949043830567</v>
      </c>
      <c r="D19" s="5">
        <v>3.1915540335163861E-2</v>
      </c>
      <c r="E19" s="5">
        <v>7.128205128205134E-2</v>
      </c>
      <c r="F19" s="5">
        <v>9.7560975609756184E-2</v>
      </c>
      <c r="G19" s="5">
        <v>0.30493137389590363</v>
      </c>
      <c r="H19" s="1" t="str">
        <f t="shared" si="0"/>
        <v>High</v>
      </c>
      <c r="I19" s="1" t="str">
        <f t="shared" si="1"/>
        <v>High</v>
      </c>
      <c r="J19" s="1" t="str">
        <f t="shared" si="2"/>
        <v>High</v>
      </c>
      <c r="K19" s="1" t="str">
        <f t="shared" si="3"/>
        <v>High</v>
      </c>
      <c r="L19" s="1" t="str">
        <f t="shared" si="4"/>
        <v>Low</v>
      </c>
      <c r="M19" s="1" t="str">
        <f t="shared" si="5"/>
        <v>High</v>
      </c>
    </row>
    <row r="20" spans="1:13" x14ac:dyDescent="0.15">
      <c r="A20" s="17">
        <v>42818</v>
      </c>
      <c r="B20" s="5">
        <v>-1.3547513063673411E-2</v>
      </c>
      <c r="C20" s="5">
        <v>-0.12589177536922458</v>
      </c>
      <c r="D20" s="5">
        <v>1.3795067158903773E-3</v>
      </c>
      <c r="E20" s="5">
        <v>2.872187649592961E-3</v>
      </c>
      <c r="F20" s="5">
        <v>0.24444444444444446</v>
      </c>
      <c r="G20" s="5">
        <v>-9.9694088146233595E-2</v>
      </c>
      <c r="H20" s="1" t="str">
        <f t="shared" si="0"/>
        <v>Low</v>
      </c>
      <c r="I20" s="1" t="str">
        <f t="shared" si="1"/>
        <v>High</v>
      </c>
      <c r="J20" s="1" t="str">
        <f t="shared" si="2"/>
        <v>Low</v>
      </c>
      <c r="K20" s="1" t="str">
        <f t="shared" si="3"/>
        <v>High</v>
      </c>
      <c r="L20" s="1" t="str">
        <f t="shared" si="4"/>
        <v>High</v>
      </c>
      <c r="M20" s="1" t="str">
        <f t="shared" si="5"/>
        <v>Low</v>
      </c>
    </row>
    <row r="21" spans="1:13" x14ac:dyDescent="0.15">
      <c r="A21" s="17">
        <v>42825</v>
      </c>
      <c r="B21" s="5">
        <v>3.472630959387879E-2</v>
      </c>
      <c r="C21" s="5">
        <v>-0.35429898238375612</v>
      </c>
      <c r="D21" s="5">
        <v>-2.1507326806453619E-2</v>
      </c>
      <c r="E21" s="5">
        <v>-1.3365155131264794E-2</v>
      </c>
      <c r="F21" s="5">
        <v>-3.5714285714285587E-2</v>
      </c>
      <c r="G21" s="5">
        <v>4.9202239693840744E-2</v>
      </c>
      <c r="H21" s="1" t="str">
        <f t="shared" si="0"/>
        <v>High</v>
      </c>
      <c r="I21" s="1" t="str">
        <f t="shared" si="1"/>
        <v>High</v>
      </c>
      <c r="J21" s="1" t="str">
        <f t="shared" si="2"/>
        <v>Low</v>
      </c>
      <c r="K21" s="1" t="str">
        <f t="shared" si="3"/>
        <v>Low</v>
      </c>
      <c r="L21" s="1" t="str">
        <f t="shared" si="4"/>
        <v>Low</v>
      </c>
      <c r="M21" s="1" t="str">
        <f t="shared" si="5"/>
        <v>High</v>
      </c>
    </row>
    <row r="22" spans="1:13" x14ac:dyDescent="0.15">
      <c r="A22" s="17">
        <v>42832</v>
      </c>
      <c r="B22" s="5">
        <v>4.778156996587013E-2</v>
      </c>
      <c r="C22" s="5">
        <v>1.5921569000292934</v>
      </c>
      <c r="D22" s="5">
        <v>1.2189989478430752E-2</v>
      </c>
      <c r="E22" s="5">
        <v>-3.3865505563619447E-3</v>
      </c>
      <c r="F22" s="5">
        <v>-0.21111111111111125</v>
      </c>
      <c r="G22" s="5">
        <v>-5.7338704383473105E-2</v>
      </c>
      <c r="H22" s="1" t="str">
        <f t="shared" si="0"/>
        <v>High</v>
      </c>
      <c r="I22" s="1" t="str">
        <f t="shared" si="1"/>
        <v>High</v>
      </c>
      <c r="J22" s="1" t="str">
        <f t="shared" si="2"/>
        <v>High</v>
      </c>
      <c r="K22" s="1" t="str">
        <f t="shared" si="3"/>
        <v>Low</v>
      </c>
      <c r="L22" s="1" t="str">
        <f t="shared" si="4"/>
        <v>Low</v>
      </c>
      <c r="M22" s="1" t="str">
        <f t="shared" si="5"/>
        <v>Low</v>
      </c>
    </row>
    <row r="23" spans="1:13" x14ac:dyDescent="0.15">
      <c r="A23" s="17">
        <v>42846</v>
      </c>
      <c r="B23" s="5">
        <v>-6.4521926671459395E-2</v>
      </c>
      <c r="C23" s="5">
        <v>0</v>
      </c>
      <c r="D23" s="5">
        <v>0</v>
      </c>
      <c r="E23" s="5">
        <v>3.9880358923232162E-3</v>
      </c>
      <c r="F23" s="5">
        <v>-0.20833333333333337</v>
      </c>
      <c r="G23" s="5">
        <v>-0.22401247205316632</v>
      </c>
      <c r="H23" s="1" t="str">
        <f t="shared" si="0"/>
        <v>Low</v>
      </c>
      <c r="I23" s="1" t="str">
        <f t="shared" si="1"/>
        <v>High</v>
      </c>
      <c r="J23" s="1" t="str">
        <f t="shared" si="2"/>
        <v>Low</v>
      </c>
      <c r="K23" s="1" t="str">
        <f t="shared" si="3"/>
        <v>High</v>
      </c>
      <c r="L23" s="1" t="str">
        <f t="shared" si="4"/>
        <v>Low</v>
      </c>
      <c r="M23" s="1" t="str">
        <f t="shared" si="5"/>
        <v>Low</v>
      </c>
    </row>
    <row r="24" spans="1:13" x14ac:dyDescent="0.15">
      <c r="A24" s="17">
        <v>42853</v>
      </c>
      <c r="B24" s="5">
        <v>-6.5321805955811385E-3</v>
      </c>
      <c r="C24" s="5">
        <v>-1.0932580690224021</v>
      </c>
      <c r="D24" s="5">
        <v>3.7018182566127766E-2</v>
      </c>
      <c r="E24" s="5">
        <v>3.6742800397219444E-2</v>
      </c>
      <c r="F24" s="5">
        <v>-0.13157894736842102</v>
      </c>
      <c r="G24" s="5">
        <v>7.6149285977955339E-2</v>
      </c>
      <c r="H24" s="1" t="str">
        <f t="shared" si="0"/>
        <v>Low</v>
      </c>
      <c r="I24" s="1" t="str">
        <f t="shared" si="1"/>
        <v>Low</v>
      </c>
      <c r="J24" s="1" t="str">
        <f t="shared" si="2"/>
        <v>High</v>
      </c>
      <c r="K24" s="1" t="str">
        <f t="shared" si="3"/>
        <v>High</v>
      </c>
      <c r="L24" s="1" t="str">
        <f t="shared" si="4"/>
        <v>Low</v>
      </c>
      <c r="M24" s="1" t="str">
        <f t="shared" si="5"/>
        <v>High</v>
      </c>
    </row>
    <row r="25" spans="1:13" x14ac:dyDescent="0.15">
      <c r="A25" s="17">
        <v>42860</v>
      </c>
      <c r="B25" s="5">
        <v>-4.3318507058596079E-2</v>
      </c>
      <c r="C25" s="5">
        <v>-10.369685348733091</v>
      </c>
      <c r="D25" s="5">
        <v>-7.0907567275413363E-3</v>
      </c>
      <c r="E25" s="5">
        <v>-2.6819923371647403E-2</v>
      </c>
      <c r="F25" s="5">
        <v>-0.12121212121212122</v>
      </c>
      <c r="G25" s="5">
        <v>-0.23985292129727365</v>
      </c>
      <c r="H25" s="1" t="str">
        <f t="shared" si="0"/>
        <v>Low</v>
      </c>
      <c r="I25" s="1" t="str">
        <f t="shared" si="1"/>
        <v>Low</v>
      </c>
      <c r="J25" s="1" t="str">
        <f t="shared" si="2"/>
        <v>Low</v>
      </c>
      <c r="K25" s="1" t="str">
        <f t="shared" si="3"/>
        <v>Low</v>
      </c>
      <c r="L25" s="1" t="str">
        <f t="shared" si="4"/>
        <v>Low</v>
      </c>
      <c r="M25" s="1" t="str">
        <f t="shared" si="5"/>
        <v>Low</v>
      </c>
    </row>
    <row r="26" spans="1:13" x14ac:dyDescent="0.15">
      <c r="A26" s="17">
        <v>42867</v>
      </c>
      <c r="B26" s="5">
        <v>2.9108550636749442E-2</v>
      </c>
      <c r="C26" s="5">
        <v>4.6809473381177025E-2</v>
      </c>
      <c r="D26" s="5">
        <v>-3.9102881028361125E-3</v>
      </c>
      <c r="E26" s="5">
        <v>6.8897637795275468E-3</v>
      </c>
      <c r="F26" s="5">
        <v>-6.8965517241379226E-2</v>
      </c>
      <c r="G26" s="5">
        <v>0.27851441062209092</v>
      </c>
      <c r="H26" s="1" t="str">
        <f t="shared" si="0"/>
        <v>High</v>
      </c>
      <c r="I26" s="1" t="str">
        <f t="shared" si="1"/>
        <v>High</v>
      </c>
      <c r="J26" s="1" t="str">
        <f t="shared" si="2"/>
        <v>Low</v>
      </c>
      <c r="K26" s="1" t="str">
        <f t="shared" si="3"/>
        <v>High</v>
      </c>
      <c r="L26" s="1" t="str">
        <f t="shared" si="4"/>
        <v>Low</v>
      </c>
      <c r="M26" s="1" t="str">
        <f t="shared" si="5"/>
        <v>High</v>
      </c>
    </row>
    <row r="27" spans="1:13" x14ac:dyDescent="0.15">
      <c r="A27" s="17">
        <v>42874</v>
      </c>
      <c r="B27" s="5">
        <v>5.6766843449224114E-2</v>
      </c>
      <c r="C27" s="5">
        <v>-0.22275859056284986</v>
      </c>
      <c r="D27" s="5">
        <v>-1.6133722387670524E-2</v>
      </c>
      <c r="E27" s="5">
        <v>-9.7751710654936375E-3</v>
      </c>
      <c r="F27" s="5">
        <v>0.11111111111111094</v>
      </c>
      <c r="G27" s="5">
        <v>9.3209512366019931E-2</v>
      </c>
      <c r="H27" s="1" t="str">
        <f t="shared" si="0"/>
        <v>High</v>
      </c>
      <c r="I27" s="1" t="str">
        <f t="shared" si="1"/>
        <v>High</v>
      </c>
      <c r="J27" s="1" t="str">
        <f t="shared" si="2"/>
        <v>Low</v>
      </c>
      <c r="K27" s="1" t="str">
        <f t="shared" si="3"/>
        <v>Low</v>
      </c>
      <c r="L27" s="1" t="str">
        <f t="shared" si="4"/>
        <v>Low</v>
      </c>
      <c r="M27" s="1" t="str">
        <f t="shared" si="5"/>
        <v>High</v>
      </c>
    </row>
    <row r="28" spans="1:13" x14ac:dyDescent="0.15">
      <c r="A28" s="17">
        <v>42881</v>
      </c>
      <c r="B28" s="5">
        <v>-2.9182156133829018E-2</v>
      </c>
      <c r="C28" s="5">
        <v>0.38153581855787699</v>
      </c>
      <c r="D28" s="5">
        <v>-1.4344679983693487E-2</v>
      </c>
      <c r="E28" s="5">
        <v>2.4679170779859927E-3</v>
      </c>
      <c r="F28" s="5">
        <v>-9.9999999999999978E-2</v>
      </c>
      <c r="G28" s="5">
        <v>-0.13874585480202728</v>
      </c>
      <c r="H28" s="1" t="str">
        <f t="shared" si="0"/>
        <v>Low</v>
      </c>
      <c r="I28" s="1" t="str">
        <f t="shared" si="1"/>
        <v>High</v>
      </c>
      <c r="J28" s="1" t="str">
        <f t="shared" si="2"/>
        <v>Low</v>
      </c>
      <c r="K28" s="1" t="str">
        <f t="shared" si="3"/>
        <v>High</v>
      </c>
      <c r="L28" s="1" t="str">
        <f t="shared" si="4"/>
        <v>Low</v>
      </c>
      <c r="M28" s="1" t="str">
        <f t="shared" si="5"/>
        <v>Low</v>
      </c>
    </row>
    <row r="29" spans="1:13" x14ac:dyDescent="0.15">
      <c r="A29" s="17">
        <v>42888</v>
      </c>
      <c r="B29" s="5">
        <v>-4.3653072946582272E-2</v>
      </c>
      <c r="C29" s="5">
        <v>0.14277347799905526</v>
      </c>
      <c r="D29" s="5">
        <v>-2.7080263668088467E-2</v>
      </c>
      <c r="E29" s="5">
        <v>-3.0526834071885611E-2</v>
      </c>
      <c r="F29" s="5">
        <v>0</v>
      </c>
      <c r="G29" s="5">
        <v>-0.24798440302572866</v>
      </c>
      <c r="H29" s="1" t="str">
        <f t="shared" si="0"/>
        <v>Low</v>
      </c>
      <c r="I29" s="1" t="str">
        <f t="shared" si="1"/>
        <v>High</v>
      </c>
      <c r="J29" s="1" t="str">
        <f t="shared" si="2"/>
        <v>Low</v>
      </c>
      <c r="K29" s="1" t="str">
        <f t="shared" si="3"/>
        <v>Low</v>
      </c>
      <c r="L29" s="1" t="str">
        <f t="shared" si="4"/>
        <v>Low</v>
      </c>
      <c r="M29" s="1" t="str">
        <f t="shared" si="5"/>
        <v>Low</v>
      </c>
    </row>
    <row r="30" spans="1:13" x14ac:dyDescent="0.15">
      <c r="A30" s="17">
        <v>42895</v>
      </c>
      <c r="B30" s="5">
        <v>-3.3033033033033177E-2</v>
      </c>
      <c r="C30" s="5">
        <v>0.11936458897896296</v>
      </c>
      <c r="D30" s="5">
        <v>7.8113791069522875E-4</v>
      </c>
      <c r="E30" s="5">
        <v>-1.523616048755716E-2</v>
      </c>
      <c r="F30" s="5">
        <v>-3.703703703703709E-2</v>
      </c>
      <c r="G30" s="5">
        <v>5.7908757271350586E-2</v>
      </c>
      <c r="H30" s="1" t="str">
        <f t="shared" si="0"/>
        <v>Low</v>
      </c>
      <c r="I30" s="1" t="str">
        <f t="shared" si="1"/>
        <v>High</v>
      </c>
      <c r="J30" s="1" t="str">
        <f t="shared" si="2"/>
        <v>Low</v>
      </c>
      <c r="K30" s="1" t="str">
        <f t="shared" si="3"/>
        <v>Low</v>
      </c>
      <c r="L30" s="1" t="str">
        <f t="shared" si="4"/>
        <v>Low</v>
      </c>
      <c r="M30" s="1" t="str">
        <f t="shared" si="5"/>
        <v>High</v>
      </c>
    </row>
    <row r="31" spans="1:13" x14ac:dyDescent="0.15">
      <c r="A31" s="17">
        <v>42902</v>
      </c>
      <c r="B31" s="5">
        <v>-2.0910973084886098E-2</v>
      </c>
      <c r="C31" s="5">
        <v>4.5063391457363933E-2</v>
      </c>
      <c r="D31" s="5">
        <v>-3.2086612082788957E-2</v>
      </c>
      <c r="E31" s="5">
        <v>-3.3006704486848948E-2</v>
      </c>
      <c r="F31" s="5">
        <v>-0.11538461538461553</v>
      </c>
      <c r="G31" s="5">
        <v>0.45176735480827146</v>
      </c>
      <c r="H31" s="1" t="str">
        <f t="shared" si="0"/>
        <v>Low</v>
      </c>
      <c r="I31" s="1" t="str">
        <f t="shared" si="1"/>
        <v>High</v>
      </c>
      <c r="J31" s="1" t="str">
        <f t="shared" si="2"/>
        <v>Low</v>
      </c>
      <c r="K31" s="1" t="str">
        <f t="shared" si="3"/>
        <v>Low</v>
      </c>
      <c r="L31" s="1" t="str">
        <f t="shared" si="4"/>
        <v>Low</v>
      </c>
      <c r="M31" s="1" t="str">
        <f t="shared" si="5"/>
        <v>High</v>
      </c>
    </row>
    <row r="32" spans="1:13" x14ac:dyDescent="0.15">
      <c r="A32" s="17">
        <v>42909</v>
      </c>
      <c r="B32" s="5">
        <v>-3.552548107422282E-2</v>
      </c>
      <c r="C32" s="5">
        <v>0.28650388445343555</v>
      </c>
      <c r="D32" s="5">
        <v>2.4438946519575788E-2</v>
      </c>
      <c r="E32" s="5">
        <v>5.3333333333334121E-3</v>
      </c>
      <c r="F32" s="5">
        <v>-0.21739130434782605</v>
      </c>
      <c r="G32" s="5">
        <v>-0.22900369271421805</v>
      </c>
      <c r="H32" s="1" t="str">
        <f t="shared" si="0"/>
        <v>Low</v>
      </c>
      <c r="I32" s="1" t="str">
        <f t="shared" si="1"/>
        <v>High</v>
      </c>
      <c r="J32" s="1" t="str">
        <f t="shared" si="2"/>
        <v>High</v>
      </c>
      <c r="K32" s="1" t="str">
        <f t="shared" si="3"/>
        <v>High</v>
      </c>
      <c r="L32" s="1" t="str">
        <f t="shared" si="4"/>
        <v>Low</v>
      </c>
      <c r="M32" s="1" t="str">
        <f t="shared" si="5"/>
        <v>Low</v>
      </c>
    </row>
    <row r="33" spans="1:13" x14ac:dyDescent="0.15">
      <c r="A33" s="17">
        <v>42916</v>
      </c>
      <c r="B33" s="5">
        <v>5.0208287656215767E-2</v>
      </c>
      <c r="C33" s="5">
        <v>-0.14004266824710887</v>
      </c>
      <c r="D33" s="5">
        <v>6.4472599145362075E-3</v>
      </c>
      <c r="E33" s="5">
        <v>1.6976127320954992E-2</v>
      </c>
      <c r="F33" s="5">
        <v>5.555555555555558E-2</v>
      </c>
      <c r="G33" s="5">
        <v>-9.7515808844483409E-2</v>
      </c>
      <c r="H33" s="1" t="str">
        <f t="shared" si="0"/>
        <v>High</v>
      </c>
      <c r="I33" s="1" t="str">
        <f t="shared" si="1"/>
        <v>High</v>
      </c>
      <c r="J33" s="1" t="str">
        <f t="shared" si="2"/>
        <v>High</v>
      </c>
      <c r="K33" s="1" t="str">
        <f t="shared" si="3"/>
        <v>High</v>
      </c>
      <c r="L33" s="1" t="str">
        <f t="shared" si="4"/>
        <v>Low</v>
      </c>
      <c r="M33" s="1" t="str">
        <f t="shared" si="5"/>
        <v>Low</v>
      </c>
    </row>
    <row r="34" spans="1:13" x14ac:dyDescent="0.15">
      <c r="A34" s="17">
        <v>42923</v>
      </c>
      <c r="B34" s="5">
        <v>-2.1294363256784909E-2</v>
      </c>
      <c r="C34" s="5">
        <v>-6.0223117161325557E-2</v>
      </c>
      <c r="D34" s="5">
        <v>1.7547220005320607E-2</v>
      </c>
      <c r="E34" s="5">
        <v>-4.6948356807513525E-3</v>
      </c>
      <c r="F34" s="5">
        <v>-0.26315789473684215</v>
      </c>
      <c r="G34" s="5">
        <v>-6.3114629752217377E-2</v>
      </c>
      <c r="H34" s="1" t="str">
        <f t="shared" si="0"/>
        <v>Low</v>
      </c>
      <c r="I34" s="1" t="str">
        <f t="shared" si="1"/>
        <v>High</v>
      </c>
      <c r="J34" s="1" t="str">
        <f t="shared" si="2"/>
        <v>High</v>
      </c>
      <c r="K34" s="1" t="str">
        <f t="shared" si="3"/>
        <v>Low</v>
      </c>
      <c r="L34" s="1" t="str">
        <f t="shared" si="4"/>
        <v>Low</v>
      </c>
      <c r="M34" s="1" t="str">
        <f t="shared" si="5"/>
        <v>Low</v>
      </c>
    </row>
    <row r="35" spans="1:13" x14ac:dyDescent="0.15">
      <c r="A35" s="17">
        <v>42930</v>
      </c>
      <c r="B35" s="5">
        <v>4.7141638225256077E-2</v>
      </c>
      <c r="C35" s="5">
        <v>0.27113554584821808</v>
      </c>
      <c r="D35" s="5">
        <v>2.5208106751443138E-2</v>
      </c>
      <c r="E35" s="5">
        <v>5.9224318658281039E-2</v>
      </c>
      <c r="F35" s="5">
        <v>0.21428571428571441</v>
      </c>
      <c r="G35" s="5">
        <v>0.14647427994777207</v>
      </c>
      <c r="H35" s="1" t="str">
        <f t="shared" si="0"/>
        <v>High</v>
      </c>
      <c r="I35" s="1" t="str">
        <f t="shared" si="1"/>
        <v>High</v>
      </c>
      <c r="J35" s="1" t="str">
        <f t="shared" si="2"/>
        <v>High</v>
      </c>
      <c r="K35" s="1" t="str">
        <f t="shared" si="3"/>
        <v>High</v>
      </c>
      <c r="L35" s="1" t="str">
        <f t="shared" si="4"/>
        <v>High</v>
      </c>
      <c r="M35" s="1" t="str">
        <f t="shared" si="5"/>
        <v>High</v>
      </c>
    </row>
    <row r="36" spans="1:13" x14ac:dyDescent="0.15">
      <c r="A36" s="17">
        <v>42937</v>
      </c>
      <c r="B36" s="5">
        <v>-2.3630067223467166E-2</v>
      </c>
      <c r="C36" s="5">
        <v>0.11372478579023748</v>
      </c>
      <c r="D36" s="5">
        <v>-1.8136472364320699E-2</v>
      </c>
      <c r="E36" s="5">
        <v>-1.0390895596239513E-2</v>
      </c>
      <c r="F36" s="5">
        <v>-0.23529411764705876</v>
      </c>
      <c r="G36" s="5">
        <v>0.3100288529003139</v>
      </c>
      <c r="H36" s="1" t="str">
        <f t="shared" si="0"/>
        <v>Low</v>
      </c>
      <c r="I36" s="1" t="str">
        <f t="shared" si="1"/>
        <v>High</v>
      </c>
      <c r="J36" s="1" t="str">
        <f t="shared" si="2"/>
        <v>Low</v>
      </c>
      <c r="K36" s="1" t="str">
        <f t="shared" si="3"/>
        <v>Low</v>
      </c>
      <c r="L36" s="1" t="str">
        <f t="shared" si="4"/>
        <v>Low</v>
      </c>
      <c r="M36" s="1" t="str">
        <f t="shared" si="5"/>
        <v>High</v>
      </c>
    </row>
    <row r="37" spans="1:13" x14ac:dyDescent="0.15">
      <c r="A37" s="17">
        <v>42944</v>
      </c>
      <c r="B37" s="5">
        <v>9.805967035259755E-2</v>
      </c>
      <c r="C37" s="5">
        <v>-0.39989754919087228</v>
      </c>
      <c r="D37" s="5">
        <v>-4.3529527876040586E-3</v>
      </c>
      <c r="E37" s="5">
        <v>-1.0000000000000009E-3</v>
      </c>
      <c r="F37" s="5">
        <v>-0.15384615384615385</v>
      </c>
      <c r="G37" s="5">
        <v>-0.20024269284474439</v>
      </c>
      <c r="H37" s="1" t="str">
        <f t="shared" si="0"/>
        <v>High</v>
      </c>
      <c r="I37" s="1" t="str">
        <f t="shared" si="1"/>
        <v>High</v>
      </c>
      <c r="J37" s="1" t="str">
        <f t="shared" si="2"/>
        <v>Low</v>
      </c>
      <c r="K37" s="1" t="str">
        <f t="shared" si="3"/>
        <v>Low</v>
      </c>
      <c r="L37" s="1" t="str">
        <f t="shared" si="4"/>
        <v>Low</v>
      </c>
      <c r="M37" s="1" t="str">
        <f t="shared" si="5"/>
        <v>Low</v>
      </c>
    </row>
    <row r="38" spans="1:13" x14ac:dyDescent="0.15">
      <c r="A38" s="17">
        <v>42951</v>
      </c>
      <c r="B38" s="5">
        <v>-3.2300969029070981E-3</v>
      </c>
      <c r="C38" s="5">
        <v>-0.16464420529527912</v>
      </c>
      <c r="D38" s="5">
        <v>1.9167862266858071E-2</v>
      </c>
      <c r="E38" s="5">
        <v>7.0070070070069601E-3</v>
      </c>
      <c r="F38" s="5">
        <v>-0.45454545454545459</v>
      </c>
      <c r="G38" s="5">
        <v>-0.24233667381361212</v>
      </c>
      <c r="H38" s="1" t="str">
        <f t="shared" si="0"/>
        <v>Low</v>
      </c>
      <c r="I38" s="1" t="str">
        <f t="shared" si="1"/>
        <v>High</v>
      </c>
      <c r="J38" s="1" t="str">
        <f t="shared" si="2"/>
        <v>High</v>
      </c>
      <c r="K38" s="1" t="str">
        <f t="shared" si="3"/>
        <v>High</v>
      </c>
      <c r="L38" s="1" t="str">
        <f t="shared" si="4"/>
        <v>Low</v>
      </c>
      <c r="M38" s="1" t="str">
        <f t="shared" si="5"/>
        <v>Low</v>
      </c>
    </row>
    <row r="39" spans="1:13" x14ac:dyDescent="0.15">
      <c r="A39" s="17">
        <v>42958</v>
      </c>
      <c r="B39" s="5">
        <v>-7.815478459778924E-3</v>
      </c>
      <c r="C39" s="5">
        <v>0.71678930987418732</v>
      </c>
      <c r="D39" s="5">
        <v>-4.4330915438522966E-3</v>
      </c>
      <c r="E39" s="5">
        <v>-7.9522862823061535E-3</v>
      </c>
      <c r="F39" s="5">
        <v>0</v>
      </c>
      <c r="G39" s="5">
        <v>0.50448198944331679</v>
      </c>
      <c r="H39" s="1" t="str">
        <f t="shared" si="0"/>
        <v>Low</v>
      </c>
      <c r="I39" s="1" t="str">
        <f t="shared" si="1"/>
        <v>High</v>
      </c>
      <c r="J39" s="1" t="str">
        <f t="shared" si="2"/>
        <v>Low</v>
      </c>
      <c r="K39" s="1" t="str">
        <f t="shared" si="3"/>
        <v>Low</v>
      </c>
      <c r="L39" s="1" t="str">
        <f t="shared" si="4"/>
        <v>Low</v>
      </c>
      <c r="M39" s="1" t="str">
        <f t="shared" si="5"/>
        <v>High</v>
      </c>
    </row>
    <row r="40" spans="1:13" x14ac:dyDescent="0.15">
      <c r="A40" s="17">
        <v>42965</v>
      </c>
      <c r="B40" s="5">
        <v>1.5561959654178725E-2</v>
      </c>
      <c r="C40" s="5">
        <v>7.5801132861384124E-2</v>
      </c>
      <c r="D40" s="5">
        <v>-7.2602746769639959E-3</v>
      </c>
      <c r="E40" s="5">
        <v>1.503006012024044E-2</v>
      </c>
      <c r="F40" s="5">
        <v>1</v>
      </c>
      <c r="G40" s="5">
        <v>3.8922328603336886E-3</v>
      </c>
      <c r="H40" s="1" t="str">
        <f t="shared" si="0"/>
        <v>High</v>
      </c>
      <c r="I40" s="1" t="str">
        <f t="shared" si="1"/>
        <v>High</v>
      </c>
      <c r="J40" s="1" t="str">
        <f t="shared" si="2"/>
        <v>Low</v>
      </c>
      <c r="K40" s="1" t="str">
        <f t="shared" si="3"/>
        <v>High</v>
      </c>
      <c r="L40" s="1" t="str">
        <f t="shared" si="4"/>
        <v>High</v>
      </c>
      <c r="M40" s="1" t="str">
        <f t="shared" si="5"/>
        <v>Low</v>
      </c>
    </row>
    <row r="41" spans="1:13" x14ac:dyDescent="0.15">
      <c r="A41" s="17">
        <v>42972</v>
      </c>
      <c r="B41" s="5">
        <v>-9.6481271282633507E-3</v>
      </c>
      <c r="C41" s="5">
        <v>-0.27339847098185954</v>
      </c>
      <c r="D41" s="5">
        <v>2.5084036442552193E-2</v>
      </c>
      <c r="E41" s="5">
        <v>2.3692003948667217E-2</v>
      </c>
      <c r="F41" s="5">
        <v>1.0833333333333335</v>
      </c>
      <c r="G41" s="5">
        <v>-0.14904448957568295</v>
      </c>
      <c r="H41" s="1" t="str">
        <f t="shared" si="0"/>
        <v>Low</v>
      </c>
      <c r="I41" s="1" t="str">
        <f t="shared" si="1"/>
        <v>High</v>
      </c>
      <c r="J41" s="1" t="str">
        <f t="shared" si="2"/>
        <v>High</v>
      </c>
      <c r="K41" s="1" t="str">
        <f t="shared" si="3"/>
        <v>High</v>
      </c>
      <c r="L41" s="1" t="str">
        <f t="shared" si="4"/>
        <v>High</v>
      </c>
      <c r="M41" s="1" t="str">
        <f t="shared" si="5"/>
        <v>Low</v>
      </c>
    </row>
    <row r="42" spans="1:13" x14ac:dyDescent="0.15">
      <c r="A42" s="17">
        <v>42979</v>
      </c>
      <c r="B42" s="5">
        <v>6.4947468958929111E-3</v>
      </c>
      <c r="C42" s="5">
        <v>0.29011583460759005</v>
      </c>
      <c r="D42" s="5">
        <v>1.6087795709247343E-2</v>
      </c>
      <c r="E42" s="5">
        <v>4.0983606557377206E-2</v>
      </c>
      <c r="F42" s="5">
        <v>4.0000000000000036E-2</v>
      </c>
      <c r="G42" s="5">
        <v>0.26265966133675001</v>
      </c>
      <c r="H42" s="1" t="str">
        <f t="shared" si="0"/>
        <v>High</v>
      </c>
      <c r="I42" s="1" t="str">
        <f t="shared" si="1"/>
        <v>High</v>
      </c>
      <c r="J42" s="1" t="str">
        <f t="shared" si="2"/>
        <v>High</v>
      </c>
      <c r="K42" s="1" t="str">
        <f t="shared" si="3"/>
        <v>High</v>
      </c>
      <c r="L42" s="1" t="str">
        <f t="shared" si="4"/>
        <v>Low</v>
      </c>
      <c r="M42" s="1" t="str">
        <f t="shared" si="5"/>
        <v>High</v>
      </c>
    </row>
    <row r="43" spans="1:13" x14ac:dyDescent="0.15">
      <c r="A43" s="17">
        <v>42986</v>
      </c>
      <c r="B43" s="5">
        <v>2.0117669386980452E-2</v>
      </c>
      <c r="C43" s="5">
        <v>-0.33018320890125297</v>
      </c>
      <c r="D43" s="5">
        <v>1.0825567633691024E-2</v>
      </c>
      <c r="E43" s="5">
        <v>1.8527095877720612E-3</v>
      </c>
      <c r="F43" s="5">
        <v>0.11538461538461542</v>
      </c>
      <c r="G43" s="5">
        <v>-0.14457564942087564</v>
      </c>
      <c r="H43" s="1" t="str">
        <f t="shared" si="0"/>
        <v>High</v>
      </c>
      <c r="I43" s="1" t="str">
        <f t="shared" si="1"/>
        <v>High</v>
      </c>
      <c r="J43" s="1" t="str">
        <f t="shared" si="2"/>
        <v>High</v>
      </c>
      <c r="K43" s="1" t="str">
        <f t="shared" si="3"/>
        <v>High</v>
      </c>
      <c r="L43" s="1" t="str">
        <f t="shared" si="4"/>
        <v>Low</v>
      </c>
      <c r="M43" s="1" t="str">
        <f t="shared" si="5"/>
        <v>Low</v>
      </c>
    </row>
    <row r="44" spans="1:13" x14ac:dyDescent="0.15">
      <c r="A44" s="17">
        <v>42993</v>
      </c>
      <c r="B44" s="5">
        <v>3.218604651162793E-2</v>
      </c>
      <c r="C44" s="5">
        <v>-0.59973990590069215</v>
      </c>
      <c r="D44" s="5">
        <v>1.0360349280531311E-2</v>
      </c>
      <c r="E44" s="5">
        <v>1.4794267221451607E-2</v>
      </c>
      <c r="F44" s="5">
        <v>0.48275862068965525</v>
      </c>
      <c r="G44" s="5">
        <v>-6.7014366600345099E-2</v>
      </c>
      <c r="H44" s="1" t="str">
        <f t="shared" si="0"/>
        <v>High</v>
      </c>
      <c r="I44" s="1" t="str">
        <f t="shared" si="1"/>
        <v>High</v>
      </c>
      <c r="J44" s="1" t="str">
        <f t="shared" si="2"/>
        <v>High</v>
      </c>
      <c r="K44" s="1" t="str">
        <f t="shared" si="3"/>
        <v>High</v>
      </c>
      <c r="L44" s="1" t="str">
        <f t="shared" si="4"/>
        <v>High</v>
      </c>
      <c r="M44" s="1" t="str">
        <f t="shared" si="5"/>
        <v>Low</v>
      </c>
    </row>
    <row r="45" spans="1:13" x14ac:dyDescent="0.15">
      <c r="A45" s="17">
        <v>43000</v>
      </c>
      <c r="B45" s="5">
        <v>2.5594808940158753E-2</v>
      </c>
      <c r="C45" s="5">
        <v>-1.4392502949015371</v>
      </c>
      <c r="D45" s="5">
        <v>-1.0614419055315905E-3</v>
      </c>
      <c r="E45" s="5">
        <v>-5.4669703872437525E-3</v>
      </c>
      <c r="F45" s="5">
        <v>-4.6511627906976827E-2</v>
      </c>
      <c r="G45" s="5">
        <v>0.17082776682243761</v>
      </c>
      <c r="H45" s="1" t="str">
        <f t="shared" si="0"/>
        <v>High</v>
      </c>
      <c r="I45" s="1" t="str">
        <f t="shared" si="1"/>
        <v>Low</v>
      </c>
      <c r="J45" s="1" t="str">
        <f t="shared" si="2"/>
        <v>Low</v>
      </c>
      <c r="K45" s="1" t="str">
        <f t="shared" si="3"/>
        <v>Low</v>
      </c>
      <c r="L45" s="1" t="str">
        <f t="shared" si="4"/>
        <v>Low</v>
      </c>
      <c r="M45" s="1" t="str">
        <f t="shared" si="5"/>
        <v>High</v>
      </c>
    </row>
    <row r="46" spans="1:13" x14ac:dyDescent="0.15">
      <c r="A46" s="17">
        <v>43007</v>
      </c>
      <c r="B46" s="5">
        <v>1.0720562390158062E-2</v>
      </c>
      <c r="C46" s="5">
        <v>-4.0587784621028238</v>
      </c>
      <c r="D46" s="5">
        <v>1.2458386746148076E-2</v>
      </c>
      <c r="E46" s="5">
        <v>2.1071919377004145E-2</v>
      </c>
      <c r="F46" s="5">
        <v>0</v>
      </c>
      <c r="G46" s="5">
        <v>-2.7218942531175738E-2</v>
      </c>
      <c r="H46" s="1" t="str">
        <f t="shared" si="0"/>
        <v>High</v>
      </c>
      <c r="I46" s="1" t="str">
        <f t="shared" si="1"/>
        <v>Low</v>
      </c>
      <c r="J46" s="1" t="str">
        <f t="shared" si="2"/>
        <v>High</v>
      </c>
      <c r="K46" s="1" t="str">
        <f t="shared" si="3"/>
        <v>High</v>
      </c>
      <c r="L46" s="1" t="str">
        <f t="shared" si="4"/>
        <v>Low</v>
      </c>
      <c r="M46" s="1" t="str">
        <f t="shared" si="5"/>
        <v>Low</v>
      </c>
    </row>
    <row r="47" spans="1:13" x14ac:dyDescent="0.15">
      <c r="A47" s="17">
        <v>43014</v>
      </c>
      <c r="B47" s="5">
        <v>-3.1820552947313452E-2</v>
      </c>
      <c r="C47" s="5">
        <v>2.1009285619899583</v>
      </c>
      <c r="D47" s="5">
        <v>8.0252649011405275E-3</v>
      </c>
      <c r="E47" s="5">
        <v>-7.1781067743382776E-3</v>
      </c>
      <c r="F47" s="5">
        <v>-0.51219512195121952</v>
      </c>
      <c r="G47" s="5">
        <v>0.13198899319506019</v>
      </c>
      <c r="H47" s="1" t="str">
        <f t="shared" si="0"/>
        <v>Low</v>
      </c>
      <c r="I47" s="1" t="str">
        <f t="shared" si="1"/>
        <v>High</v>
      </c>
      <c r="J47" s="1" t="str">
        <f t="shared" si="2"/>
        <v>High</v>
      </c>
      <c r="K47" s="1" t="str">
        <f t="shared" si="3"/>
        <v>Low</v>
      </c>
      <c r="L47" s="1" t="str">
        <f t="shared" si="4"/>
        <v>Low</v>
      </c>
      <c r="M47" s="1" t="str">
        <f t="shared" si="5"/>
        <v>High</v>
      </c>
    </row>
    <row r="48" spans="1:13" x14ac:dyDescent="0.15">
      <c r="A48" s="17">
        <v>43021</v>
      </c>
      <c r="B48" s="5">
        <v>2.7298850574712707E-2</v>
      </c>
      <c r="C48" s="5">
        <v>0.14769230769230779</v>
      </c>
      <c r="D48" s="5">
        <v>2.3449514294173746E-3</v>
      </c>
      <c r="E48" s="5">
        <v>1.9430637144148166E-2</v>
      </c>
      <c r="F48" s="5">
        <v>0.55000000000000004</v>
      </c>
      <c r="G48" s="5">
        <v>-0.12574177936326447</v>
      </c>
      <c r="H48" s="1" t="str">
        <f t="shared" si="0"/>
        <v>High</v>
      </c>
      <c r="I48" s="1" t="str">
        <f t="shared" si="1"/>
        <v>High</v>
      </c>
      <c r="J48" s="1" t="str">
        <f t="shared" si="2"/>
        <v>High</v>
      </c>
      <c r="K48" s="1" t="str">
        <f t="shared" si="3"/>
        <v>High</v>
      </c>
      <c r="L48" s="1" t="str">
        <f t="shared" si="4"/>
        <v>High</v>
      </c>
      <c r="M48" s="1" t="str">
        <f t="shared" si="5"/>
        <v>Low</v>
      </c>
    </row>
    <row r="49" spans="1:13" x14ac:dyDescent="0.15">
      <c r="A49" s="17">
        <v>43035</v>
      </c>
      <c r="B49" s="5">
        <v>5.7692307692307709E-2</v>
      </c>
      <c r="C49" s="5">
        <v>-0.34048257372654156</v>
      </c>
      <c r="D49" s="5">
        <v>-1.429885123191188E-2</v>
      </c>
      <c r="E49" s="5">
        <v>-2.5265957446808485E-2</v>
      </c>
      <c r="F49" s="5">
        <v>-0.38709677419354849</v>
      </c>
      <c r="G49" s="5">
        <v>4.9332950956061383E-2</v>
      </c>
      <c r="H49" s="1" t="str">
        <f t="shared" si="0"/>
        <v>High</v>
      </c>
      <c r="I49" s="1" t="str">
        <f t="shared" si="1"/>
        <v>High</v>
      </c>
      <c r="J49" s="1" t="str">
        <f t="shared" si="2"/>
        <v>Low</v>
      </c>
      <c r="K49" s="1" t="str">
        <f t="shared" si="3"/>
        <v>Low</v>
      </c>
      <c r="L49" s="1" t="str">
        <f t="shared" si="4"/>
        <v>Low</v>
      </c>
      <c r="M49" s="1" t="str">
        <f t="shared" si="5"/>
        <v>High</v>
      </c>
    </row>
    <row r="50" spans="1:13" x14ac:dyDescent="0.15">
      <c r="A50" s="17">
        <v>43042</v>
      </c>
      <c r="B50" s="5">
        <v>2.6280991735537329E-2</v>
      </c>
      <c r="C50" s="5">
        <v>0.42682926829268286</v>
      </c>
      <c r="D50" s="5">
        <v>5.9890949167615837E-3</v>
      </c>
      <c r="E50" s="5">
        <v>-9.5497953615278908E-3</v>
      </c>
      <c r="F50" s="5">
        <v>0.15789473684210531</v>
      </c>
      <c r="G50" s="5">
        <v>-0.15981484600416374</v>
      </c>
      <c r="H50" s="1" t="str">
        <f t="shared" si="0"/>
        <v>High</v>
      </c>
      <c r="I50" s="1" t="str">
        <f t="shared" si="1"/>
        <v>High</v>
      </c>
      <c r="J50" s="1" t="str">
        <f t="shared" si="2"/>
        <v>High</v>
      </c>
      <c r="K50" s="1" t="str">
        <f t="shared" si="3"/>
        <v>Low</v>
      </c>
      <c r="L50" s="1" t="str">
        <f t="shared" si="4"/>
        <v>Low</v>
      </c>
      <c r="M50" s="1" t="str">
        <f t="shared" si="5"/>
        <v>Low</v>
      </c>
    </row>
    <row r="51" spans="1:13" x14ac:dyDescent="0.15">
      <c r="A51" s="17">
        <v>43049</v>
      </c>
      <c r="B51" s="5">
        <v>2.4319536157191068E-2</v>
      </c>
      <c r="C51" s="5">
        <v>2.5641025641025772E-2</v>
      </c>
      <c r="D51" s="5">
        <v>4.2337169353482418E-2</v>
      </c>
      <c r="E51" s="5">
        <v>2.2956841138659367E-2</v>
      </c>
      <c r="F51" s="5">
        <v>0</v>
      </c>
      <c r="G51" s="5">
        <v>-5.6147842941778436E-2</v>
      </c>
      <c r="H51" s="1" t="str">
        <f t="shared" si="0"/>
        <v>High</v>
      </c>
      <c r="I51" s="1" t="str">
        <f t="shared" si="1"/>
        <v>High</v>
      </c>
      <c r="J51" s="1" t="str">
        <f t="shared" si="2"/>
        <v>High</v>
      </c>
      <c r="K51" s="1" t="str">
        <f t="shared" si="3"/>
        <v>High</v>
      </c>
      <c r="L51" s="1" t="str">
        <f t="shared" si="4"/>
        <v>Low</v>
      </c>
      <c r="M51" s="1" t="str">
        <f t="shared" si="5"/>
        <v>Low</v>
      </c>
    </row>
    <row r="52" spans="1:13" x14ac:dyDescent="0.15">
      <c r="A52" s="17">
        <v>43056</v>
      </c>
      <c r="B52" s="5">
        <v>-1.3836477987421381E-2</v>
      </c>
      <c r="C52" s="5">
        <v>-0.93888888888888888</v>
      </c>
      <c r="D52" s="5">
        <v>-1.7217853092759916E-2</v>
      </c>
      <c r="E52" s="5">
        <v>-1.5709156193895901E-2</v>
      </c>
      <c r="F52" s="5">
        <v>-0.36363636363636376</v>
      </c>
      <c r="G52" s="5">
        <v>0.19138308523306824</v>
      </c>
      <c r="H52" s="1" t="str">
        <f t="shared" si="0"/>
        <v>Low</v>
      </c>
      <c r="I52" s="1" t="str">
        <f t="shared" si="1"/>
        <v>High</v>
      </c>
      <c r="J52" s="1" t="str">
        <f t="shared" si="2"/>
        <v>Low</v>
      </c>
      <c r="K52" s="1" t="str">
        <f t="shared" si="3"/>
        <v>Low</v>
      </c>
      <c r="L52" s="1" t="str">
        <f t="shared" si="4"/>
        <v>Low</v>
      </c>
      <c r="M52" s="1" t="str">
        <f t="shared" si="5"/>
        <v>High</v>
      </c>
    </row>
    <row r="53" spans="1:13" x14ac:dyDescent="0.15">
      <c r="A53" s="17">
        <v>43063</v>
      </c>
      <c r="B53" s="5">
        <v>1.6103316326530503E-2</v>
      </c>
      <c r="C53" s="5">
        <v>11.272727272727273</v>
      </c>
      <c r="D53" s="5">
        <v>1.3724782002992653E-2</v>
      </c>
      <c r="E53" s="5">
        <v>2.5079799361605204E-2</v>
      </c>
      <c r="F53" s="5">
        <v>0.21428571428571441</v>
      </c>
      <c r="G53" s="5">
        <v>-0.24145184682630827</v>
      </c>
      <c r="H53" s="1" t="str">
        <f t="shared" si="0"/>
        <v>High</v>
      </c>
      <c r="I53" s="1" t="str">
        <f t="shared" si="1"/>
        <v>High</v>
      </c>
      <c r="J53" s="1" t="str">
        <f t="shared" si="2"/>
        <v>High</v>
      </c>
      <c r="K53" s="1" t="str">
        <f t="shared" si="3"/>
        <v>High</v>
      </c>
      <c r="L53" s="1" t="str">
        <f t="shared" si="4"/>
        <v>High</v>
      </c>
      <c r="M53" s="1" t="str">
        <f t="shared" si="5"/>
        <v>Low</v>
      </c>
    </row>
    <row r="54" spans="1:13" x14ac:dyDescent="0.15">
      <c r="A54" s="17">
        <v>43070</v>
      </c>
      <c r="B54" s="5">
        <v>-4.7073591715041108E-4</v>
      </c>
      <c r="C54" s="5">
        <v>-0.24074074074074081</v>
      </c>
      <c r="D54" s="5">
        <v>-2.5532466210432481E-2</v>
      </c>
      <c r="E54" s="5">
        <v>-4.5373665480426983E-2</v>
      </c>
      <c r="F54" s="5">
        <v>-0.11764705882352944</v>
      </c>
      <c r="G54" s="5">
        <v>0.1229370475707674</v>
      </c>
      <c r="H54" s="1" t="str">
        <f t="shared" si="0"/>
        <v>Low</v>
      </c>
      <c r="I54" s="1" t="str">
        <f t="shared" si="1"/>
        <v>High</v>
      </c>
      <c r="J54" s="1" t="str">
        <f t="shared" si="2"/>
        <v>Low</v>
      </c>
      <c r="K54" s="1" t="str">
        <f t="shared" si="3"/>
        <v>Low</v>
      </c>
      <c r="L54" s="1" t="str">
        <f t="shared" si="4"/>
        <v>Low</v>
      </c>
      <c r="M54" s="1" t="str">
        <f t="shared" si="5"/>
        <v>High</v>
      </c>
    </row>
    <row r="55" spans="1:13" x14ac:dyDescent="0.15">
      <c r="A55" s="17">
        <v>43077</v>
      </c>
      <c r="B55" s="5">
        <v>-4.8665620094191508E-3</v>
      </c>
      <c r="C55" s="5">
        <v>-0.58536585365853655</v>
      </c>
      <c r="D55" s="5">
        <v>-4.7483606284925983E-4</v>
      </c>
      <c r="E55" s="5">
        <v>5.1258154706430581E-3</v>
      </c>
      <c r="F55" s="5">
        <v>-0.4</v>
      </c>
      <c r="G55" s="5">
        <v>-0.26101682549056582</v>
      </c>
      <c r="H55" s="1" t="str">
        <f t="shared" si="0"/>
        <v>Low</v>
      </c>
      <c r="I55" s="1" t="str">
        <f t="shared" si="1"/>
        <v>High</v>
      </c>
      <c r="J55" s="1" t="str">
        <f t="shared" si="2"/>
        <v>Low</v>
      </c>
      <c r="K55" s="1" t="str">
        <f t="shared" si="3"/>
        <v>High</v>
      </c>
      <c r="L55" s="1" t="str">
        <f t="shared" si="4"/>
        <v>Low</v>
      </c>
      <c r="M55" s="1" t="str">
        <f t="shared" si="5"/>
        <v>Low</v>
      </c>
    </row>
    <row r="56" spans="1:13" x14ac:dyDescent="0.15">
      <c r="A56" s="17">
        <v>43084</v>
      </c>
      <c r="B56" s="5">
        <v>-2.2085502445180483E-3</v>
      </c>
      <c r="C56" s="5">
        <v>0.62352941176470589</v>
      </c>
      <c r="D56" s="5">
        <v>1.8527403930659991E-2</v>
      </c>
      <c r="E56" s="5">
        <v>1.6689847009735637E-2</v>
      </c>
      <c r="F56" s="5">
        <v>-0.88888888888888884</v>
      </c>
      <c r="G56" s="5">
        <v>0.98023452515681675</v>
      </c>
      <c r="H56" s="1" t="str">
        <f t="shared" si="0"/>
        <v>Low</v>
      </c>
      <c r="I56" s="1" t="str">
        <f t="shared" si="1"/>
        <v>High</v>
      </c>
      <c r="J56" s="1" t="str">
        <f t="shared" si="2"/>
        <v>High</v>
      </c>
      <c r="K56" s="1" t="str">
        <f t="shared" si="3"/>
        <v>High</v>
      </c>
      <c r="L56" s="1" t="str">
        <f t="shared" si="4"/>
        <v>Low</v>
      </c>
      <c r="M56" s="1" t="str">
        <f t="shared" si="5"/>
        <v>High</v>
      </c>
    </row>
    <row r="57" spans="1:13" x14ac:dyDescent="0.15">
      <c r="A57" s="17">
        <v>43091</v>
      </c>
      <c r="B57" s="5">
        <v>2.8300395256917188E-2</v>
      </c>
      <c r="C57" s="5">
        <v>1.3768115942028984</v>
      </c>
      <c r="D57" s="5">
        <v>-1.914654452679343E-2</v>
      </c>
      <c r="E57" s="5">
        <v>-3.7391700866393096E-2</v>
      </c>
      <c r="F57" s="5">
        <v>4</v>
      </c>
      <c r="G57" s="5">
        <v>-0.2052681539008735</v>
      </c>
      <c r="H57" s="1" t="str">
        <f t="shared" si="0"/>
        <v>High</v>
      </c>
      <c r="I57" s="1" t="str">
        <f t="shared" si="1"/>
        <v>High</v>
      </c>
      <c r="J57" s="1" t="str">
        <f t="shared" si="2"/>
        <v>Low</v>
      </c>
      <c r="K57" s="1" t="str">
        <f t="shared" si="3"/>
        <v>Low</v>
      </c>
      <c r="L57" s="1" t="str">
        <f t="shared" si="4"/>
        <v>High</v>
      </c>
      <c r="M57" s="1" t="str">
        <f t="shared" si="5"/>
        <v>Low</v>
      </c>
    </row>
    <row r="58" spans="1:13" x14ac:dyDescent="0.15">
      <c r="A58" s="17">
        <v>43098</v>
      </c>
      <c r="B58" s="5">
        <v>2.4292742927429334E-2</v>
      </c>
      <c r="C58" s="5">
        <v>0.15243902439024382</v>
      </c>
      <c r="D58" s="5">
        <v>3.2335682425554957E-3</v>
      </c>
      <c r="E58" s="5">
        <v>4.7370914258646479E-3</v>
      </c>
      <c r="F58" s="5">
        <v>1</v>
      </c>
      <c r="G58" s="5">
        <v>-0.19380487155676407</v>
      </c>
      <c r="H58" s="1" t="str">
        <f t="shared" si="0"/>
        <v>High</v>
      </c>
      <c r="I58" s="1" t="str">
        <f t="shared" si="1"/>
        <v>High</v>
      </c>
      <c r="J58" s="1" t="str">
        <f t="shared" si="2"/>
        <v>High</v>
      </c>
      <c r="K58" s="1" t="str">
        <f t="shared" si="3"/>
        <v>High</v>
      </c>
      <c r="L58" s="1" t="str">
        <f t="shared" si="4"/>
        <v>High</v>
      </c>
      <c r="M58" s="1" t="str">
        <f t="shared" si="5"/>
        <v>Low</v>
      </c>
    </row>
    <row r="59" spans="1:13" x14ac:dyDescent="0.15">
      <c r="A59" s="17">
        <v>43105</v>
      </c>
      <c r="B59" s="5">
        <v>1.7562293605523971E-2</v>
      </c>
      <c r="C59" s="5">
        <v>-0.14814814814814803</v>
      </c>
      <c r="D59" s="5">
        <v>4.6294804099083375E-2</v>
      </c>
      <c r="E59" s="5">
        <v>6.8363979255068319E-2</v>
      </c>
      <c r="F59" s="5">
        <v>0.30000000000000004</v>
      </c>
      <c r="G59" s="5">
        <v>-0.23526110652294241</v>
      </c>
      <c r="H59" s="1" t="str">
        <f t="shared" si="0"/>
        <v>High</v>
      </c>
      <c r="I59" s="1" t="str">
        <f t="shared" si="1"/>
        <v>High</v>
      </c>
      <c r="J59" s="1" t="str">
        <f t="shared" si="2"/>
        <v>High</v>
      </c>
      <c r="K59" s="1" t="str">
        <f t="shared" si="3"/>
        <v>High</v>
      </c>
      <c r="L59" s="1" t="str">
        <f t="shared" si="4"/>
        <v>High</v>
      </c>
      <c r="M59" s="1" t="str">
        <f t="shared" si="5"/>
        <v>Low</v>
      </c>
    </row>
    <row r="60" spans="1:13" x14ac:dyDescent="0.15">
      <c r="A60" s="17">
        <v>43112</v>
      </c>
      <c r="B60" s="5">
        <v>2.9797905295766203E-2</v>
      </c>
      <c r="C60" s="5">
        <v>-0.50621118012422361</v>
      </c>
      <c r="D60" s="5">
        <v>2.490248753063562E-2</v>
      </c>
      <c r="E60" s="5">
        <v>2.8684907325684073E-2</v>
      </c>
      <c r="F60" s="5">
        <v>-7.6923076923076983E-2</v>
      </c>
      <c r="G60" s="5">
        <v>0.571186628275824</v>
      </c>
      <c r="H60" s="1" t="str">
        <f t="shared" si="0"/>
        <v>High</v>
      </c>
      <c r="I60" s="1" t="str">
        <f t="shared" si="1"/>
        <v>High</v>
      </c>
      <c r="J60" s="1" t="str">
        <f t="shared" si="2"/>
        <v>High</v>
      </c>
      <c r="K60" s="1" t="str">
        <f t="shared" si="3"/>
        <v>High</v>
      </c>
      <c r="L60" s="1" t="str">
        <f t="shared" si="4"/>
        <v>Low</v>
      </c>
      <c r="M60" s="1" t="str">
        <f t="shared" si="5"/>
        <v>High</v>
      </c>
    </row>
    <row r="61" spans="1:13" x14ac:dyDescent="0.15">
      <c r="A61" s="17">
        <v>43119</v>
      </c>
      <c r="B61" s="5">
        <v>-1.6616530583010936E-2</v>
      </c>
      <c r="C61" s="5">
        <v>-1.408805031446541</v>
      </c>
      <c r="D61" s="5">
        <v>1.0586196836959161E-2</v>
      </c>
      <c r="E61" s="5">
        <v>-4.2900042900029245E-4</v>
      </c>
      <c r="F61" s="5">
        <v>0.25</v>
      </c>
      <c r="G61" s="5">
        <v>-2.1841314117574839E-2</v>
      </c>
      <c r="H61" s="1" t="str">
        <f t="shared" si="0"/>
        <v>Low</v>
      </c>
      <c r="I61" s="1" t="str">
        <f t="shared" si="1"/>
        <v>Low</v>
      </c>
      <c r="J61" s="1" t="str">
        <f t="shared" si="2"/>
        <v>High</v>
      </c>
      <c r="K61" s="1" t="str">
        <f t="shared" si="3"/>
        <v>Low</v>
      </c>
      <c r="L61" s="1" t="str">
        <f t="shared" si="4"/>
        <v>High</v>
      </c>
      <c r="M61" s="1" t="str">
        <f t="shared" si="5"/>
        <v>Low</v>
      </c>
    </row>
    <row r="62" spans="1:13" x14ac:dyDescent="0.15">
      <c r="A62" s="17">
        <v>43126</v>
      </c>
      <c r="B62" s="5">
        <v>2.3889293517844079E-2</v>
      </c>
      <c r="C62" s="5">
        <v>-3.5846153846153843</v>
      </c>
      <c r="D62" s="5">
        <v>3.9058228689647922E-3</v>
      </c>
      <c r="E62" s="5">
        <v>1.3304721030042765E-2</v>
      </c>
      <c r="F62" s="5">
        <v>-0.20000000000000007</v>
      </c>
      <c r="G62" s="5">
        <v>-3.1885734273278454E-2</v>
      </c>
      <c r="H62" s="1" t="str">
        <f t="shared" si="0"/>
        <v>High</v>
      </c>
      <c r="I62" s="1" t="str">
        <f t="shared" si="1"/>
        <v>Low</v>
      </c>
      <c r="J62" s="1" t="str">
        <f t="shared" si="2"/>
        <v>High</v>
      </c>
      <c r="K62" s="1" t="str">
        <f t="shared" si="3"/>
        <v>High</v>
      </c>
      <c r="L62" s="1" t="str">
        <f t="shared" si="4"/>
        <v>Low</v>
      </c>
      <c r="M62" s="1" t="str">
        <f t="shared" si="5"/>
        <v>Low</v>
      </c>
    </row>
    <row r="63" spans="1:13" x14ac:dyDescent="0.15">
      <c r="A63" s="17">
        <v>43133</v>
      </c>
      <c r="B63" s="5">
        <v>-2.9307156067719498E-2</v>
      </c>
      <c r="C63" s="5">
        <v>-0.29761904761904767</v>
      </c>
      <c r="D63" s="5">
        <v>-5.846832167161975E-3</v>
      </c>
      <c r="E63" s="5">
        <v>-2.6683608640406531E-2</v>
      </c>
      <c r="F63" s="5">
        <v>0.83333333333333348</v>
      </c>
      <c r="G63" s="5">
        <v>-0.31856331377488967</v>
      </c>
      <c r="H63" s="1" t="str">
        <f t="shared" si="0"/>
        <v>Low</v>
      </c>
      <c r="I63" s="1" t="str">
        <f t="shared" si="1"/>
        <v>High</v>
      </c>
      <c r="J63" s="1" t="str">
        <f t="shared" si="2"/>
        <v>Low</v>
      </c>
      <c r="K63" s="1" t="str">
        <f t="shared" si="3"/>
        <v>Low</v>
      </c>
      <c r="L63" s="1" t="str">
        <f t="shared" si="4"/>
        <v>High</v>
      </c>
      <c r="M63" s="1" t="str">
        <f t="shared" si="5"/>
        <v>Low</v>
      </c>
    </row>
    <row r="64" spans="1:13" x14ac:dyDescent="0.15">
      <c r="A64" s="17">
        <v>43140</v>
      </c>
      <c r="B64" s="5">
        <v>-8.0902828667741455E-2</v>
      </c>
      <c r="C64" s="5">
        <v>-2.8559322033898304</v>
      </c>
      <c r="D64" s="5">
        <v>-3.7127931844476492E-2</v>
      </c>
      <c r="E64" s="5">
        <v>-5.7006092254134E-2</v>
      </c>
      <c r="F64" s="5">
        <v>0.45454545454545459</v>
      </c>
      <c r="G64" s="5">
        <v>0.77252748703919116</v>
      </c>
      <c r="H64" s="1" t="str">
        <f t="shared" si="0"/>
        <v>Low</v>
      </c>
      <c r="I64" s="1" t="str">
        <f t="shared" si="1"/>
        <v>Low</v>
      </c>
      <c r="J64" s="1" t="str">
        <f t="shared" si="2"/>
        <v>Low</v>
      </c>
      <c r="K64" s="1" t="str">
        <f t="shared" si="3"/>
        <v>Low</v>
      </c>
      <c r="L64" s="1" t="str">
        <f t="shared" si="4"/>
        <v>High</v>
      </c>
      <c r="M64" s="1" t="str">
        <f t="shared" si="5"/>
        <v>High</v>
      </c>
    </row>
    <row r="65" spans="1:13" x14ac:dyDescent="0.15">
      <c r="A65" s="17">
        <v>43147</v>
      </c>
      <c r="B65" s="5">
        <v>3.4922659862860916E-2</v>
      </c>
      <c r="C65" s="5">
        <v>-1.8949771689497716</v>
      </c>
      <c r="D65" s="5">
        <v>2.6466465190795319E-2</v>
      </c>
      <c r="E65" s="5">
        <v>6.0913705583756084E-2</v>
      </c>
      <c r="F65" s="5">
        <v>0.3125</v>
      </c>
      <c r="G65" s="5">
        <v>-0.29979769633962927</v>
      </c>
      <c r="H65" s="1" t="str">
        <f t="shared" si="0"/>
        <v>High</v>
      </c>
      <c r="I65" s="1" t="str">
        <f t="shared" si="1"/>
        <v>Low</v>
      </c>
      <c r="J65" s="1" t="str">
        <f t="shared" si="2"/>
        <v>High</v>
      </c>
      <c r="K65" s="1" t="str">
        <f t="shared" si="3"/>
        <v>High</v>
      </c>
      <c r="L65" s="1" t="str">
        <f t="shared" si="4"/>
        <v>High</v>
      </c>
      <c r="M65" s="1" t="str">
        <f t="shared" si="5"/>
        <v>Low</v>
      </c>
    </row>
    <row r="66" spans="1:13" x14ac:dyDescent="0.15">
      <c r="A66" s="17">
        <v>43161</v>
      </c>
      <c r="B66" s="5">
        <v>-3.7853949329359038E-2</v>
      </c>
      <c r="C66" s="5">
        <v>-0.95565460721649487</v>
      </c>
      <c r="D66" s="5">
        <v>0</v>
      </c>
      <c r="E66" s="5">
        <v>-2.146464646464652E-2</v>
      </c>
      <c r="F66" s="5">
        <v>-6.25E-2</v>
      </c>
      <c r="G66" s="5">
        <v>4.6875369765686292E-2</v>
      </c>
      <c r="H66" s="1" t="str">
        <f t="shared" si="0"/>
        <v>Low</v>
      </c>
      <c r="I66" s="1" t="str">
        <f t="shared" si="1"/>
        <v>High</v>
      </c>
      <c r="J66" s="1" t="str">
        <f t="shared" si="2"/>
        <v>Low</v>
      </c>
      <c r="K66" s="1" t="str">
        <f t="shared" si="3"/>
        <v>Low</v>
      </c>
      <c r="L66" s="1" t="str">
        <f t="shared" si="4"/>
        <v>Low</v>
      </c>
      <c r="M66" s="1" t="str">
        <f t="shared" si="5"/>
        <v>High</v>
      </c>
    </row>
    <row r="67" spans="1:13" x14ac:dyDescent="0.15">
      <c r="A67" s="17">
        <v>43168</v>
      </c>
      <c r="B67" s="5">
        <v>1.4405204460966381E-2</v>
      </c>
      <c r="C67" s="5">
        <v>-2.8548928675652938</v>
      </c>
      <c r="D67" s="5">
        <v>9.9832229426259911E-3</v>
      </c>
      <c r="E67" s="5">
        <v>9.8924731182796766E-3</v>
      </c>
      <c r="F67" s="5">
        <v>0.31111111111111112</v>
      </c>
      <c r="G67" s="5">
        <v>-7.6978487502075588E-2</v>
      </c>
      <c r="H67" s="1" t="str">
        <f t="shared" si="0"/>
        <v>High</v>
      </c>
      <c r="I67" s="1" t="str">
        <f t="shared" si="1"/>
        <v>Low</v>
      </c>
      <c r="J67" s="1" t="str">
        <f t="shared" si="2"/>
        <v>High</v>
      </c>
      <c r="K67" s="1" t="str">
        <f t="shared" si="3"/>
        <v>High</v>
      </c>
      <c r="L67" s="1" t="str">
        <f t="shared" si="4"/>
        <v>High</v>
      </c>
      <c r="M67" s="1" t="str">
        <f t="shared" si="5"/>
        <v>Low</v>
      </c>
    </row>
    <row r="68" spans="1:13" x14ac:dyDescent="0.15">
      <c r="A68" s="17">
        <v>43175</v>
      </c>
      <c r="B68" s="5">
        <v>7.6347533974652215E-3</v>
      </c>
      <c r="C68" s="5">
        <v>-2.3536642255134779</v>
      </c>
      <c r="D68" s="5">
        <v>-7.3928597692597409E-3</v>
      </c>
      <c r="E68" s="5">
        <v>-2.8534923339011975E-2</v>
      </c>
      <c r="F68" s="5">
        <v>-0.28813559322033899</v>
      </c>
      <c r="G68" s="5">
        <v>0.10459623186338107</v>
      </c>
      <c r="H68" s="1" t="str">
        <f t="shared" si="0"/>
        <v>High</v>
      </c>
      <c r="I68" s="1" t="str">
        <f t="shared" si="1"/>
        <v>Low</v>
      </c>
      <c r="J68" s="1" t="str">
        <f t="shared" si="2"/>
        <v>Low</v>
      </c>
      <c r="K68" s="1" t="str">
        <f t="shared" si="3"/>
        <v>Low</v>
      </c>
      <c r="L68" s="1" t="str">
        <f t="shared" si="4"/>
        <v>Low</v>
      </c>
      <c r="M68" s="1" t="str">
        <f t="shared" si="5"/>
        <v>High</v>
      </c>
    </row>
    <row r="69" spans="1:13" x14ac:dyDescent="0.15">
      <c r="A69" s="17">
        <v>43182</v>
      </c>
      <c r="B69" s="5">
        <v>6.6222154871950378E-2</v>
      </c>
      <c r="C69" s="5">
        <v>13.647262205781177</v>
      </c>
      <c r="D69" s="5">
        <v>-3.9527586507450696E-3</v>
      </c>
      <c r="E69" s="5">
        <v>-1.3590530469092421E-2</v>
      </c>
      <c r="F69" s="5">
        <v>-4.7619047619047672E-2</v>
      </c>
      <c r="G69" s="5">
        <v>-0.16197111998287583</v>
      </c>
      <c r="H69" s="1" t="str">
        <f t="shared" si="0"/>
        <v>High</v>
      </c>
      <c r="I69" s="1" t="str">
        <f t="shared" si="1"/>
        <v>High</v>
      </c>
      <c r="J69" s="1" t="str">
        <f t="shared" si="2"/>
        <v>Low</v>
      </c>
      <c r="K69" s="1" t="str">
        <f t="shared" si="3"/>
        <v>Low</v>
      </c>
      <c r="L69" s="1" t="str">
        <f t="shared" si="4"/>
        <v>Low</v>
      </c>
      <c r="M69" s="1" t="str">
        <f t="shared" si="5"/>
        <v>Low</v>
      </c>
    </row>
    <row r="70" spans="1:13" x14ac:dyDescent="0.15">
      <c r="A70" s="17">
        <v>43196</v>
      </c>
      <c r="B70" s="5">
        <v>-4.6852748504699449E-2</v>
      </c>
      <c r="C70" s="5">
        <v>0</v>
      </c>
      <c r="D70" s="5">
        <v>0</v>
      </c>
      <c r="E70" s="5">
        <v>-1.6270888302550413E-2</v>
      </c>
      <c r="F70" s="5">
        <v>7.1428571428571397E-2</v>
      </c>
      <c r="G70" s="5">
        <v>0.17592276827397102</v>
      </c>
      <c r="H70" s="1" t="str">
        <f t="shared" si="0"/>
        <v>Low</v>
      </c>
      <c r="I70" s="1" t="str">
        <f t="shared" si="1"/>
        <v>High</v>
      </c>
      <c r="J70" s="1" t="str">
        <f t="shared" si="2"/>
        <v>Low</v>
      </c>
      <c r="K70" s="1" t="str">
        <f t="shared" si="3"/>
        <v>Low</v>
      </c>
      <c r="L70" s="1" t="str">
        <f t="shared" si="4"/>
        <v>Low</v>
      </c>
      <c r="M70" s="1" t="str">
        <f t="shared" si="5"/>
        <v>High</v>
      </c>
    </row>
    <row r="71" spans="1:13" x14ac:dyDescent="0.15">
      <c r="A71" s="17">
        <v>43203</v>
      </c>
      <c r="B71" s="5">
        <v>8.5014193933960813E-2</v>
      </c>
      <c r="C71" s="5">
        <v>8.7941176470588225</v>
      </c>
      <c r="D71" s="5">
        <v>-4.6496845999745795E-2</v>
      </c>
      <c r="E71" s="5">
        <v>-8.8958426464014417E-2</v>
      </c>
      <c r="F71" s="5">
        <v>0.42222222222222228</v>
      </c>
      <c r="G71" s="5">
        <v>2.9713359148964003E-3</v>
      </c>
      <c r="H71" s="1" t="str">
        <f t="shared" si="0"/>
        <v>High</v>
      </c>
      <c r="I71" s="1" t="str">
        <f t="shared" si="1"/>
        <v>High</v>
      </c>
      <c r="J71" s="1" t="str">
        <f t="shared" si="2"/>
        <v>Low</v>
      </c>
      <c r="K71" s="1" t="str">
        <f t="shared" si="3"/>
        <v>Low</v>
      </c>
      <c r="L71" s="1" t="str">
        <f t="shared" si="4"/>
        <v>High</v>
      </c>
      <c r="M71" s="1" t="str">
        <f t="shared" si="5"/>
        <v>Low</v>
      </c>
    </row>
    <row r="72" spans="1:13" x14ac:dyDescent="0.15">
      <c r="A72" s="17">
        <v>43210</v>
      </c>
      <c r="B72" s="5">
        <v>1.500963921784626E-2</v>
      </c>
      <c r="C72" s="5">
        <v>-0.45645645645645649</v>
      </c>
      <c r="D72" s="5">
        <v>2.6434836977509812E-2</v>
      </c>
      <c r="E72" s="5">
        <v>3.0421982335623321E-2</v>
      </c>
      <c r="F72" s="5">
        <v>6.25E-2</v>
      </c>
      <c r="G72" s="5">
        <v>-0.10049912375329528</v>
      </c>
      <c r="H72" s="1" t="str">
        <f t="shared" si="0"/>
        <v>High</v>
      </c>
      <c r="I72" s="1" t="str">
        <f t="shared" si="1"/>
        <v>High</v>
      </c>
      <c r="J72" s="1" t="str">
        <f t="shared" si="2"/>
        <v>High</v>
      </c>
      <c r="K72" s="1" t="str">
        <f t="shared" si="3"/>
        <v>High</v>
      </c>
      <c r="L72" s="1" t="str">
        <f t="shared" si="4"/>
        <v>Low</v>
      </c>
      <c r="M72" s="1" t="str">
        <f t="shared" si="5"/>
        <v>Low</v>
      </c>
    </row>
    <row r="73" spans="1:13" x14ac:dyDescent="0.15">
      <c r="A73" s="17">
        <v>43217</v>
      </c>
      <c r="B73" s="5">
        <v>9.9036765703433005E-3</v>
      </c>
      <c r="C73" s="5">
        <v>-0.31767955801104975</v>
      </c>
      <c r="D73" s="5">
        <v>3.0828697607338196E-2</v>
      </c>
      <c r="E73" s="5">
        <v>1.3809523809523716E-2</v>
      </c>
      <c r="F73" s="5">
        <v>-4.4117647058823484E-2</v>
      </c>
      <c r="G73" s="5">
        <v>-3.5688725445889968E-2</v>
      </c>
      <c r="H73" s="1" t="str">
        <f t="shared" si="0"/>
        <v>High</v>
      </c>
      <c r="I73" s="1" t="str">
        <f t="shared" si="1"/>
        <v>High</v>
      </c>
      <c r="J73" s="1" t="str">
        <f t="shared" si="2"/>
        <v>High</v>
      </c>
      <c r="K73" s="1" t="str">
        <f t="shared" si="3"/>
        <v>High</v>
      </c>
      <c r="L73" s="1" t="str">
        <f t="shared" si="4"/>
        <v>Low</v>
      </c>
      <c r="M73" s="1" t="str">
        <f t="shared" si="5"/>
        <v>Low</v>
      </c>
    </row>
    <row r="74" spans="1:13" x14ac:dyDescent="0.15">
      <c r="A74" s="17">
        <v>43224</v>
      </c>
      <c r="B74" s="5">
        <v>7.522837184309461E-3</v>
      </c>
      <c r="C74" s="5">
        <v>-0.55060728744939269</v>
      </c>
      <c r="D74" s="5">
        <v>-5.2227035529157639E-3</v>
      </c>
      <c r="E74" s="5">
        <v>-7.0455612963832293E-3</v>
      </c>
      <c r="F74" s="5">
        <v>-6.1538461538461542E-2</v>
      </c>
      <c r="G74" s="5">
        <v>-7.7802021574578939E-3</v>
      </c>
      <c r="H74" s="1" t="str">
        <f t="shared" si="0"/>
        <v>High</v>
      </c>
      <c r="I74" s="1" t="str">
        <f t="shared" si="1"/>
        <v>High</v>
      </c>
      <c r="J74" s="1" t="str">
        <f t="shared" si="2"/>
        <v>Low</v>
      </c>
      <c r="K74" s="1" t="str">
        <f t="shared" si="3"/>
        <v>Low</v>
      </c>
      <c r="L74" s="1" t="str">
        <f t="shared" si="4"/>
        <v>Low</v>
      </c>
      <c r="M74" s="1" t="str">
        <f t="shared" si="5"/>
        <v>Low</v>
      </c>
    </row>
    <row r="75" spans="1:13" x14ac:dyDescent="0.15">
      <c r="A75" s="17">
        <v>43231</v>
      </c>
      <c r="B75" s="5">
        <v>2.9066666666666796E-2</v>
      </c>
      <c r="C75" s="5">
        <v>3.8108108108108105</v>
      </c>
      <c r="D75" s="5">
        <v>2.4368085190022315E-2</v>
      </c>
      <c r="E75" s="5">
        <v>1.7029328287606393E-2</v>
      </c>
      <c r="F75" s="5">
        <v>-0.18032786885245899</v>
      </c>
      <c r="G75" s="5">
        <v>0.16097403220942796</v>
      </c>
      <c r="H75" s="1" t="str">
        <f t="shared" ref="H75:H138" si="6">IF(B75&gt;$Q$9,"High","Low")</f>
        <v>High</v>
      </c>
      <c r="I75" s="1" t="str">
        <f t="shared" ref="I75:I138" si="7">IF(C75&gt;$Q$10,"High","Low")</f>
        <v>High</v>
      </c>
      <c r="J75" s="1" t="str">
        <f t="shared" ref="J75:J138" si="8">IF(D75&gt;$Q$11,"High","Low")</f>
        <v>High</v>
      </c>
      <c r="K75" s="1" t="str">
        <f t="shared" ref="K75:K138" si="9">IF(E75&gt;$Q$12,"High","Low")</f>
        <v>High</v>
      </c>
      <c r="L75" s="1" t="str">
        <f t="shared" ref="L75:L138" si="10">IF(F75&gt;$Q$13,"High","Low")</f>
        <v>Low</v>
      </c>
      <c r="M75" s="1" t="str">
        <f t="shared" ref="M75:M138" si="11">IF(G75&gt;$Q$14,"High","Low")</f>
        <v>High</v>
      </c>
    </row>
    <row r="76" spans="1:13" x14ac:dyDescent="0.15">
      <c r="A76" s="17">
        <v>43238</v>
      </c>
      <c r="B76" s="5">
        <v>1.9823788546255328E-2</v>
      </c>
      <c r="C76" s="5">
        <v>-0.13857677902621723</v>
      </c>
      <c r="D76" s="5">
        <v>-7.811500643851943E-3</v>
      </c>
      <c r="E76" s="5">
        <v>-6.9767441860464352E-3</v>
      </c>
      <c r="F76" s="5">
        <v>-0.38</v>
      </c>
      <c r="G76" s="5">
        <v>-0.19787309206896009</v>
      </c>
      <c r="H76" s="1" t="str">
        <f t="shared" si="6"/>
        <v>High</v>
      </c>
      <c r="I76" s="1" t="str">
        <f t="shared" si="7"/>
        <v>High</v>
      </c>
      <c r="J76" s="1" t="str">
        <f t="shared" si="8"/>
        <v>Low</v>
      </c>
      <c r="K76" s="1" t="str">
        <f t="shared" si="9"/>
        <v>Low</v>
      </c>
      <c r="L76" s="1" t="str">
        <f t="shared" si="10"/>
        <v>Low</v>
      </c>
      <c r="M76" s="1" t="str">
        <f t="shared" si="11"/>
        <v>Low</v>
      </c>
    </row>
    <row r="77" spans="1:13" x14ac:dyDescent="0.15">
      <c r="A77" s="17">
        <v>43245</v>
      </c>
      <c r="B77" s="5">
        <v>-3.0237580993520474E-2</v>
      </c>
      <c r="C77" s="5">
        <v>-1.1565217391304348</v>
      </c>
      <c r="D77" s="5">
        <v>-8.753985921424623E-3</v>
      </c>
      <c r="E77" s="5">
        <v>-3.7470725995316645E-3</v>
      </c>
      <c r="F77" s="5">
        <v>-0.22580645161290325</v>
      </c>
      <c r="G77" s="5">
        <v>1.9355352019896799E-2</v>
      </c>
      <c r="H77" s="1" t="str">
        <f t="shared" si="6"/>
        <v>Low</v>
      </c>
      <c r="I77" s="1" t="str">
        <f t="shared" si="7"/>
        <v>Low</v>
      </c>
      <c r="J77" s="1" t="str">
        <f t="shared" si="8"/>
        <v>Low</v>
      </c>
      <c r="K77" s="1" t="str">
        <f t="shared" si="9"/>
        <v>Low</v>
      </c>
      <c r="L77" s="1" t="str">
        <f t="shared" si="10"/>
        <v>Low</v>
      </c>
      <c r="M77" s="1" t="str">
        <f t="shared" si="11"/>
        <v>Low</v>
      </c>
    </row>
    <row r="78" spans="1:13" x14ac:dyDescent="0.15">
      <c r="A78" s="17">
        <v>43252</v>
      </c>
      <c r="B78" s="5">
        <v>4.9783833355168117E-3</v>
      </c>
      <c r="C78" s="5">
        <v>6.944444444444442E-2</v>
      </c>
      <c r="D78" s="5">
        <v>-4.8687011449901618E-3</v>
      </c>
      <c r="E78" s="5">
        <v>6.11189468735307E-3</v>
      </c>
      <c r="F78" s="5">
        <v>0.12500000000000022</v>
      </c>
      <c r="G78" s="5">
        <v>-0.11192309402989487</v>
      </c>
      <c r="H78" s="1" t="str">
        <f t="shared" si="6"/>
        <v>High</v>
      </c>
      <c r="I78" s="1" t="str">
        <f t="shared" si="7"/>
        <v>High</v>
      </c>
      <c r="J78" s="1" t="str">
        <f t="shared" si="8"/>
        <v>Low</v>
      </c>
      <c r="K78" s="1" t="str">
        <f t="shared" si="9"/>
        <v>High</v>
      </c>
      <c r="L78" s="1" t="str">
        <f t="shared" si="10"/>
        <v>Low</v>
      </c>
      <c r="M78" s="1" t="str">
        <f t="shared" si="11"/>
        <v>Low</v>
      </c>
    </row>
    <row r="79" spans="1:13" x14ac:dyDescent="0.15">
      <c r="A79" s="17">
        <v>43259</v>
      </c>
      <c r="B79" s="5">
        <v>-4.8233607091642261E-3</v>
      </c>
      <c r="C79" s="5">
        <v>-3.8311688311688314</v>
      </c>
      <c r="D79" s="5">
        <v>-1.1945942649019381E-2</v>
      </c>
      <c r="E79" s="5">
        <v>-1.7757009345794383E-2</v>
      </c>
      <c r="F79" s="5">
        <v>0</v>
      </c>
      <c r="G79" s="5">
        <v>0.15210129199046984</v>
      </c>
      <c r="H79" s="1" t="str">
        <f t="shared" si="6"/>
        <v>Low</v>
      </c>
      <c r="I79" s="1" t="str">
        <f t="shared" si="7"/>
        <v>Low</v>
      </c>
      <c r="J79" s="1" t="str">
        <f t="shared" si="8"/>
        <v>Low</v>
      </c>
      <c r="K79" s="1" t="str">
        <f t="shared" si="9"/>
        <v>Low</v>
      </c>
      <c r="L79" s="1" t="str">
        <f t="shared" si="10"/>
        <v>Low</v>
      </c>
      <c r="M79" s="1" t="str">
        <f t="shared" si="11"/>
        <v>High</v>
      </c>
    </row>
    <row r="80" spans="1:13" x14ac:dyDescent="0.15">
      <c r="A80" s="17">
        <v>43266</v>
      </c>
      <c r="B80" s="5">
        <v>-4.3751637411579836E-2</v>
      </c>
      <c r="C80" s="5">
        <v>-1.1055045871559632</v>
      </c>
      <c r="D80" s="5">
        <v>-1.3399943560619354E-2</v>
      </c>
      <c r="E80" s="5">
        <v>-3.0922930542340521E-2</v>
      </c>
      <c r="F80" s="5">
        <v>0.33333333333333326</v>
      </c>
      <c r="G80" s="5">
        <v>7.4524472747127701E-2</v>
      </c>
      <c r="H80" s="1" t="str">
        <f t="shared" si="6"/>
        <v>Low</v>
      </c>
      <c r="I80" s="1" t="str">
        <f t="shared" si="7"/>
        <v>Low</v>
      </c>
      <c r="J80" s="1" t="str">
        <f t="shared" si="8"/>
        <v>Low</v>
      </c>
      <c r="K80" s="1" t="str">
        <f t="shared" si="9"/>
        <v>Low</v>
      </c>
      <c r="L80" s="1" t="str">
        <f t="shared" si="10"/>
        <v>High</v>
      </c>
      <c r="M80" s="1" t="str">
        <f t="shared" si="11"/>
        <v>High</v>
      </c>
    </row>
    <row r="81" spans="1:13" x14ac:dyDescent="0.15">
      <c r="A81" s="17">
        <v>43273</v>
      </c>
      <c r="B81" s="5">
        <v>3.4657534246575361E-2</v>
      </c>
      <c r="C81" s="5">
        <v>-2.7391304347826084</v>
      </c>
      <c r="D81" s="5">
        <v>5.4300947920249421E-3</v>
      </c>
      <c r="E81" s="5">
        <v>2.5036818851251752E-2</v>
      </c>
      <c r="F81" s="5">
        <v>8.3333333333333259E-2</v>
      </c>
      <c r="G81" s="5">
        <v>-4.333299226294951E-2</v>
      </c>
      <c r="H81" s="1" t="str">
        <f t="shared" si="6"/>
        <v>High</v>
      </c>
      <c r="I81" s="1" t="str">
        <f t="shared" si="7"/>
        <v>Low</v>
      </c>
      <c r="J81" s="1" t="str">
        <f t="shared" si="8"/>
        <v>High</v>
      </c>
      <c r="K81" s="1" t="str">
        <f t="shared" si="9"/>
        <v>High</v>
      </c>
      <c r="L81" s="1" t="str">
        <f t="shared" si="10"/>
        <v>Low</v>
      </c>
      <c r="M81" s="1" t="str">
        <f t="shared" si="11"/>
        <v>Low</v>
      </c>
    </row>
    <row r="82" spans="1:13" x14ac:dyDescent="0.15">
      <c r="A82" s="17">
        <v>43280</v>
      </c>
      <c r="B82" s="5">
        <v>5.1502714153316642E-2</v>
      </c>
      <c r="C82" s="5">
        <v>11.074999999999999</v>
      </c>
      <c r="D82" s="5">
        <v>2.0567369581451667E-2</v>
      </c>
      <c r="E82" s="5">
        <v>1.7241379310344751E-2</v>
      </c>
      <c r="F82" s="5">
        <v>-0.25641025641025639</v>
      </c>
      <c r="G82" s="5">
        <v>-2.3167208987580734E-2</v>
      </c>
      <c r="H82" s="1" t="str">
        <f t="shared" si="6"/>
        <v>High</v>
      </c>
      <c r="I82" s="1" t="str">
        <f t="shared" si="7"/>
        <v>High</v>
      </c>
      <c r="J82" s="1" t="str">
        <f t="shared" si="8"/>
        <v>High</v>
      </c>
      <c r="K82" s="1" t="str">
        <f t="shared" si="9"/>
        <v>High</v>
      </c>
      <c r="L82" s="1" t="str">
        <f t="shared" si="10"/>
        <v>Low</v>
      </c>
      <c r="M82" s="1" t="str">
        <f t="shared" si="11"/>
        <v>Low</v>
      </c>
    </row>
    <row r="83" spans="1:13" x14ac:dyDescent="0.15">
      <c r="A83" s="17">
        <v>43287</v>
      </c>
      <c r="B83" s="5">
        <v>-2.6819440946864725E-2</v>
      </c>
      <c r="C83" s="5">
        <v>-0.54865424430641818</v>
      </c>
      <c r="D83" s="5">
        <v>2.1529214486378345E-2</v>
      </c>
      <c r="E83" s="5">
        <v>2.6836158192090398E-2</v>
      </c>
      <c r="F83" s="5">
        <v>0.34482758620689657</v>
      </c>
      <c r="G83" s="5">
        <v>-0.28399246253862664</v>
      </c>
      <c r="H83" s="1" t="str">
        <f t="shared" si="6"/>
        <v>Low</v>
      </c>
      <c r="I83" s="1" t="str">
        <f t="shared" si="7"/>
        <v>High</v>
      </c>
      <c r="J83" s="1" t="str">
        <f t="shared" si="8"/>
        <v>High</v>
      </c>
      <c r="K83" s="1" t="str">
        <f t="shared" si="9"/>
        <v>High</v>
      </c>
      <c r="L83" s="1" t="str">
        <f t="shared" si="10"/>
        <v>High</v>
      </c>
      <c r="M83" s="1" t="str">
        <f t="shared" si="11"/>
        <v>Low</v>
      </c>
    </row>
    <row r="84" spans="1:13" x14ac:dyDescent="0.15">
      <c r="A84" s="17">
        <v>43294</v>
      </c>
      <c r="B84" s="5">
        <v>-3.0663733988873121E-2</v>
      </c>
      <c r="C84" s="5">
        <v>-0.65596330275229353</v>
      </c>
      <c r="D84" s="5">
        <v>4.4768864746846937E-4</v>
      </c>
      <c r="E84" s="5">
        <v>-9.1701054562121076E-4</v>
      </c>
      <c r="F84" s="5">
        <v>0.15384615384615397</v>
      </c>
      <c r="G84" s="5">
        <v>0.52122088225672569</v>
      </c>
      <c r="H84" s="1" t="str">
        <f t="shared" si="6"/>
        <v>Low</v>
      </c>
      <c r="I84" s="1" t="str">
        <f t="shared" si="7"/>
        <v>High</v>
      </c>
      <c r="J84" s="1" t="str">
        <f t="shared" si="8"/>
        <v>Low</v>
      </c>
      <c r="K84" s="1" t="str">
        <f t="shared" si="9"/>
        <v>Low</v>
      </c>
      <c r="L84" s="1" t="str">
        <f t="shared" si="10"/>
        <v>Low</v>
      </c>
      <c r="M84" s="1" t="str">
        <f t="shared" si="11"/>
        <v>High</v>
      </c>
    </row>
    <row r="85" spans="1:13" x14ac:dyDescent="0.15">
      <c r="A85" s="17">
        <v>43301</v>
      </c>
      <c r="B85" s="5">
        <v>-2.562733582487986E-2</v>
      </c>
      <c r="C85" s="5">
        <v>1.52</v>
      </c>
      <c r="D85" s="5">
        <v>-4.2025545189926738E-2</v>
      </c>
      <c r="E85" s="5">
        <v>-3.4419458467186748E-2</v>
      </c>
      <c r="F85" s="5">
        <v>-2.2222222222222143E-2</v>
      </c>
      <c r="G85" s="5">
        <v>0.13531640419056523</v>
      </c>
      <c r="H85" s="1" t="str">
        <f t="shared" si="6"/>
        <v>Low</v>
      </c>
      <c r="I85" s="1" t="str">
        <f t="shared" si="7"/>
        <v>High</v>
      </c>
      <c r="J85" s="1" t="str">
        <f t="shared" si="8"/>
        <v>Low</v>
      </c>
      <c r="K85" s="1" t="str">
        <f t="shared" si="9"/>
        <v>Low</v>
      </c>
      <c r="L85" s="1" t="str">
        <f t="shared" si="10"/>
        <v>Low</v>
      </c>
      <c r="M85" s="1" t="str">
        <f t="shared" si="11"/>
        <v>High</v>
      </c>
    </row>
    <row r="86" spans="1:13" x14ac:dyDescent="0.15">
      <c r="A86" s="17">
        <v>43308</v>
      </c>
      <c r="B86" s="5">
        <v>1.9041095890411031E-2</v>
      </c>
      <c r="C86" s="5">
        <v>2.7407407407407409</v>
      </c>
      <c r="D86" s="5">
        <v>1.9974909022964393E-2</v>
      </c>
      <c r="E86" s="5">
        <v>1.7110266159695797E-2</v>
      </c>
      <c r="F86" s="5">
        <v>-0.38636363636363635</v>
      </c>
      <c r="G86" s="5">
        <v>-0.30188694023977491</v>
      </c>
      <c r="H86" s="1" t="str">
        <f t="shared" si="6"/>
        <v>High</v>
      </c>
      <c r="I86" s="1" t="str">
        <f t="shared" si="7"/>
        <v>High</v>
      </c>
      <c r="J86" s="1" t="str">
        <f t="shared" si="8"/>
        <v>High</v>
      </c>
      <c r="K86" s="1" t="str">
        <f t="shared" si="9"/>
        <v>High</v>
      </c>
      <c r="L86" s="1" t="str">
        <f t="shared" si="10"/>
        <v>Low</v>
      </c>
      <c r="M86" s="1" t="str">
        <f t="shared" si="11"/>
        <v>Low</v>
      </c>
    </row>
    <row r="87" spans="1:13" x14ac:dyDescent="0.15">
      <c r="A87" s="17">
        <v>43322</v>
      </c>
      <c r="B87" s="5">
        <v>-1.9223013845947157E-2</v>
      </c>
      <c r="C87" s="5">
        <v>-0.49363507779349369</v>
      </c>
      <c r="D87" s="5">
        <v>-7.7070030356953811E-3</v>
      </c>
      <c r="E87" s="5">
        <v>-8.5046728971962637E-2</v>
      </c>
      <c r="F87" s="5">
        <v>-0.18518518518518512</v>
      </c>
      <c r="G87" s="5">
        <v>0.18820821502106599</v>
      </c>
      <c r="H87" s="1" t="str">
        <f t="shared" si="6"/>
        <v>Low</v>
      </c>
      <c r="I87" s="1" t="str">
        <f t="shared" si="7"/>
        <v>High</v>
      </c>
      <c r="J87" s="1" t="str">
        <f t="shared" si="8"/>
        <v>Low</v>
      </c>
      <c r="K87" s="1" t="str">
        <f t="shared" si="9"/>
        <v>Low</v>
      </c>
      <c r="L87" s="1" t="str">
        <f t="shared" si="10"/>
        <v>Low</v>
      </c>
      <c r="M87" s="1" t="str">
        <f t="shared" si="11"/>
        <v>High</v>
      </c>
    </row>
    <row r="88" spans="1:13" x14ac:dyDescent="0.15">
      <c r="A88" s="17">
        <v>43329</v>
      </c>
      <c r="B88" s="5">
        <v>-1.5076754385964786E-2</v>
      </c>
      <c r="C88" s="5">
        <v>0.25977653631284903</v>
      </c>
      <c r="D88" s="5">
        <v>-8.7602470275379707E-3</v>
      </c>
      <c r="E88" s="5">
        <v>1.3278855975485282E-2</v>
      </c>
      <c r="F88" s="5">
        <v>-9.0909090909090939E-2</v>
      </c>
      <c r="G88" s="5">
        <v>0.22989020585949738</v>
      </c>
      <c r="H88" s="1" t="str">
        <f t="shared" si="6"/>
        <v>Low</v>
      </c>
      <c r="I88" s="1" t="str">
        <f t="shared" si="7"/>
        <v>High</v>
      </c>
      <c r="J88" s="1" t="str">
        <f t="shared" si="8"/>
        <v>Low</v>
      </c>
      <c r="K88" s="1" t="str">
        <f t="shared" si="9"/>
        <v>High</v>
      </c>
      <c r="L88" s="1" t="str">
        <f t="shared" si="10"/>
        <v>Low</v>
      </c>
      <c r="M88" s="1" t="str">
        <f t="shared" si="11"/>
        <v>High</v>
      </c>
    </row>
    <row r="89" spans="1:13" x14ac:dyDescent="0.15">
      <c r="A89" s="17">
        <v>43336</v>
      </c>
      <c r="B89" s="5">
        <v>4.967993320345121E-2</v>
      </c>
      <c r="C89" s="5">
        <v>0.84922394678492252</v>
      </c>
      <c r="D89" s="5">
        <v>1.092624782716678E-2</v>
      </c>
      <c r="E89" s="5">
        <v>4.0322580645162365E-3</v>
      </c>
      <c r="F89" s="5">
        <v>-0.25</v>
      </c>
      <c r="G89" s="5">
        <v>-0.30543889449578554</v>
      </c>
      <c r="H89" s="1" t="str">
        <f t="shared" si="6"/>
        <v>High</v>
      </c>
      <c r="I89" s="1" t="str">
        <f t="shared" si="7"/>
        <v>High</v>
      </c>
      <c r="J89" s="1" t="str">
        <f t="shared" si="8"/>
        <v>High</v>
      </c>
      <c r="K89" s="1" t="str">
        <f t="shared" si="9"/>
        <v>High</v>
      </c>
      <c r="L89" s="1" t="str">
        <f t="shared" si="10"/>
        <v>Low</v>
      </c>
      <c r="M89" s="1" t="str">
        <f t="shared" si="11"/>
        <v>Low</v>
      </c>
    </row>
    <row r="90" spans="1:13" x14ac:dyDescent="0.15">
      <c r="A90" s="17">
        <v>43343</v>
      </c>
      <c r="B90" s="5">
        <v>2.6779795837200027E-2</v>
      </c>
      <c r="C90" s="5">
        <v>-0.10071942446043169</v>
      </c>
      <c r="D90" s="5">
        <v>2.8989893673017963E-2</v>
      </c>
      <c r="E90" s="5">
        <v>5.5220883534137233E-3</v>
      </c>
      <c r="F90" s="5">
        <v>-0.60000000000000009</v>
      </c>
      <c r="G90" s="5">
        <v>0.2106411502165082</v>
      </c>
      <c r="H90" s="1" t="str">
        <f t="shared" si="6"/>
        <v>High</v>
      </c>
      <c r="I90" s="1" t="str">
        <f t="shared" si="7"/>
        <v>High</v>
      </c>
      <c r="J90" s="1" t="str">
        <f t="shared" si="8"/>
        <v>High</v>
      </c>
      <c r="K90" s="1" t="str">
        <f t="shared" si="9"/>
        <v>High</v>
      </c>
      <c r="L90" s="1" t="str">
        <f t="shared" si="10"/>
        <v>Low</v>
      </c>
      <c r="M90" s="1" t="str">
        <f t="shared" si="11"/>
        <v>High</v>
      </c>
    </row>
    <row r="91" spans="1:13" x14ac:dyDescent="0.15">
      <c r="A91" s="17">
        <v>43350</v>
      </c>
      <c r="B91" s="5">
        <v>-4.5190445448677341E-3</v>
      </c>
      <c r="C91" s="5">
        <v>-0.84799999999999998</v>
      </c>
      <c r="D91" s="5">
        <v>-1.0243621714943307E-2</v>
      </c>
      <c r="E91" s="5">
        <v>-4.2436345481777438E-2</v>
      </c>
      <c r="F91" s="5">
        <v>-0.16666666666666663</v>
      </c>
      <c r="G91" s="5">
        <v>-0.18221279163474247</v>
      </c>
      <c r="H91" s="1" t="str">
        <f t="shared" si="6"/>
        <v>Low</v>
      </c>
      <c r="I91" s="1" t="str">
        <f t="shared" si="7"/>
        <v>High</v>
      </c>
      <c r="J91" s="1" t="str">
        <f t="shared" si="8"/>
        <v>Low</v>
      </c>
      <c r="K91" s="1" t="str">
        <f t="shared" si="9"/>
        <v>Low</v>
      </c>
      <c r="L91" s="1" t="str">
        <f t="shared" si="10"/>
        <v>Low</v>
      </c>
      <c r="M91" s="1" t="str">
        <f t="shared" si="11"/>
        <v>Low</v>
      </c>
    </row>
    <row r="92" spans="1:13" x14ac:dyDescent="0.15">
      <c r="A92" s="17">
        <v>43357</v>
      </c>
      <c r="B92" s="5">
        <v>1.2970168612191912E-2</v>
      </c>
      <c r="C92" s="5">
        <v>-7.8947368421052544E-2</v>
      </c>
      <c r="D92" s="5">
        <v>1.6555977638232022E-2</v>
      </c>
      <c r="E92" s="5">
        <v>5.2137643378519227E-2</v>
      </c>
      <c r="F92" s="5">
        <v>1.6</v>
      </c>
      <c r="G92" s="5">
        <v>0.3750862258202412</v>
      </c>
      <c r="H92" s="1" t="str">
        <f t="shared" si="6"/>
        <v>High</v>
      </c>
      <c r="I92" s="1" t="str">
        <f t="shared" si="7"/>
        <v>High</v>
      </c>
      <c r="J92" s="1" t="str">
        <f t="shared" si="8"/>
        <v>High</v>
      </c>
      <c r="K92" s="1" t="str">
        <f t="shared" si="9"/>
        <v>High</v>
      </c>
      <c r="L92" s="1" t="str">
        <f t="shared" si="10"/>
        <v>High</v>
      </c>
      <c r="M92" s="1" t="str">
        <f t="shared" si="11"/>
        <v>High</v>
      </c>
    </row>
    <row r="93" spans="1:13" x14ac:dyDescent="0.15">
      <c r="A93" s="17">
        <v>43364</v>
      </c>
      <c r="B93" s="5">
        <v>8.5787451984635776E-3</v>
      </c>
      <c r="C93" s="5">
        <v>-0.27619047619047621</v>
      </c>
      <c r="D93" s="5">
        <v>2.8191809376933108E-2</v>
      </c>
      <c r="E93" s="5">
        <v>4.658077304261643E-2</v>
      </c>
      <c r="F93" s="5">
        <v>1.7692307692307692</v>
      </c>
      <c r="G93" s="5">
        <v>-0.16207685838676988</v>
      </c>
      <c r="H93" s="1" t="str">
        <f t="shared" si="6"/>
        <v>High</v>
      </c>
      <c r="I93" s="1" t="str">
        <f t="shared" si="7"/>
        <v>High</v>
      </c>
      <c r="J93" s="1" t="str">
        <f t="shared" si="8"/>
        <v>High</v>
      </c>
      <c r="K93" s="1" t="str">
        <f t="shared" si="9"/>
        <v>High</v>
      </c>
      <c r="L93" s="1" t="str">
        <f t="shared" si="10"/>
        <v>High</v>
      </c>
      <c r="M93" s="1" t="str">
        <f t="shared" si="11"/>
        <v>Low</v>
      </c>
    </row>
    <row r="94" spans="1:13" x14ac:dyDescent="0.15">
      <c r="A94" s="17">
        <v>43371</v>
      </c>
      <c r="B94" s="5">
        <v>4.9765139012314386E-2</v>
      </c>
      <c r="C94" s="5">
        <v>2.763157894736842</v>
      </c>
      <c r="D94" s="5">
        <v>2.0009889566507288E-2</v>
      </c>
      <c r="E94" s="5">
        <v>2.0833333333333259E-2</v>
      </c>
      <c r="F94" s="5">
        <v>-0.16666666666666674</v>
      </c>
      <c r="G94" s="5">
        <v>-3.6737840098323038E-2</v>
      </c>
      <c r="H94" s="1" t="str">
        <f t="shared" si="6"/>
        <v>High</v>
      </c>
      <c r="I94" s="1" t="str">
        <f t="shared" si="7"/>
        <v>High</v>
      </c>
      <c r="J94" s="1" t="str">
        <f t="shared" si="8"/>
        <v>High</v>
      </c>
      <c r="K94" s="1" t="str">
        <f t="shared" si="9"/>
        <v>High</v>
      </c>
      <c r="L94" s="1" t="str">
        <f t="shared" si="10"/>
        <v>Low</v>
      </c>
      <c r="M94" s="1" t="str">
        <f t="shared" si="11"/>
        <v>Low</v>
      </c>
    </row>
    <row r="95" spans="1:13" x14ac:dyDescent="0.15">
      <c r="A95" s="17">
        <v>43378</v>
      </c>
      <c r="B95" s="5">
        <v>1.7172572257830421E-2</v>
      </c>
      <c r="C95" s="5">
        <v>-0.27622377622377625</v>
      </c>
      <c r="D95" s="5">
        <v>-9.8813909895933971E-3</v>
      </c>
      <c r="E95" s="5">
        <v>-1.6697588126159513E-2</v>
      </c>
      <c r="F95" s="5">
        <v>0.19999999999999996</v>
      </c>
      <c r="G95" s="5">
        <v>0.32225971017738209</v>
      </c>
      <c r="H95" s="1" t="str">
        <f t="shared" si="6"/>
        <v>High</v>
      </c>
      <c r="I95" s="1" t="str">
        <f t="shared" si="7"/>
        <v>High</v>
      </c>
      <c r="J95" s="1" t="str">
        <f t="shared" si="8"/>
        <v>Low</v>
      </c>
      <c r="K95" s="1" t="str">
        <f t="shared" si="9"/>
        <v>Low</v>
      </c>
      <c r="L95" s="1" t="str">
        <f t="shared" si="10"/>
        <v>High</v>
      </c>
      <c r="M95" s="1" t="str">
        <f t="shared" si="11"/>
        <v>High</v>
      </c>
    </row>
    <row r="96" spans="1:13" x14ac:dyDescent="0.15">
      <c r="A96" s="17">
        <v>43385</v>
      </c>
      <c r="B96" s="5">
        <v>-4.173106646058744E-2</v>
      </c>
      <c r="C96" s="5">
        <v>-2.7391304347826089</v>
      </c>
      <c r="D96" s="5">
        <v>-1.95356807703293E-2</v>
      </c>
      <c r="E96" s="5">
        <v>-1.8867924528301883E-3</v>
      </c>
      <c r="F96" s="5">
        <v>0.19444444444444442</v>
      </c>
      <c r="G96" s="5">
        <v>0.13976680745721293</v>
      </c>
      <c r="H96" s="1" t="str">
        <f t="shared" si="6"/>
        <v>Low</v>
      </c>
      <c r="I96" s="1" t="str">
        <f t="shared" si="7"/>
        <v>Low</v>
      </c>
      <c r="J96" s="1" t="str">
        <f t="shared" si="8"/>
        <v>Low</v>
      </c>
      <c r="K96" s="1" t="str">
        <f t="shared" si="9"/>
        <v>Low</v>
      </c>
      <c r="L96" s="1" t="str">
        <f t="shared" si="10"/>
        <v>High</v>
      </c>
      <c r="M96" s="1" t="str">
        <f t="shared" si="11"/>
        <v>High</v>
      </c>
    </row>
    <row r="97" spans="1:13" x14ac:dyDescent="0.15">
      <c r="A97" s="17">
        <v>43392</v>
      </c>
      <c r="B97" s="5">
        <v>-7.1960297766748837E-3</v>
      </c>
      <c r="C97" s="5">
        <v>-0.61111111111111116</v>
      </c>
      <c r="D97" s="5">
        <v>-2.423200805652892E-2</v>
      </c>
      <c r="E97" s="5">
        <v>-1.3232514177693777E-2</v>
      </c>
      <c r="F97" s="5">
        <v>0.16279069767441867</v>
      </c>
      <c r="G97" s="5">
        <v>-0.2292567437715366</v>
      </c>
      <c r="H97" s="1" t="str">
        <f t="shared" si="6"/>
        <v>Low</v>
      </c>
      <c r="I97" s="1" t="str">
        <f t="shared" si="7"/>
        <v>High</v>
      </c>
      <c r="J97" s="1" t="str">
        <f t="shared" si="8"/>
        <v>Low</v>
      </c>
      <c r="K97" s="1" t="str">
        <f t="shared" si="9"/>
        <v>Low</v>
      </c>
      <c r="L97" s="1" t="str">
        <f t="shared" si="10"/>
        <v>Low</v>
      </c>
      <c r="M97" s="1" t="str">
        <f t="shared" si="11"/>
        <v>Low</v>
      </c>
    </row>
    <row r="98" spans="1:13" x14ac:dyDescent="0.15">
      <c r="A98" s="17">
        <v>43399</v>
      </c>
      <c r="B98" s="5">
        <v>-2.8617845538615239E-2</v>
      </c>
      <c r="C98" s="5">
        <v>-0.34285714285714275</v>
      </c>
      <c r="D98" s="5">
        <v>-2.1993440777212547E-2</v>
      </c>
      <c r="E98" s="5">
        <v>-2.8256704980842873E-2</v>
      </c>
      <c r="F98" s="5">
        <v>-0.38</v>
      </c>
      <c r="G98" s="5">
        <v>1.936421676373512E-2</v>
      </c>
      <c r="H98" s="1" t="str">
        <f t="shared" si="6"/>
        <v>Low</v>
      </c>
      <c r="I98" s="1" t="str">
        <f t="shared" si="7"/>
        <v>High</v>
      </c>
      <c r="J98" s="1" t="str">
        <f t="shared" si="8"/>
        <v>Low</v>
      </c>
      <c r="K98" s="1" t="str">
        <f t="shared" si="9"/>
        <v>Low</v>
      </c>
      <c r="L98" s="1" t="str">
        <f t="shared" si="10"/>
        <v>Low</v>
      </c>
      <c r="M98" s="1" t="str">
        <f t="shared" si="11"/>
        <v>Low</v>
      </c>
    </row>
    <row r="99" spans="1:13" x14ac:dyDescent="0.15">
      <c r="A99" s="17">
        <v>43413</v>
      </c>
      <c r="B99" s="5">
        <v>-0.10099060851666031</v>
      </c>
      <c r="C99" s="5">
        <v>7.25</v>
      </c>
      <c r="D99" s="5">
        <v>4.8076503780710045E-2</v>
      </c>
      <c r="E99" s="5">
        <v>1.5771315919171913E-2</v>
      </c>
      <c r="F99" s="5">
        <v>-0.80645161290322576</v>
      </c>
      <c r="G99" s="5">
        <v>-0.14396578167221041</v>
      </c>
      <c r="H99" s="1" t="str">
        <f t="shared" si="6"/>
        <v>Low</v>
      </c>
      <c r="I99" s="1" t="str">
        <f t="shared" si="7"/>
        <v>High</v>
      </c>
      <c r="J99" s="1" t="str">
        <f t="shared" si="8"/>
        <v>High</v>
      </c>
      <c r="K99" s="1" t="str">
        <f t="shared" si="9"/>
        <v>High</v>
      </c>
      <c r="L99" s="1" t="str">
        <f t="shared" si="10"/>
        <v>Low</v>
      </c>
      <c r="M99" s="1" t="str">
        <f t="shared" si="11"/>
        <v>Low</v>
      </c>
    </row>
    <row r="100" spans="1:13" x14ac:dyDescent="0.15">
      <c r="A100" s="17">
        <v>43420</v>
      </c>
      <c r="B100" s="5">
        <v>-3.9782484258729323E-2</v>
      </c>
      <c r="C100" s="5">
        <v>-1.0144927536231885</v>
      </c>
      <c r="D100" s="5">
        <v>-1.2814805260727091E-2</v>
      </c>
      <c r="E100" s="5">
        <v>1.9408054342552328E-2</v>
      </c>
      <c r="F100" s="5">
        <v>-0.16666666666666663</v>
      </c>
      <c r="G100" s="5">
        <v>0.13570814408350862</v>
      </c>
      <c r="H100" s="1" t="str">
        <f t="shared" si="6"/>
        <v>Low</v>
      </c>
      <c r="I100" s="1" t="str">
        <f t="shared" si="7"/>
        <v>High</v>
      </c>
      <c r="J100" s="1" t="str">
        <f t="shared" si="8"/>
        <v>Low</v>
      </c>
      <c r="K100" s="1" t="str">
        <f t="shared" si="9"/>
        <v>High</v>
      </c>
      <c r="L100" s="1" t="str">
        <f t="shared" si="10"/>
        <v>Low</v>
      </c>
      <c r="M100" s="1" t="str">
        <f t="shared" si="11"/>
        <v>High</v>
      </c>
    </row>
    <row r="101" spans="1:13" x14ac:dyDescent="0.15">
      <c r="A101" s="17">
        <v>43427</v>
      </c>
      <c r="B101" s="5">
        <v>-0.11788375558867359</v>
      </c>
      <c r="C101" s="5">
        <v>-149.54545454545453</v>
      </c>
      <c r="D101" s="5">
        <v>-1.2517543526912811E-2</v>
      </c>
      <c r="E101" s="5">
        <v>-2.6653974297953464E-2</v>
      </c>
      <c r="F101" s="5">
        <v>-2.6</v>
      </c>
      <c r="G101" s="5">
        <v>-7.5796938434797068E-2</v>
      </c>
      <c r="H101" s="1" t="str">
        <f t="shared" si="6"/>
        <v>Low</v>
      </c>
      <c r="I101" s="1" t="str">
        <f t="shared" si="7"/>
        <v>Low</v>
      </c>
      <c r="J101" s="1" t="str">
        <f t="shared" si="8"/>
        <v>Low</v>
      </c>
      <c r="K101" s="1" t="str">
        <f t="shared" si="9"/>
        <v>Low</v>
      </c>
      <c r="L101" s="1" t="str">
        <f t="shared" si="10"/>
        <v>Low</v>
      </c>
      <c r="M101" s="1" t="str">
        <f t="shared" si="11"/>
        <v>Low</v>
      </c>
    </row>
    <row r="102" spans="1:13" x14ac:dyDescent="0.15">
      <c r="A102" s="17">
        <v>43434</v>
      </c>
      <c r="B102" s="5">
        <v>-8.6163203243790898E-3</v>
      </c>
      <c r="C102" s="5">
        <v>-0.90697674418604657</v>
      </c>
      <c r="D102" s="5">
        <v>2.1139835337200319E-2</v>
      </c>
      <c r="E102" s="5">
        <v>0</v>
      </c>
      <c r="F102" s="5">
        <v>-1.5</v>
      </c>
      <c r="G102" s="5">
        <v>5.1302925101365249E-2</v>
      </c>
      <c r="H102" s="1" t="str">
        <f t="shared" si="6"/>
        <v>Low</v>
      </c>
      <c r="I102" s="1" t="str">
        <f t="shared" si="7"/>
        <v>High</v>
      </c>
      <c r="J102" s="1" t="str">
        <f t="shared" si="8"/>
        <v>High</v>
      </c>
      <c r="K102" s="1" t="str">
        <f t="shared" si="9"/>
        <v>Low</v>
      </c>
      <c r="L102" s="1" t="str">
        <f t="shared" si="10"/>
        <v>Low</v>
      </c>
      <c r="M102" s="1" t="str">
        <f t="shared" si="11"/>
        <v>High</v>
      </c>
    </row>
    <row r="103" spans="1:13" x14ac:dyDescent="0.15">
      <c r="A103" s="17">
        <v>43441</v>
      </c>
      <c r="B103" s="5">
        <v>4.6353101567825572E-2</v>
      </c>
      <c r="C103" s="5">
        <v>-3.7434210526315788</v>
      </c>
      <c r="D103" s="5">
        <v>1.6213166144200652E-2</v>
      </c>
      <c r="E103" s="5">
        <v>1.2713936430317929E-2</v>
      </c>
      <c r="F103" s="5">
        <v>0.74999999999999978</v>
      </c>
      <c r="G103" s="5">
        <v>2.0450380442365468E-2</v>
      </c>
      <c r="H103" s="1" t="str">
        <f t="shared" si="6"/>
        <v>High</v>
      </c>
      <c r="I103" s="1" t="str">
        <f t="shared" si="7"/>
        <v>Low</v>
      </c>
      <c r="J103" s="1" t="str">
        <f t="shared" si="8"/>
        <v>High</v>
      </c>
      <c r="K103" s="1" t="str">
        <f t="shared" si="9"/>
        <v>High</v>
      </c>
      <c r="L103" s="1" t="str">
        <f t="shared" si="10"/>
        <v>High</v>
      </c>
      <c r="M103" s="1" t="str">
        <f t="shared" si="11"/>
        <v>Low</v>
      </c>
    </row>
    <row r="104" spans="1:13" x14ac:dyDescent="0.15">
      <c r="A104" s="17">
        <v>43448</v>
      </c>
      <c r="B104" s="5">
        <v>-1.8729641693811083E-2</v>
      </c>
      <c r="C104" s="5">
        <v>-1.0719424460431655</v>
      </c>
      <c r="D104" s="5">
        <v>-2.6981561228812678E-2</v>
      </c>
      <c r="E104" s="5">
        <v>-2.3177209077740235E-2</v>
      </c>
      <c r="F104" s="5">
        <v>-1.3714285714285714</v>
      </c>
      <c r="G104" s="5">
        <v>0.12357405356520146</v>
      </c>
      <c r="H104" s="1" t="str">
        <f t="shared" si="6"/>
        <v>Low</v>
      </c>
      <c r="I104" s="1" t="str">
        <f t="shared" si="7"/>
        <v>Low</v>
      </c>
      <c r="J104" s="1" t="str">
        <f t="shared" si="8"/>
        <v>Low</v>
      </c>
      <c r="K104" s="1" t="str">
        <f t="shared" si="9"/>
        <v>Low</v>
      </c>
      <c r="L104" s="1" t="str">
        <f t="shared" si="10"/>
        <v>Low</v>
      </c>
      <c r="M104" s="1" t="str">
        <f t="shared" si="11"/>
        <v>High</v>
      </c>
    </row>
    <row r="105" spans="1:13" x14ac:dyDescent="0.15">
      <c r="A105" s="17">
        <v>43455</v>
      </c>
      <c r="B105" s="5">
        <v>-0.11203319502074693</v>
      </c>
      <c r="C105" s="5">
        <v>12.633333333333333</v>
      </c>
      <c r="D105" s="5">
        <v>-7.8285827813450171E-3</v>
      </c>
      <c r="E105" s="5">
        <v>-7.9584775086505188E-2</v>
      </c>
      <c r="F105" s="5">
        <v>2.4615384615384617</v>
      </c>
      <c r="G105" s="5">
        <v>-0.13856735727056535</v>
      </c>
      <c r="H105" s="1" t="str">
        <f t="shared" si="6"/>
        <v>Low</v>
      </c>
      <c r="I105" s="1" t="str">
        <f t="shared" si="7"/>
        <v>High</v>
      </c>
      <c r="J105" s="1" t="str">
        <f t="shared" si="8"/>
        <v>Low</v>
      </c>
      <c r="K105" s="1" t="str">
        <f t="shared" si="9"/>
        <v>Low</v>
      </c>
      <c r="L105" s="1" t="str">
        <f t="shared" si="10"/>
        <v>High</v>
      </c>
      <c r="M105" s="1" t="str">
        <f t="shared" si="11"/>
        <v>Low</v>
      </c>
    </row>
    <row r="106" spans="1:13" x14ac:dyDescent="0.15">
      <c r="A106" s="17">
        <v>43469</v>
      </c>
      <c r="B106" s="5">
        <v>7.3271028037383168E-2</v>
      </c>
      <c r="C106" s="5">
        <v>-2.657701711491443</v>
      </c>
      <c r="D106" s="5">
        <v>2.5277248771925276E-2</v>
      </c>
      <c r="E106" s="5">
        <v>5.853920515574651E-2</v>
      </c>
      <c r="F106" s="5">
        <v>-1</v>
      </c>
      <c r="G106" s="5">
        <v>-0.10140229785473709</v>
      </c>
      <c r="H106" s="1" t="str">
        <f t="shared" si="6"/>
        <v>High</v>
      </c>
      <c r="I106" s="1" t="str">
        <f t="shared" si="7"/>
        <v>Low</v>
      </c>
      <c r="J106" s="1" t="str">
        <f t="shared" si="8"/>
        <v>High</v>
      </c>
      <c r="K106" s="1" t="str">
        <f t="shared" si="9"/>
        <v>High</v>
      </c>
      <c r="L106" s="1" t="str">
        <f t="shared" si="10"/>
        <v>Low</v>
      </c>
      <c r="M106" s="1" t="str">
        <f t="shared" si="11"/>
        <v>Low</v>
      </c>
    </row>
    <row r="107" spans="1:13" x14ac:dyDescent="0.15">
      <c r="A107" s="17">
        <v>43476</v>
      </c>
      <c r="B107" s="5">
        <v>5.5207244862417237E-2</v>
      </c>
      <c r="C107" s="5">
        <v>-1.7699115044247815E-2</v>
      </c>
      <c r="D107" s="5">
        <v>1.5769790151672458E-2</v>
      </c>
      <c r="E107" s="5">
        <v>1.7757483510908001E-2</v>
      </c>
      <c r="F107" s="5">
        <v>0</v>
      </c>
      <c r="G107" s="5">
        <v>0.10004878378052084</v>
      </c>
      <c r="H107" s="1" t="str">
        <f t="shared" si="6"/>
        <v>High</v>
      </c>
      <c r="I107" s="1" t="str">
        <f t="shared" si="7"/>
        <v>High</v>
      </c>
      <c r="J107" s="1" t="str">
        <f t="shared" si="8"/>
        <v>High</v>
      </c>
      <c r="K107" s="1" t="str">
        <f t="shared" si="9"/>
        <v>High</v>
      </c>
      <c r="L107" s="1" t="str">
        <f t="shared" si="10"/>
        <v>Low</v>
      </c>
      <c r="M107" s="1" t="str">
        <f t="shared" si="11"/>
        <v>High</v>
      </c>
    </row>
    <row r="108" spans="1:13" x14ac:dyDescent="0.15">
      <c r="A108" s="17">
        <v>43483</v>
      </c>
      <c r="B108" s="5">
        <v>3.2843703581449057E-2</v>
      </c>
      <c r="C108" s="5">
        <v>-0.53603603603603611</v>
      </c>
      <c r="D108" s="5">
        <v>1.1929063797582407E-2</v>
      </c>
      <c r="E108" s="5">
        <v>2.243270189431712E-2</v>
      </c>
      <c r="F108" s="5">
        <v>-3</v>
      </c>
      <c r="G108" s="5">
        <v>7.8954027795812953E-2</v>
      </c>
      <c r="H108" s="1" t="str">
        <f t="shared" si="6"/>
        <v>High</v>
      </c>
      <c r="I108" s="1" t="str">
        <f t="shared" si="7"/>
        <v>High</v>
      </c>
      <c r="J108" s="1" t="str">
        <f t="shared" si="8"/>
        <v>High</v>
      </c>
      <c r="K108" s="1" t="str">
        <f t="shared" si="9"/>
        <v>High</v>
      </c>
      <c r="L108" s="1" t="str">
        <f t="shared" si="10"/>
        <v>Low</v>
      </c>
      <c r="M108" s="1" t="str">
        <f t="shared" si="11"/>
        <v>High</v>
      </c>
    </row>
    <row r="109" spans="1:13" x14ac:dyDescent="0.15">
      <c r="A109" s="17">
        <v>43490</v>
      </c>
      <c r="B109" s="5">
        <v>-1.7098114413550691E-2</v>
      </c>
      <c r="C109" s="5">
        <v>-0.89967637540453071</v>
      </c>
      <c r="D109" s="5">
        <v>9.9530645493832726E-3</v>
      </c>
      <c r="E109" s="5">
        <v>1.1214041930765362E-2</v>
      </c>
      <c r="F109" s="5">
        <v>-1.2</v>
      </c>
      <c r="G109" s="5">
        <v>-4.2749482979626219E-2</v>
      </c>
      <c r="H109" s="1" t="str">
        <f t="shared" si="6"/>
        <v>Low</v>
      </c>
      <c r="I109" s="1" t="str">
        <f t="shared" si="7"/>
        <v>High</v>
      </c>
      <c r="J109" s="1" t="str">
        <f t="shared" si="8"/>
        <v>High</v>
      </c>
      <c r="K109" s="1" t="str">
        <f t="shared" si="9"/>
        <v>High</v>
      </c>
      <c r="L109" s="1" t="str">
        <f t="shared" si="10"/>
        <v>Low</v>
      </c>
      <c r="M109" s="1" t="str">
        <f t="shared" si="11"/>
        <v>Low</v>
      </c>
    </row>
    <row r="110" spans="1:13" x14ac:dyDescent="0.15">
      <c r="A110" s="17">
        <v>43497</v>
      </c>
      <c r="B110" s="5">
        <v>2.2597951552593143E-2</v>
      </c>
      <c r="C110" s="5">
        <v>3.2258064516129004E-2</v>
      </c>
      <c r="D110" s="5">
        <v>9.3946514132003944E-3</v>
      </c>
      <c r="E110" s="5">
        <v>1.8322082931533368E-2</v>
      </c>
      <c r="F110" s="5">
        <v>0</v>
      </c>
      <c r="G110" s="5">
        <v>-7.9253408692884331E-2</v>
      </c>
      <c r="H110" s="1" t="str">
        <f t="shared" si="6"/>
        <v>High</v>
      </c>
      <c r="I110" s="1" t="str">
        <f t="shared" si="7"/>
        <v>High</v>
      </c>
      <c r="J110" s="1" t="str">
        <f t="shared" si="8"/>
        <v>High</v>
      </c>
      <c r="K110" s="1" t="str">
        <f t="shared" si="9"/>
        <v>High</v>
      </c>
      <c r="L110" s="1" t="str">
        <f t="shared" si="10"/>
        <v>Low</v>
      </c>
      <c r="M110" s="1" t="str">
        <f t="shared" si="11"/>
        <v>Low</v>
      </c>
    </row>
    <row r="111" spans="1:13" x14ac:dyDescent="0.15">
      <c r="A111" s="17">
        <v>43504</v>
      </c>
      <c r="B111" s="5">
        <v>-1.4785373608902974E-2</v>
      </c>
      <c r="C111" s="5">
        <v>0.4375</v>
      </c>
      <c r="D111" s="5">
        <v>-7.4870127295076916E-3</v>
      </c>
      <c r="E111" s="5">
        <v>-1.7045454545454475E-2</v>
      </c>
      <c r="F111" s="5">
        <v>3.5</v>
      </c>
      <c r="G111" s="5">
        <v>0.26218617699153968</v>
      </c>
      <c r="H111" s="1" t="str">
        <f t="shared" si="6"/>
        <v>Low</v>
      </c>
      <c r="I111" s="1" t="str">
        <f t="shared" si="7"/>
        <v>High</v>
      </c>
      <c r="J111" s="1" t="str">
        <f t="shared" si="8"/>
        <v>Low</v>
      </c>
      <c r="K111" s="1" t="str">
        <f t="shared" si="9"/>
        <v>Low</v>
      </c>
      <c r="L111" s="1" t="str">
        <f t="shared" si="10"/>
        <v>High</v>
      </c>
      <c r="M111" s="1" t="str">
        <f t="shared" si="11"/>
        <v>High</v>
      </c>
    </row>
    <row r="112" spans="1:13" x14ac:dyDescent="0.15">
      <c r="A112" s="17">
        <v>43511</v>
      </c>
      <c r="B112" s="5">
        <v>4.6958205583346624E-2</v>
      </c>
      <c r="C112" s="5">
        <v>8.8260869565217384</v>
      </c>
      <c r="D112" s="5">
        <v>-5.0582942440927647E-3</v>
      </c>
      <c r="E112" s="5">
        <v>-1.3969171483622533E-2</v>
      </c>
      <c r="F112" s="5">
        <v>-0.88888888888888884</v>
      </c>
      <c r="G112" s="5">
        <v>-8.0203455804175872E-2</v>
      </c>
      <c r="H112" s="1" t="str">
        <f t="shared" si="6"/>
        <v>High</v>
      </c>
      <c r="I112" s="1" t="str">
        <f t="shared" si="7"/>
        <v>High</v>
      </c>
      <c r="J112" s="1" t="str">
        <f t="shared" si="8"/>
        <v>Low</v>
      </c>
      <c r="K112" s="1" t="str">
        <f t="shared" si="9"/>
        <v>Low</v>
      </c>
      <c r="L112" s="1" t="str">
        <f t="shared" si="10"/>
        <v>Low</v>
      </c>
      <c r="M112" s="1" t="str">
        <f t="shared" si="11"/>
        <v>Low</v>
      </c>
    </row>
    <row r="113" spans="1:13" x14ac:dyDescent="0.15">
      <c r="A113" s="17">
        <v>43518</v>
      </c>
      <c r="B113" s="5">
        <v>3.128853267570908E-2</v>
      </c>
      <c r="C113" s="5">
        <v>-0.27433628318584069</v>
      </c>
      <c r="D113" s="5">
        <v>-6.1441835062792105E-4</v>
      </c>
      <c r="E113" s="5">
        <v>1.2701514411333825E-2</v>
      </c>
      <c r="F113" s="5">
        <v>4.9999999999999991</v>
      </c>
      <c r="G113" s="5">
        <v>-6.4953879054860386E-2</v>
      </c>
      <c r="H113" s="1" t="str">
        <f t="shared" si="6"/>
        <v>High</v>
      </c>
      <c r="I113" s="1" t="str">
        <f t="shared" si="7"/>
        <v>High</v>
      </c>
      <c r="J113" s="1" t="str">
        <f t="shared" si="8"/>
        <v>Low</v>
      </c>
      <c r="K113" s="1" t="str">
        <f t="shared" si="9"/>
        <v>High</v>
      </c>
      <c r="L113" s="1" t="str">
        <f t="shared" si="10"/>
        <v>High</v>
      </c>
      <c r="M113" s="1" t="str">
        <f t="shared" si="11"/>
        <v>Low</v>
      </c>
    </row>
    <row r="114" spans="1:13" x14ac:dyDescent="0.15">
      <c r="A114" s="17">
        <v>43525</v>
      </c>
      <c r="B114" s="5">
        <v>-2.8545807801524381E-2</v>
      </c>
      <c r="C114" s="5">
        <v>-0.4359756097560975</v>
      </c>
      <c r="D114" s="5">
        <v>-4.2674081723679258E-3</v>
      </c>
      <c r="E114" s="5">
        <v>-1.3989387361312056E-2</v>
      </c>
      <c r="F114" s="5">
        <v>1.5</v>
      </c>
      <c r="G114" s="5">
        <v>-3.3779418371947423E-2</v>
      </c>
      <c r="H114" s="1" t="str">
        <f t="shared" si="6"/>
        <v>Low</v>
      </c>
      <c r="I114" s="1" t="str">
        <f t="shared" si="7"/>
        <v>High</v>
      </c>
      <c r="J114" s="1" t="str">
        <f t="shared" si="8"/>
        <v>Low</v>
      </c>
      <c r="K114" s="1" t="str">
        <f t="shared" si="9"/>
        <v>Low</v>
      </c>
      <c r="L114" s="1" t="str">
        <f t="shared" si="10"/>
        <v>High</v>
      </c>
      <c r="M114" s="1" t="str">
        <f t="shared" si="11"/>
        <v>Low</v>
      </c>
    </row>
    <row r="115" spans="1:13" x14ac:dyDescent="0.15">
      <c r="A115" s="17">
        <v>43539</v>
      </c>
      <c r="B115" s="5">
        <v>1.8386263485792309E-2</v>
      </c>
      <c r="C115" s="5">
        <v>0.73228346456692917</v>
      </c>
      <c r="D115" s="5">
        <v>0</v>
      </c>
      <c r="E115" s="5">
        <v>3.4705007436787172E-2</v>
      </c>
      <c r="F115" s="5">
        <v>-1</v>
      </c>
      <c r="G115" s="5">
        <v>-8.3000521699690855E-2</v>
      </c>
      <c r="H115" s="1" t="str">
        <f t="shared" si="6"/>
        <v>High</v>
      </c>
      <c r="I115" s="1" t="str">
        <f t="shared" si="7"/>
        <v>High</v>
      </c>
      <c r="J115" s="1" t="str">
        <f t="shared" si="8"/>
        <v>Low</v>
      </c>
      <c r="K115" s="1" t="str">
        <f t="shared" si="9"/>
        <v>High</v>
      </c>
      <c r="L115" s="1" t="str">
        <f t="shared" si="10"/>
        <v>Low</v>
      </c>
      <c r="M115" s="1" t="str">
        <f t="shared" si="11"/>
        <v>Low</v>
      </c>
    </row>
    <row r="116" spans="1:13" x14ac:dyDescent="0.15">
      <c r="A116" s="17">
        <v>43546</v>
      </c>
      <c r="B116" s="5">
        <v>8.9525514771704451E-4</v>
      </c>
      <c r="C116" s="5">
        <v>-0.36818181818181828</v>
      </c>
      <c r="D116" s="5">
        <v>6.4480181529678049E-3</v>
      </c>
      <c r="E116" s="5">
        <v>1.4374700527071127E-3</v>
      </c>
      <c r="F116" s="5">
        <v>0</v>
      </c>
      <c r="G116" s="5">
        <v>7.0996017700668768E-2</v>
      </c>
      <c r="H116" s="1" t="str">
        <f t="shared" si="6"/>
        <v>Low</v>
      </c>
      <c r="I116" s="1" t="str">
        <f t="shared" si="7"/>
        <v>High</v>
      </c>
      <c r="J116" s="1" t="str">
        <f t="shared" si="8"/>
        <v>High</v>
      </c>
      <c r="K116" s="1" t="str">
        <f t="shared" si="9"/>
        <v>High</v>
      </c>
      <c r="L116" s="1" t="str">
        <f t="shared" si="10"/>
        <v>Low</v>
      </c>
      <c r="M116" s="1" t="str">
        <f t="shared" si="11"/>
        <v>High</v>
      </c>
    </row>
    <row r="117" spans="1:13" x14ac:dyDescent="0.15">
      <c r="A117" s="17">
        <v>43553</v>
      </c>
      <c r="B117" s="5">
        <v>1.9528920691711527E-2</v>
      </c>
      <c r="C117" s="5">
        <v>-0.1223021582733812</v>
      </c>
      <c r="D117" s="5">
        <v>1.7651542504111273E-3</v>
      </c>
      <c r="E117" s="5">
        <v>-1.4354066985645786E-2</v>
      </c>
      <c r="F117" s="5">
        <v>-0.69230769230769229</v>
      </c>
      <c r="G117" s="5">
        <v>-1.8296491552647454E-2</v>
      </c>
      <c r="H117" s="1" t="str">
        <f t="shared" si="6"/>
        <v>High</v>
      </c>
      <c r="I117" s="1" t="str">
        <f t="shared" si="7"/>
        <v>High</v>
      </c>
      <c r="J117" s="1" t="str">
        <f t="shared" si="8"/>
        <v>Low</v>
      </c>
      <c r="K117" s="1" t="str">
        <f t="shared" si="9"/>
        <v>Low</v>
      </c>
      <c r="L117" s="1" t="str">
        <f t="shared" si="10"/>
        <v>Low</v>
      </c>
      <c r="M117" s="1" t="str">
        <f t="shared" si="11"/>
        <v>Low</v>
      </c>
    </row>
    <row r="118" spans="1:13" x14ac:dyDescent="0.15">
      <c r="A118" s="17">
        <v>43560</v>
      </c>
      <c r="B118" s="5">
        <v>3.0560023395233227E-2</v>
      </c>
      <c r="C118" s="5">
        <v>0.10655737704918034</v>
      </c>
      <c r="D118" s="5">
        <v>1.7576388610788474E-2</v>
      </c>
      <c r="E118" s="5">
        <v>2.8640776699029091E-2</v>
      </c>
      <c r="F118" s="5">
        <v>-3.5</v>
      </c>
      <c r="G118" s="5">
        <v>-9.1051454596139392E-2</v>
      </c>
      <c r="H118" s="1" t="str">
        <f t="shared" si="6"/>
        <v>High</v>
      </c>
      <c r="I118" s="1" t="str">
        <f t="shared" si="7"/>
        <v>High</v>
      </c>
      <c r="J118" s="1" t="str">
        <f t="shared" si="8"/>
        <v>High</v>
      </c>
      <c r="K118" s="1" t="str">
        <f t="shared" si="9"/>
        <v>High</v>
      </c>
      <c r="L118" s="1" t="str">
        <f t="shared" si="10"/>
        <v>Low</v>
      </c>
      <c r="M118" s="1" t="str">
        <f t="shared" si="11"/>
        <v>Low</v>
      </c>
    </row>
    <row r="119" spans="1:13" x14ac:dyDescent="0.15">
      <c r="A119" s="17">
        <v>43567</v>
      </c>
      <c r="B119" s="5">
        <v>1.5181611804767181E-2</v>
      </c>
      <c r="C119" s="5">
        <v>2.5925925925925908E-2</v>
      </c>
      <c r="D119" s="5">
        <v>7.3711427435763088E-3</v>
      </c>
      <c r="E119" s="5">
        <v>1.2269938650306678E-2</v>
      </c>
      <c r="F119" s="5">
        <v>-0.9</v>
      </c>
      <c r="G119" s="5">
        <v>0.22894042869599041</v>
      </c>
      <c r="H119" s="1" t="str">
        <f t="shared" si="6"/>
        <v>High</v>
      </c>
      <c r="I119" s="1" t="str">
        <f t="shared" si="7"/>
        <v>High</v>
      </c>
      <c r="J119" s="1" t="str">
        <f t="shared" si="8"/>
        <v>High</v>
      </c>
      <c r="K119" s="1" t="str">
        <f t="shared" si="9"/>
        <v>High</v>
      </c>
      <c r="L119" s="1" t="str">
        <f t="shared" si="10"/>
        <v>Low</v>
      </c>
      <c r="M119" s="1" t="str">
        <f t="shared" si="11"/>
        <v>High</v>
      </c>
    </row>
    <row r="120" spans="1:13" x14ac:dyDescent="0.15">
      <c r="A120" s="17">
        <v>43581</v>
      </c>
      <c r="B120" s="5">
        <v>-6.110262463546845E-3</v>
      </c>
      <c r="C120" s="5">
        <v>0</v>
      </c>
      <c r="D120" s="5">
        <v>0</v>
      </c>
      <c r="E120" s="5">
        <v>-1.4265991716520876E-2</v>
      </c>
      <c r="F120" s="5">
        <v>-1.6666666666666667</v>
      </c>
      <c r="G120" s="5">
        <v>0.13512029983184148</v>
      </c>
      <c r="H120" s="1" t="str">
        <f t="shared" si="6"/>
        <v>Low</v>
      </c>
      <c r="I120" s="1" t="str">
        <f t="shared" si="7"/>
        <v>High</v>
      </c>
      <c r="J120" s="1" t="str">
        <f t="shared" si="8"/>
        <v>Low</v>
      </c>
      <c r="K120" s="1" t="str">
        <f t="shared" si="9"/>
        <v>Low</v>
      </c>
      <c r="L120" s="1" t="str">
        <f t="shared" si="10"/>
        <v>Low</v>
      </c>
      <c r="M120" s="1" t="str">
        <f t="shared" si="11"/>
        <v>High</v>
      </c>
    </row>
    <row r="121" spans="1:13" x14ac:dyDescent="0.15">
      <c r="A121" s="17">
        <v>43588</v>
      </c>
      <c r="B121" s="5">
        <v>-1.1038144473941469E-2</v>
      </c>
      <c r="C121" s="5">
        <v>-1.6226415094339623</v>
      </c>
      <c r="D121" s="5">
        <v>6.7207027288471721E-3</v>
      </c>
      <c r="E121" s="5">
        <v>6.5359477124180554E-3</v>
      </c>
      <c r="F121" s="5">
        <v>3.5</v>
      </c>
      <c r="G121" s="5">
        <v>1.7552677745436007E-4</v>
      </c>
      <c r="H121" s="1" t="str">
        <f t="shared" si="6"/>
        <v>Low</v>
      </c>
      <c r="I121" s="1" t="str">
        <f t="shared" si="7"/>
        <v>Low</v>
      </c>
      <c r="J121" s="1" t="str">
        <f t="shared" si="8"/>
        <v>High</v>
      </c>
      <c r="K121" s="1" t="str">
        <f t="shared" si="9"/>
        <v>High</v>
      </c>
      <c r="L121" s="1" t="str">
        <f t="shared" si="10"/>
        <v>High</v>
      </c>
      <c r="M121" s="1" t="str">
        <f t="shared" si="11"/>
        <v>Low</v>
      </c>
    </row>
    <row r="122" spans="1:13" x14ac:dyDescent="0.15">
      <c r="A122" s="17">
        <v>43602</v>
      </c>
      <c r="B122" s="5">
        <v>1.9638315908448778E-2</v>
      </c>
      <c r="C122" s="5">
        <v>-4.1666666666666661</v>
      </c>
      <c r="D122" s="5">
        <v>-1.3444661849317807E-3</v>
      </c>
      <c r="E122" s="5">
        <v>-1.9480519480519431E-2</v>
      </c>
      <c r="F122" s="5">
        <v>-1.0555555555555556</v>
      </c>
      <c r="G122" s="5">
        <v>-8.2941997315965077E-3</v>
      </c>
      <c r="H122" s="1" t="str">
        <f t="shared" si="6"/>
        <v>High</v>
      </c>
      <c r="I122" s="1" t="str">
        <f t="shared" si="7"/>
        <v>Low</v>
      </c>
      <c r="J122" s="1" t="str">
        <f t="shared" si="8"/>
        <v>Low</v>
      </c>
      <c r="K122" s="1" t="str">
        <f t="shared" si="9"/>
        <v>Low</v>
      </c>
      <c r="L122" s="1" t="str">
        <f t="shared" si="10"/>
        <v>Low</v>
      </c>
      <c r="M122" s="1" t="str">
        <f t="shared" si="11"/>
        <v>Low</v>
      </c>
    </row>
    <row r="123" spans="1:13" x14ac:dyDescent="0.15">
      <c r="A123" s="17">
        <v>43616</v>
      </c>
      <c r="B123" s="5">
        <v>-0.10669253152279345</v>
      </c>
      <c r="C123" s="5">
        <v>-3.1483253588516749</v>
      </c>
      <c r="D123" s="5">
        <v>3.4083678631841918E-2</v>
      </c>
      <c r="E123" s="5">
        <v>2.3651844843897818E-2</v>
      </c>
      <c r="F123" s="5">
        <v>19</v>
      </c>
      <c r="G123" s="5">
        <v>-8.6993846905893069E-2</v>
      </c>
      <c r="H123" s="1" t="str">
        <f t="shared" si="6"/>
        <v>Low</v>
      </c>
      <c r="I123" s="1" t="str">
        <f t="shared" si="7"/>
        <v>Low</v>
      </c>
      <c r="J123" s="1" t="str">
        <f t="shared" si="8"/>
        <v>High</v>
      </c>
      <c r="K123" s="1" t="str">
        <f t="shared" si="9"/>
        <v>High</v>
      </c>
      <c r="L123" s="1" t="str">
        <f t="shared" si="10"/>
        <v>High</v>
      </c>
      <c r="M123" s="1" t="str">
        <f t="shared" si="11"/>
        <v>Low</v>
      </c>
    </row>
    <row r="124" spans="1:13" x14ac:dyDescent="0.15">
      <c r="A124" s="17">
        <v>43623</v>
      </c>
      <c r="B124" s="5">
        <v>-1.9078641228478355E-2</v>
      </c>
      <c r="C124" s="5">
        <v>-0.31848552338530067</v>
      </c>
      <c r="D124" s="5">
        <v>2.4117088690706279E-2</v>
      </c>
      <c r="E124" s="5">
        <v>3.1423290203327126E-2</v>
      </c>
      <c r="F124" s="5">
        <v>1</v>
      </c>
      <c r="G124" s="5">
        <v>0.15200424063636064</v>
      </c>
      <c r="H124" s="1" t="str">
        <f t="shared" si="6"/>
        <v>Low</v>
      </c>
      <c r="I124" s="1" t="str">
        <f t="shared" si="7"/>
        <v>High</v>
      </c>
      <c r="J124" s="1" t="str">
        <f t="shared" si="8"/>
        <v>High</v>
      </c>
      <c r="K124" s="1" t="str">
        <f t="shared" si="9"/>
        <v>High</v>
      </c>
      <c r="L124" s="1" t="str">
        <f t="shared" si="10"/>
        <v>High</v>
      </c>
      <c r="M124" s="1" t="str">
        <f t="shared" si="11"/>
        <v>High</v>
      </c>
    </row>
    <row r="125" spans="1:13" x14ac:dyDescent="0.15">
      <c r="A125" s="17">
        <v>43630</v>
      </c>
      <c r="B125" s="5">
        <v>-1.8975332068311257E-2</v>
      </c>
      <c r="C125" s="5">
        <v>-1.6666666666666665</v>
      </c>
      <c r="D125" s="5">
        <v>3.5426306322148271E-3</v>
      </c>
      <c r="E125" s="5">
        <v>2.1057347670250914E-2</v>
      </c>
      <c r="F125" s="5">
        <v>-2.5000000000000022E-2</v>
      </c>
      <c r="G125" s="5">
        <v>-9.0410564082143319E-2</v>
      </c>
      <c r="H125" s="1" t="str">
        <f t="shared" si="6"/>
        <v>Low</v>
      </c>
      <c r="I125" s="1" t="str">
        <f t="shared" si="7"/>
        <v>Low</v>
      </c>
      <c r="J125" s="1" t="str">
        <f t="shared" si="8"/>
        <v>High</v>
      </c>
      <c r="K125" s="1" t="str">
        <f t="shared" si="9"/>
        <v>High</v>
      </c>
      <c r="L125" s="1" t="str">
        <f t="shared" si="10"/>
        <v>Low</v>
      </c>
      <c r="M125" s="1" t="str">
        <f t="shared" si="11"/>
        <v>Low</v>
      </c>
    </row>
    <row r="126" spans="1:13" x14ac:dyDescent="0.15">
      <c r="A126" s="17">
        <v>43637</v>
      </c>
      <c r="B126" s="5">
        <v>5.3352675693101093E-2</v>
      </c>
      <c r="C126" s="5">
        <v>2.8186274509803919</v>
      </c>
      <c r="D126" s="5">
        <v>8.0130545252765639E-3</v>
      </c>
      <c r="E126" s="5">
        <v>3.8174637999122574E-2</v>
      </c>
      <c r="F126" s="5">
        <v>0.20512820512820529</v>
      </c>
      <c r="G126" s="5">
        <v>-9.1737892267886978E-2</v>
      </c>
      <c r="H126" s="1" t="str">
        <f t="shared" si="6"/>
        <v>High</v>
      </c>
      <c r="I126" s="1" t="str">
        <f t="shared" si="7"/>
        <v>High</v>
      </c>
      <c r="J126" s="1" t="str">
        <f t="shared" si="8"/>
        <v>High</v>
      </c>
      <c r="K126" s="1" t="str">
        <f t="shared" si="9"/>
        <v>High</v>
      </c>
      <c r="L126" s="1" t="str">
        <f t="shared" si="10"/>
        <v>High</v>
      </c>
      <c r="M126" s="1" t="str">
        <f t="shared" si="11"/>
        <v>Low</v>
      </c>
    </row>
    <row r="127" spans="1:13" x14ac:dyDescent="0.15">
      <c r="A127" s="17">
        <v>43644</v>
      </c>
      <c r="B127" s="5">
        <v>1.7750573833205996E-2</v>
      </c>
      <c r="C127" s="5">
        <v>3.4659820282413323E-2</v>
      </c>
      <c r="D127" s="5">
        <v>1.6731673927923296E-3</v>
      </c>
      <c r="E127" s="5">
        <v>-1.2679628064243831E-3</v>
      </c>
      <c r="F127" s="5">
        <v>-0.23404255319148937</v>
      </c>
      <c r="G127" s="5">
        <v>1.0626430781072393E-2</v>
      </c>
      <c r="H127" s="1" t="str">
        <f t="shared" si="6"/>
        <v>High</v>
      </c>
      <c r="I127" s="1" t="str">
        <f t="shared" si="7"/>
        <v>High</v>
      </c>
      <c r="J127" s="1" t="str">
        <f t="shared" si="8"/>
        <v>Low</v>
      </c>
      <c r="K127" s="1" t="str">
        <f t="shared" si="9"/>
        <v>Low</v>
      </c>
      <c r="L127" s="1" t="str">
        <f t="shared" si="10"/>
        <v>Low</v>
      </c>
      <c r="M127" s="1" t="str">
        <f t="shared" si="11"/>
        <v>Low</v>
      </c>
    </row>
    <row r="128" spans="1:13" x14ac:dyDescent="0.15">
      <c r="A128" s="17">
        <v>43651</v>
      </c>
      <c r="B128" s="5">
        <v>-3.1123139377537301E-2</v>
      </c>
      <c r="C128" s="5">
        <v>-0.32630272952853601</v>
      </c>
      <c r="D128" s="5">
        <v>2.5127899199161252E-2</v>
      </c>
      <c r="E128" s="5">
        <v>9.3101988997039697E-3</v>
      </c>
      <c r="F128" s="5">
        <v>0.11111111111111116</v>
      </c>
      <c r="G128" s="5">
        <v>-0.12866217778739752</v>
      </c>
      <c r="H128" s="1" t="str">
        <f t="shared" si="6"/>
        <v>Low</v>
      </c>
      <c r="I128" s="1" t="str">
        <f t="shared" si="7"/>
        <v>High</v>
      </c>
      <c r="J128" s="1" t="str">
        <f t="shared" si="8"/>
        <v>High</v>
      </c>
      <c r="K128" s="1" t="str">
        <f t="shared" si="9"/>
        <v>High</v>
      </c>
      <c r="L128" s="1" t="str">
        <f t="shared" si="10"/>
        <v>Low</v>
      </c>
      <c r="M128" s="1" t="str">
        <f t="shared" si="11"/>
        <v>Low</v>
      </c>
    </row>
    <row r="129" spans="1:13" x14ac:dyDescent="0.15">
      <c r="A129" s="17">
        <v>43658</v>
      </c>
      <c r="B129" s="5">
        <v>3.9726877715704489E-2</v>
      </c>
      <c r="C129" s="5">
        <v>0.68139963167587503</v>
      </c>
      <c r="D129" s="5">
        <v>-2.0374909623150583E-2</v>
      </c>
      <c r="E129" s="5">
        <v>2.9350104821803669E-3</v>
      </c>
      <c r="F129" s="5">
        <v>0</v>
      </c>
      <c r="G129" s="5">
        <v>0.17167152146226439</v>
      </c>
      <c r="H129" s="1" t="str">
        <f t="shared" si="6"/>
        <v>High</v>
      </c>
      <c r="I129" s="1" t="str">
        <f t="shared" si="7"/>
        <v>High</v>
      </c>
      <c r="J129" s="1" t="str">
        <f t="shared" si="8"/>
        <v>Low</v>
      </c>
      <c r="K129" s="1" t="str">
        <f t="shared" si="9"/>
        <v>High</v>
      </c>
      <c r="L129" s="1" t="str">
        <f t="shared" si="10"/>
        <v>Low</v>
      </c>
      <c r="M129" s="1" t="str">
        <f t="shared" si="11"/>
        <v>High</v>
      </c>
    </row>
    <row r="130" spans="1:13" x14ac:dyDescent="0.15">
      <c r="A130" s="17">
        <v>43665</v>
      </c>
      <c r="B130" s="5">
        <v>-6.4925373134328335E-2</v>
      </c>
      <c r="C130" s="5">
        <v>-0.69441401971522454</v>
      </c>
      <c r="D130" s="5">
        <v>-2.7725574060873059E-2</v>
      </c>
      <c r="E130" s="5">
        <v>-1.0869565217391353E-2</v>
      </c>
      <c r="F130" s="5">
        <v>0</v>
      </c>
      <c r="G130" s="5">
        <v>-0.20496662895837781</v>
      </c>
      <c r="H130" s="1" t="str">
        <f t="shared" si="6"/>
        <v>Low</v>
      </c>
      <c r="I130" s="1" t="str">
        <f t="shared" si="7"/>
        <v>High</v>
      </c>
      <c r="J130" s="1" t="str">
        <f t="shared" si="8"/>
        <v>Low</v>
      </c>
      <c r="K130" s="1" t="str">
        <f t="shared" si="9"/>
        <v>Low</v>
      </c>
      <c r="L130" s="1" t="str">
        <f t="shared" si="10"/>
        <v>Low</v>
      </c>
      <c r="M130" s="1" t="str">
        <f t="shared" si="11"/>
        <v>Low</v>
      </c>
    </row>
    <row r="131" spans="1:13" x14ac:dyDescent="0.15">
      <c r="A131" s="17">
        <v>43672</v>
      </c>
      <c r="B131" s="5">
        <v>1.1811652035115694E-2</v>
      </c>
      <c r="C131" s="5">
        <v>1.1326164874551972</v>
      </c>
      <c r="D131" s="5">
        <v>5.5951151053295067E-3</v>
      </c>
      <c r="E131" s="5">
        <v>-8.4530853761621838E-4</v>
      </c>
      <c r="F131" s="5">
        <v>-1.1000000000000001</v>
      </c>
      <c r="G131" s="5">
        <v>9.7200944323923233E-2</v>
      </c>
      <c r="H131" s="1" t="str">
        <f t="shared" si="6"/>
        <v>High</v>
      </c>
      <c r="I131" s="1" t="str">
        <f t="shared" si="7"/>
        <v>High</v>
      </c>
      <c r="J131" s="1" t="str">
        <f t="shared" si="8"/>
        <v>High</v>
      </c>
      <c r="K131" s="1" t="str">
        <f t="shared" si="9"/>
        <v>Low</v>
      </c>
      <c r="L131" s="1" t="str">
        <f t="shared" si="10"/>
        <v>Low</v>
      </c>
      <c r="M131" s="1" t="str">
        <f t="shared" si="11"/>
        <v>High</v>
      </c>
    </row>
    <row r="132" spans="1:13" x14ac:dyDescent="0.15">
      <c r="A132" s="17">
        <v>43679</v>
      </c>
      <c r="B132" s="5">
        <v>-3.5021296734500718E-2</v>
      </c>
      <c r="C132" s="5">
        <v>-0.41344537815126048</v>
      </c>
      <c r="D132" s="5">
        <v>-1.501649678901773E-2</v>
      </c>
      <c r="E132" s="5">
        <v>-4.5262267343485596E-2</v>
      </c>
      <c r="F132" s="5">
        <v>3</v>
      </c>
      <c r="G132" s="5">
        <v>-9.9841543634592633E-2</v>
      </c>
      <c r="H132" s="1" t="str">
        <f t="shared" si="6"/>
        <v>Low</v>
      </c>
      <c r="I132" s="1" t="str">
        <f t="shared" si="7"/>
        <v>High</v>
      </c>
      <c r="J132" s="1" t="str">
        <f t="shared" si="8"/>
        <v>Low</v>
      </c>
      <c r="K132" s="1" t="str">
        <f t="shared" si="9"/>
        <v>Low</v>
      </c>
      <c r="L132" s="1" t="str">
        <f t="shared" si="10"/>
        <v>High</v>
      </c>
      <c r="M132" s="1" t="str">
        <f t="shared" si="11"/>
        <v>Low</v>
      </c>
    </row>
    <row r="133" spans="1:13" x14ac:dyDescent="0.15">
      <c r="A133" s="17">
        <v>43686</v>
      </c>
      <c r="B133" s="5">
        <v>-4.4956678110184778E-2</v>
      </c>
      <c r="C133" s="5">
        <v>-0.92550143266475648</v>
      </c>
      <c r="D133" s="5">
        <v>1.7981980634789174E-3</v>
      </c>
      <c r="E133" s="5">
        <v>-8.4182543198937365E-3</v>
      </c>
      <c r="F133" s="5">
        <v>-1.3125</v>
      </c>
      <c r="G133" s="5">
        <v>0.17810585780260713</v>
      </c>
      <c r="H133" s="1" t="str">
        <f t="shared" si="6"/>
        <v>Low</v>
      </c>
      <c r="I133" s="1" t="str">
        <f t="shared" si="7"/>
        <v>High</v>
      </c>
      <c r="J133" s="1" t="str">
        <f t="shared" si="8"/>
        <v>Low</v>
      </c>
      <c r="K133" s="1" t="str">
        <f t="shared" si="9"/>
        <v>Low</v>
      </c>
      <c r="L133" s="1" t="str">
        <f t="shared" si="10"/>
        <v>Low</v>
      </c>
      <c r="M133" s="1" t="str">
        <f t="shared" si="11"/>
        <v>High</v>
      </c>
    </row>
    <row r="134" spans="1:13" x14ac:dyDescent="0.15">
      <c r="A134" s="17">
        <v>43693</v>
      </c>
      <c r="B134" s="5">
        <v>3.765833618623704E-3</v>
      </c>
      <c r="C134" s="5">
        <v>15.461538461538463</v>
      </c>
      <c r="D134" s="5">
        <v>-2.4073500490724875E-2</v>
      </c>
      <c r="E134" s="5">
        <v>-4.0661304736371751E-2</v>
      </c>
      <c r="F134" s="5">
        <v>2</v>
      </c>
      <c r="G134" s="5">
        <v>-1.5384905906818735E-2</v>
      </c>
      <c r="H134" s="1" t="str">
        <f t="shared" si="6"/>
        <v>High</v>
      </c>
      <c r="I134" s="1" t="str">
        <f t="shared" si="7"/>
        <v>High</v>
      </c>
      <c r="J134" s="1" t="str">
        <f t="shared" si="8"/>
        <v>Low</v>
      </c>
      <c r="K134" s="1" t="str">
        <f t="shared" si="9"/>
        <v>Low</v>
      </c>
      <c r="L134" s="1" t="str">
        <f t="shared" si="10"/>
        <v>High</v>
      </c>
      <c r="M134" s="1" t="str">
        <f t="shared" si="11"/>
        <v>Low</v>
      </c>
    </row>
    <row r="135" spans="1:13" x14ac:dyDescent="0.15">
      <c r="A135" s="17">
        <v>43700</v>
      </c>
      <c r="B135" s="5">
        <v>5.1159618008185248E-3</v>
      </c>
      <c r="C135" s="5">
        <v>-0.63317757009345788</v>
      </c>
      <c r="D135" s="5">
        <v>1.7413582135209493E-2</v>
      </c>
      <c r="E135" s="5">
        <v>1.2575687005123459E-2</v>
      </c>
      <c r="F135" s="5">
        <v>0</v>
      </c>
      <c r="G135" s="5">
        <v>2.1315581318713805E-2</v>
      </c>
      <c r="H135" s="1" t="str">
        <f t="shared" si="6"/>
        <v>High</v>
      </c>
      <c r="I135" s="1" t="str">
        <f t="shared" si="7"/>
        <v>High</v>
      </c>
      <c r="J135" s="1" t="str">
        <f t="shared" si="8"/>
        <v>High</v>
      </c>
      <c r="K135" s="1" t="str">
        <f t="shared" si="9"/>
        <v>High</v>
      </c>
      <c r="L135" s="1" t="str">
        <f t="shared" si="10"/>
        <v>Low</v>
      </c>
      <c r="M135" s="1" t="str">
        <f t="shared" si="11"/>
        <v>Low</v>
      </c>
    </row>
    <row r="136" spans="1:13" x14ac:dyDescent="0.15">
      <c r="A136" s="17">
        <v>43707</v>
      </c>
      <c r="B136" s="5">
        <v>2.5279945707499252E-2</v>
      </c>
      <c r="C136" s="5">
        <v>0.42675159235668803</v>
      </c>
      <c r="D136" s="5">
        <v>2.9803738809504265E-2</v>
      </c>
      <c r="E136" s="5">
        <v>2.3919043238270543E-2</v>
      </c>
      <c r="F136" s="5">
        <v>0.33333333333333326</v>
      </c>
      <c r="G136" s="5">
        <v>-0.12470528417839277</v>
      </c>
      <c r="H136" s="1" t="str">
        <f t="shared" si="6"/>
        <v>High</v>
      </c>
      <c r="I136" s="1" t="str">
        <f t="shared" si="7"/>
        <v>High</v>
      </c>
      <c r="J136" s="1" t="str">
        <f t="shared" si="8"/>
        <v>High</v>
      </c>
      <c r="K136" s="1" t="str">
        <f t="shared" si="9"/>
        <v>High</v>
      </c>
      <c r="L136" s="1" t="str">
        <f t="shared" si="10"/>
        <v>High</v>
      </c>
      <c r="M136" s="1" t="str">
        <f t="shared" si="11"/>
        <v>Low</v>
      </c>
    </row>
    <row r="137" spans="1:13" x14ac:dyDescent="0.15">
      <c r="A137" s="17">
        <v>43714</v>
      </c>
      <c r="B137" s="5">
        <v>2.2339897401952635E-2</v>
      </c>
      <c r="C137" s="5">
        <v>-0.65625</v>
      </c>
      <c r="D137" s="5">
        <v>2.0988744689858674E-2</v>
      </c>
      <c r="E137" s="5">
        <v>3.638814016172498E-2</v>
      </c>
      <c r="F137" s="5">
        <v>1.2000000000000002</v>
      </c>
      <c r="G137" s="5">
        <v>0.33388515544610309</v>
      </c>
      <c r="H137" s="1" t="str">
        <f t="shared" si="6"/>
        <v>High</v>
      </c>
      <c r="I137" s="1" t="str">
        <f t="shared" si="7"/>
        <v>High</v>
      </c>
      <c r="J137" s="1" t="str">
        <f t="shared" si="8"/>
        <v>High</v>
      </c>
      <c r="K137" s="1" t="str">
        <f t="shared" si="9"/>
        <v>High</v>
      </c>
      <c r="L137" s="1" t="str">
        <f t="shared" si="10"/>
        <v>High</v>
      </c>
      <c r="M137" s="1" t="str">
        <f t="shared" si="11"/>
        <v>High</v>
      </c>
    </row>
    <row r="138" spans="1:13" x14ac:dyDescent="0.15">
      <c r="A138" s="17">
        <v>43721</v>
      </c>
      <c r="B138" s="5">
        <v>-2.476529621236645E-2</v>
      </c>
      <c r="C138" s="5">
        <v>-0.32467532467532467</v>
      </c>
      <c r="D138" s="5">
        <v>-2.0768172150633646E-3</v>
      </c>
      <c r="E138" s="5">
        <v>2.3407022106632036E-2</v>
      </c>
      <c r="F138" s="5">
        <v>-0.25000000000000011</v>
      </c>
      <c r="G138" s="5">
        <v>-6.3704862887431268E-2</v>
      </c>
      <c r="H138" s="1" t="str">
        <f t="shared" si="6"/>
        <v>Low</v>
      </c>
      <c r="I138" s="1" t="str">
        <f t="shared" si="7"/>
        <v>High</v>
      </c>
      <c r="J138" s="1" t="str">
        <f t="shared" si="8"/>
        <v>Low</v>
      </c>
      <c r="K138" s="1" t="str">
        <f t="shared" si="9"/>
        <v>High</v>
      </c>
      <c r="L138" s="1" t="str">
        <f t="shared" si="10"/>
        <v>Low</v>
      </c>
      <c r="M138" s="1" t="str">
        <f t="shared" si="11"/>
        <v>Low</v>
      </c>
    </row>
    <row r="139" spans="1:13" x14ac:dyDescent="0.15">
      <c r="A139" s="17">
        <v>43728</v>
      </c>
      <c r="B139" s="5">
        <v>7.5020746887966672E-2</v>
      </c>
      <c r="C139" s="5">
        <v>4.2692307692307692</v>
      </c>
      <c r="D139" s="5">
        <v>1.6727918788999041E-3</v>
      </c>
      <c r="E139" s="5">
        <v>-7.6238881829733263E-3</v>
      </c>
      <c r="F139" s="5">
        <v>-0.45454545454545447</v>
      </c>
      <c r="G139" s="5">
        <v>-2.7267071558835676E-2</v>
      </c>
      <c r="H139" s="1" t="str">
        <f t="shared" ref="H139:H202" si="12">IF(B139&gt;$Q$9,"High","Low")</f>
        <v>High</v>
      </c>
      <c r="I139" s="1" t="str">
        <f t="shared" ref="I139:I202" si="13">IF(C139&gt;$Q$10,"High","Low")</f>
        <v>High</v>
      </c>
      <c r="J139" s="1" t="str">
        <f t="shared" ref="J139:J202" si="14">IF(D139&gt;$Q$11,"High","Low")</f>
        <v>Low</v>
      </c>
      <c r="K139" s="1" t="str">
        <f t="shared" ref="K139:K202" si="15">IF(E139&gt;$Q$12,"High","Low")</f>
        <v>Low</v>
      </c>
      <c r="L139" s="1" t="str">
        <f t="shared" ref="L139:L202" si="16">IF(F139&gt;$Q$13,"High","Low")</f>
        <v>Low</v>
      </c>
      <c r="M139" s="1" t="str">
        <f t="shared" ref="M139:M202" si="17">IF(G139&gt;$Q$14,"High","Low")</f>
        <v>Low</v>
      </c>
    </row>
    <row r="140" spans="1:13" x14ac:dyDescent="0.15">
      <c r="A140" s="17">
        <v>43735</v>
      </c>
      <c r="B140" s="5">
        <v>-4.415624517523542E-2</v>
      </c>
      <c r="C140" s="5">
        <v>-1.6277372262773722</v>
      </c>
      <c r="D140" s="5">
        <v>-1.3742620002074046E-2</v>
      </c>
      <c r="E140" s="5">
        <v>-1.9206145966709331E-2</v>
      </c>
      <c r="F140" s="5">
        <v>2.1666666666666665</v>
      </c>
      <c r="G140" s="5">
        <v>-0.11947212288368558</v>
      </c>
      <c r="H140" s="1" t="str">
        <f t="shared" si="12"/>
        <v>Low</v>
      </c>
      <c r="I140" s="1" t="str">
        <f t="shared" si="13"/>
        <v>Low</v>
      </c>
      <c r="J140" s="1" t="str">
        <f t="shared" si="14"/>
        <v>Low</v>
      </c>
      <c r="K140" s="1" t="str">
        <f t="shared" si="15"/>
        <v>Low</v>
      </c>
      <c r="L140" s="1" t="str">
        <f t="shared" si="16"/>
        <v>High</v>
      </c>
      <c r="M140" s="1" t="str">
        <f t="shared" si="17"/>
        <v>Low</v>
      </c>
    </row>
    <row r="141" spans="1:13" x14ac:dyDescent="0.15">
      <c r="A141" s="17">
        <v>43742</v>
      </c>
      <c r="B141" s="5">
        <v>-5.6210628331448853E-2</v>
      </c>
      <c r="C141" s="5">
        <v>-7.5581395348837122E-2</v>
      </c>
      <c r="D141" s="5">
        <v>-2.3723884872261514E-2</v>
      </c>
      <c r="E141" s="5">
        <v>-2.0452567449956383E-2</v>
      </c>
      <c r="F141" s="5">
        <v>-0.26315789473684215</v>
      </c>
      <c r="G141" s="5">
        <v>0.36921913769444137</v>
      </c>
      <c r="H141" s="1" t="str">
        <f t="shared" si="12"/>
        <v>Low</v>
      </c>
      <c r="I141" s="1" t="str">
        <f t="shared" si="13"/>
        <v>High</v>
      </c>
      <c r="J141" s="1" t="str">
        <f t="shared" si="14"/>
        <v>Low</v>
      </c>
      <c r="K141" s="1" t="str">
        <f t="shared" si="15"/>
        <v>Low</v>
      </c>
      <c r="L141" s="1" t="str">
        <f t="shared" si="16"/>
        <v>Low</v>
      </c>
      <c r="M141" s="1" t="str">
        <f t="shared" si="17"/>
        <v>High</v>
      </c>
    </row>
    <row r="142" spans="1:13" x14ac:dyDescent="0.15">
      <c r="A142" s="17">
        <v>43749</v>
      </c>
      <c r="B142" s="5">
        <v>3.8507615950710283E-2</v>
      </c>
      <c r="C142" s="5">
        <v>-3.0503144654088046</v>
      </c>
      <c r="D142" s="5">
        <v>5.7640526638316203E-3</v>
      </c>
      <c r="E142" s="5">
        <v>1.8214127054642315E-2</v>
      </c>
      <c r="F142" s="5">
        <v>-0.23809523809523814</v>
      </c>
      <c r="G142" s="5">
        <v>-0.16090851806287232</v>
      </c>
      <c r="H142" s="1" t="str">
        <f t="shared" si="12"/>
        <v>High</v>
      </c>
      <c r="I142" s="1" t="str">
        <f t="shared" si="13"/>
        <v>Low</v>
      </c>
      <c r="J142" s="1" t="str">
        <f t="shared" si="14"/>
        <v>High</v>
      </c>
      <c r="K142" s="1" t="str">
        <f t="shared" si="15"/>
        <v>High</v>
      </c>
      <c r="L142" s="1" t="str">
        <f t="shared" si="16"/>
        <v>Low</v>
      </c>
      <c r="M142" s="1" t="str">
        <f t="shared" si="17"/>
        <v>Low</v>
      </c>
    </row>
    <row r="143" spans="1:13" x14ac:dyDescent="0.15">
      <c r="A143" s="17">
        <v>43756</v>
      </c>
      <c r="B143" s="5">
        <v>-2.2742254449571564E-2</v>
      </c>
      <c r="C143" s="5">
        <v>-0.44785276073619629</v>
      </c>
      <c r="D143" s="5">
        <v>1.6557917631375707E-2</v>
      </c>
      <c r="E143" s="5">
        <v>4.3630017452005454E-3</v>
      </c>
      <c r="F143" s="5">
        <v>0.3125</v>
      </c>
      <c r="G143" s="5">
        <v>-6.1262112888136766E-2</v>
      </c>
      <c r="H143" s="1" t="str">
        <f t="shared" si="12"/>
        <v>Low</v>
      </c>
      <c r="I143" s="1" t="str">
        <f t="shared" si="13"/>
        <v>High</v>
      </c>
      <c r="J143" s="1" t="str">
        <f t="shared" si="14"/>
        <v>High</v>
      </c>
      <c r="K143" s="1" t="str">
        <f t="shared" si="15"/>
        <v>High</v>
      </c>
      <c r="L143" s="1" t="str">
        <f t="shared" si="16"/>
        <v>High</v>
      </c>
      <c r="M143" s="1" t="str">
        <f t="shared" si="17"/>
        <v>Low</v>
      </c>
    </row>
    <row r="144" spans="1:13" x14ac:dyDescent="0.15">
      <c r="A144" s="17">
        <v>43763</v>
      </c>
      <c r="B144" s="5">
        <v>4.6037099494097955E-2</v>
      </c>
      <c r="C144" s="5">
        <v>1.5444444444444443</v>
      </c>
      <c r="D144" s="5">
        <v>4.3771863228365682E-2</v>
      </c>
      <c r="E144" s="5">
        <v>4.7350130321459627E-2</v>
      </c>
      <c r="F144" s="5">
        <v>-0.69047619047619047</v>
      </c>
      <c r="G144" s="5">
        <v>-8.2613868940551671E-2</v>
      </c>
      <c r="H144" s="1" t="str">
        <f t="shared" si="12"/>
        <v>High</v>
      </c>
      <c r="I144" s="1" t="str">
        <f t="shared" si="13"/>
        <v>High</v>
      </c>
      <c r="J144" s="1" t="str">
        <f t="shared" si="14"/>
        <v>High</v>
      </c>
      <c r="K144" s="1" t="str">
        <f t="shared" si="15"/>
        <v>High</v>
      </c>
      <c r="L144" s="1" t="str">
        <f t="shared" si="16"/>
        <v>Low</v>
      </c>
      <c r="M144" s="1" t="str">
        <f t="shared" si="17"/>
        <v>Low</v>
      </c>
    </row>
    <row r="145" spans="1:13" x14ac:dyDescent="0.15">
      <c r="A145" s="17">
        <v>43770</v>
      </c>
      <c r="B145" s="5">
        <v>-7.738191197807609E-3</v>
      </c>
      <c r="C145" s="5">
        <v>-0.6506550218340611</v>
      </c>
      <c r="D145" s="5">
        <v>1.9833577526353841E-2</v>
      </c>
      <c r="E145" s="5">
        <v>2.6545002073828261E-2</v>
      </c>
      <c r="F145" s="5">
        <v>-1.6153846153846154</v>
      </c>
      <c r="G145" s="5">
        <v>-0.21344681249678477</v>
      </c>
      <c r="H145" s="1" t="str">
        <f t="shared" si="12"/>
        <v>Low</v>
      </c>
      <c r="I145" s="1" t="str">
        <f t="shared" si="13"/>
        <v>High</v>
      </c>
      <c r="J145" s="1" t="str">
        <f t="shared" si="14"/>
        <v>High</v>
      </c>
      <c r="K145" s="1" t="str">
        <f t="shared" si="15"/>
        <v>High</v>
      </c>
      <c r="L145" s="1" t="str">
        <f t="shared" si="16"/>
        <v>Low</v>
      </c>
      <c r="M145" s="1" t="str">
        <f t="shared" si="17"/>
        <v>Low</v>
      </c>
    </row>
    <row r="146" spans="1:13" x14ac:dyDescent="0.15">
      <c r="A146" s="17">
        <v>43777</v>
      </c>
      <c r="B146" s="5">
        <v>1.7221770917952961E-2</v>
      </c>
      <c r="C146" s="5">
        <v>-1.2250000000000001</v>
      </c>
      <c r="D146" s="5">
        <v>1.460210210210211E-2</v>
      </c>
      <c r="E146" s="5">
        <v>8.8888888888889461E-3</v>
      </c>
      <c r="F146" s="5">
        <v>0</v>
      </c>
      <c r="G146" s="5">
        <v>-0.19595751046838938</v>
      </c>
      <c r="H146" s="1" t="str">
        <f t="shared" si="12"/>
        <v>High</v>
      </c>
      <c r="I146" s="1" t="str">
        <f t="shared" si="13"/>
        <v>Low</v>
      </c>
      <c r="J146" s="1" t="str">
        <f t="shared" si="14"/>
        <v>High</v>
      </c>
      <c r="K146" s="1" t="str">
        <f t="shared" si="15"/>
        <v>High</v>
      </c>
      <c r="L146" s="1" t="str">
        <f t="shared" si="16"/>
        <v>Low</v>
      </c>
      <c r="M146" s="1" t="str">
        <f t="shared" si="17"/>
        <v>Low</v>
      </c>
    </row>
    <row r="147" spans="1:13" x14ac:dyDescent="0.15">
      <c r="A147" s="17">
        <v>43784</v>
      </c>
      <c r="B147" s="5">
        <v>1.3416387158600829E-2</v>
      </c>
      <c r="C147" s="5">
        <v>1.3611111111111112</v>
      </c>
      <c r="D147" s="5">
        <v>-1.2905330638136148E-2</v>
      </c>
      <c r="E147" s="5">
        <v>-9.6115338406086437E-3</v>
      </c>
      <c r="F147" s="5">
        <v>0</v>
      </c>
      <c r="G147" s="5">
        <v>0.42397523043300001</v>
      </c>
      <c r="H147" s="1" t="str">
        <f t="shared" si="12"/>
        <v>High</v>
      </c>
      <c r="I147" s="1" t="str">
        <f t="shared" si="13"/>
        <v>High</v>
      </c>
      <c r="J147" s="1" t="str">
        <f t="shared" si="14"/>
        <v>Low</v>
      </c>
      <c r="K147" s="1" t="str">
        <f t="shared" si="15"/>
        <v>Low</v>
      </c>
      <c r="L147" s="1" t="str">
        <f t="shared" si="16"/>
        <v>Low</v>
      </c>
      <c r="M147" s="1" t="str">
        <f t="shared" si="17"/>
        <v>High</v>
      </c>
    </row>
    <row r="148" spans="1:13" x14ac:dyDescent="0.15">
      <c r="A148" s="17">
        <v>43791</v>
      </c>
      <c r="B148" s="5">
        <v>7.8802206461769941E-4</v>
      </c>
      <c r="C148" s="5">
        <v>-0.74117647058823533</v>
      </c>
      <c r="D148" s="5">
        <v>4.3818700976550051E-3</v>
      </c>
      <c r="E148" s="5">
        <v>-4.043671653861769E-3</v>
      </c>
      <c r="F148" s="5">
        <v>-3.3749999999999996</v>
      </c>
      <c r="G148" s="5">
        <v>1.1213134735983399E-2</v>
      </c>
      <c r="H148" s="1" t="str">
        <f t="shared" si="12"/>
        <v>Low</v>
      </c>
      <c r="I148" s="1" t="str">
        <f t="shared" si="13"/>
        <v>High</v>
      </c>
      <c r="J148" s="1" t="str">
        <f t="shared" si="14"/>
        <v>High</v>
      </c>
      <c r="K148" s="1" t="str">
        <f t="shared" si="15"/>
        <v>Low</v>
      </c>
      <c r="L148" s="1" t="str">
        <f t="shared" si="16"/>
        <v>Low</v>
      </c>
      <c r="M148" s="1" t="str">
        <f t="shared" si="17"/>
        <v>Low</v>
      </c>
    </row>
    <row r="149" spans="1:13" x14ac:dyDescent="0.15">
      <c r="A149" s="17">
        <v>43805</v>
      </c>
      <c r="B149" s="5">
        <v>5.4755944931164091E-3</v>
      </c>
      <c r="C149" s="5">
        <v>0</v>
      </c>
      <c r="D149" s="5">
        <v>0</v>
      </c>
      <c r="E149" s="5">
        <v>0</v>
      </c>
      <c r="F149" s="5">
        <v>0</v>
      </c>
      <c r="G149" s="5">
        <v>-0.30785508973904385</v>
      </c>
      <c r="H149" s="1" t="str">
        <f t="shared" si="12"/>
        <v>High</v>
      </c>
      <c r="I149" s="1" t="str">
        <f t="shared" si="13"/>
        <v>High</v>
      </c>
      <c r="J149" s="1" t="str">
        <f t="shared" si="14"/>
        <v>Low</v>
      </c>
      <c r="K149" s="1" t="str">
        <f t="shared" si="15"/>
        <v>Low</v>
      </c>
      <c r="L149" s="1" t="str">
        <f t="shared" si="16"/>
        <v>Low</v>
      </c>
      <c r="M149" s="1" t="str">
        <f t="shared" si="17"/>
        <v>Low</v>
      </c>
    </row>
    <row r="150" spans="1:13" x14ac:dyDescent="0.15">
      <c r="A150" s="17">
        <v>43812</v>
      </c>
      <c r="B150" s="5">
        <v>1.1202738447176008E-2</v>
      </c>
      <c r="C150" s="5">
        <v>4.1666666666666741E-2</v>
      </c>
      <c r="D150" s="5">
        <v>2.3173629795544937E-2</v>
      </c>
      <c r="E150" s="5">
        <v>4.5361667347772805E-2</v>
      </c>
      <c r="F150" s="5">
        <v>0.25</v>
      </c>
      <c r="G150" s="5">
        <v>0.79934665392376747</v>
      </c>
      <c r="H150" s="1" t="str">
        <f t="shared" si="12"/>
        <v>High</v>
      </c>
      <c r="I150" s="1" t="str">
        <f t="shared" si="13"/>
        <v>High</v>
      </c>
      <c r="J150" s="1" t="str">
        <f t="shared" si="14"/>
        <v>High</v>
      </c>
      <c r="K150" s="1" t="str">
        <f t="shared" si="15"/>
        <v>High</v>
      </c>
      <c r="L150" s="1" t="str">
        <f t="shared" si="16"/>
        <v>High</v>
      </c>
      <c r="M150" s="1" t="str">
        <f t="shared" si="17"/>
        <v>High</v>
      </c>
    </row>
    <row r="151" spans="1:13" x14ac:dyDescent="0.15">
      <c r="A151" s="17">
        <v>43819</v>
      </c>
      <c r="B151" s="5">
        <v>1.7079550700107804E-2</v>
      </c>
      <c r="C151" s="5">
        <v>-0.60499999999999998</v>
      </c>
      <c r="D151" s="5">
        <v>6.440568238321065E-3</v>
      </c>
      <c r="E151" s="5">
        <v>1.6419077404222104E-2</v>
      </c>
      <c r="F151" s="5">
        <v>0.24</v>
      </c>
      <c r="G151" s="5">
        <v>-4.0300951325289103E-2</v>
      </c>
      <c r="H151" s="1" t="str">
        <f t="shared" si="12"/>
        <v>High</v>
      </c>
      <c r="I151" s="1" t="str">
        <f t="shared" si="13"/>
        <v>High</v>
      </c>
      <c r="J151" s="1" t="str">
        <f t="shared" si="14"/>
        <v>High</v>
      </c>
      <c r="K151" s="1" t="str">
        <f t="shared" si="15"/>
        <v>High</v>
      </c>
      <c r="L151" s="1" t="str">
        <f t="shared" si="16"/>
        <v>High</v>
      </c>
      <c r="M151" s="1" t="str">
        <f t="shared" si="17"/>
        <v>Low</v>
      </c>
    </row>
    <row r="152" spans="1:13" x14ac:dyDescent="0.15">
      <c r="A152" s="17">
        <v>43826</v>
      </c>
      <c r="B152" s="5">
        <v>3.1770045385779211E-2</v>
      </c>
      <c r="C152" s="5">
        <v>0.12658227848101267</v>
      </c>
      <c r="D152" s="5">
        <v>1.1452520449745096E-2</v>
      </c>
      <c r="E152" s="5">
        <v>-3.6153846153846203E-2</v>
      </c>
      <c r="F152" s="5">
        <v>0.46774193548387077</v>
      </c>
      <c r="G152" s="5">
        <v>-8.6339509966433581E-2</v>
      </c>
      <c r="H152" s="1" t="str">
        <f t="shared" si="12"/>
        <v>High</v>
      </c>
      <c r="I152" s="1" t="str">
        <f t="shared" si="13"/>
        <v>High</v>
      </c>
      <c r="J152" s="1" t="str">
        <f t="shared" si="14"/>
        <v>High</v>
      </c>
      <c r="K152" s="1" t="str">
        <f t="shared" si="15"/>
        <v>Low</v>
      </c>
      <c r="L152" s="1" t="str">
        <f t="shared" si="16"/>
        <v>High</v>
      </c>
      <c r="M152" s="1" t="str">
        <f t="shared" si="17"/>
        <v>Low</v>
      </c>
    </row>
    <row r="153" spans="1:13" x14ac:dyDescent="0.15">
      <c r="A153" s="17">
        <v>43833</v>
      </c>
      <c r="B153" s="5">
        <v>7.3313782991202281E-3</v>
      </c>
      <c r="C153" s="5">
        <v>-1</v>
      </c>
      <c r="D153" s="5">
        <v>8.4904949073421054E-3</v>
      </c>
      <c r="E153" s="5">
        <v>1.5961691939345712E-3</v>
      </c>
      <c r="F153" s="5">
        <v>-0.23076923076923073</v>
      </c>
      <c r="G153" s="5">
        <v>5.8919888530980291E-2</v>
      </c>
      <c r="H153" s="1" t="str">
        <f t="shared" si="12"/>
        <v>High</v>
      </c>
      <c r="I153" s="1" t="str">
        <f t="shared" si="13"/>
        <v>High</v>
      </c>
      <c r="J153" s="1" t="str">
        <f t="shared" si="14"/>
        <v>High</v>
      </c>
      <c r="K153" s="1" t="str">
        <f t="shared" si="15"/>
        <v>High</v>
      </c>
      <c r="L153" s="1" t="str">
        <f t="shared" si="16"/>
        <v>Low</v>
      </c>
      <c r="M153" s="1" t="str">
        <f t="shared" si="17"/>
        <v>High</v>
      </c>
    </row>
    <row r="154" spans="1:13" x14ac:dyDescent="0.15">
      <c r="A154" s="17">
        <v>43840</v>
      </c>
      <c r="B154" s="5">
        <v>-5.2401746724890952E-2</v>
      </c>
      <c r="C154" s="5">
        <v>0</v>
      </c>
      <c r="D154" s="5">
        <v>1.5372013119358208E-2</v>
      </c>
      <c r="E154" s="5">
        <v>3.6254980079681198E-2</v>
      </c>
      <c r="F154" s="5">
        <v>-0.29999999999999993</v>
      </c>
      <c r="G154" s="5">
        <v>-1.1179306313778836E-2</v>
      </c>
      <c r="H154" s="1" t="str">
        <f t="shared" si="12"/>
        <v>Low</v>
      </c>
      <c r="I154" s="1" t="str">
        <f t="shared" si="13"/>
        <v>High</v>
      </c>
      <c r="J154" s="1" t="str">
        <f t="shared" si="14"/>
        <v>High</v>
      </c>
      <c r="K154" s="1" t="str">
        <f t="shared" si="15"/>
        <v>High</v>
      </c>
      <c r="L154" s="1" t="str">
        <f t="shared" si="16"/>
        <v>Low</v>
      </c>
      <c r="M154" s="1" t="str">
        <f t="shared" si="17"/>
        <v>Low</v>
      </c>
    </row>
    <row r="155" spans="1:13" x14ac:dyDescent="0.15">
      <c r="A155" s="17">
        <v>43847</v>
      </c>
      <c r="B155" s="5">
        <v>3.8402457757296116E-3</v>
      </c>
      <c r="C155" s="5">
        <v>-2.5348837209302326</v>
      </c>
      <c r="D155" s="5">
        <v>2.3440451265502649E-2</v>
      </c>
      <c r="E155" s="5">
        <v>2.1530180699730783E-2</v>
      </c>
      <c r="F155" s="5">
        <v>-0.28571428571428581</v>
      </c>
      <c r="G155" s="5">
        <v>7.7052693011860462E-2</v>
      </c>
      <c r="H155" s="1" t="str">
        <f t="shared" si="12"/>
        <v>High</v>
      </c>
      <c r="I155" s="1" t="str">
        <f t="shared" si="13"/>
        <v>Low</v>
      </c>
      <c r="J155" s="1" t="str">
        <f t="shared" si="14"/>
        <v>High</v>
      </c>
      <c r="K155" s="1" t="str">
        <f t="shared" si="15"/>
        <v>High</v>
      </c>
      <c r="L155" s="1" t="str">
        <f t="shared" si="16"/>
        <v>Low</v>
      </c>
      <c r="M155" s="1" t="str">
        <f t="shared" si="17"/>
        <v>High</v>
      </c>
    </row>
    <row r="156" spans="1:13" x14ac:dyDescent="0.15">
      <c r="A156" s="17">
        <v>43854</v>
      </c>
      <c r="B156" s="5">
        <v>-7.3297628156082539E-2</v>
      </c>
      <c r="C156" s="5">
        <v>-2.9696969696969697</v>
      </c>
      <c r="D156" s="5">
        <v>-1.5852956632717019E-2</v>
      </c>
      <c r="E156" s="5">
        <v>-2.6721866767030478E-2</v>
      </c>
      <c r="F156" s="5">
        <v>-2.8571428571428581E-2</v>
      </c>
      <c r="G156" s="5">
        <v>-0.12246354273405269</v>
      </c>
      <c r="H156" s="1" t="str">
        <f t="shared" si="12"/>
        <v>Low</v>
      </c>
      <c r="I156" s="1" t="str">
        <f t="shared" si="13"/>
        <v>Low</v>
      </c>
      <c r="J156" s="1" t="str">
        <f t="shared" si="14"/>
        <v>Low</v>
      </c>
      <c r="K156" s="1" t="str">
        <f t="shared" si="15"/>
        <v>Low</v>
      </c>
      <c r="L156" s="1" t="str">
        <f t="shared" si="16"/>
        <v>Low</v>
      </c>
      <c r="M156" s="1" t="str">
        <f t="shared" si="17"/>
        <v>Low</v>
      </c>
    </row>
    <row r="157" spans="1:13" x14ac:dyDescent="0.15">
      <c r="A157" s="17">
        <v>43861</v>
      </c>
      <c r="B157" s="5">
        <v>-3.9134742404227318E-2</v>
      </c>
      <c r="C157" s="5">
        <v>-0.93846153846153846</v>
      </c>
      <c r="D157" s="5">
        <v>-2.2106032674337195E-2</v>
      </c>
      <c r="E157" s="5">
        <v>-4.8723897911832847E-2</v>
      </c>
      <c r="F157" s="5">
        <v>-0.41176470588235292</v>
      </c>
      <c r="G157" s="5">
        <v>0.23245678575069095</v>
      </c>
      <c r="H157" s="1" t="str">
        <f t="shared" si="12"/>
        <v>Low</v>
      </c>
      <c r="I157" s="1" t="str">
        <f t="shared" si="13"/>
        <v>High</v>
      </c>
      <c r="J157" s="1" t="str">
        <f t="shared" si="14"/>
        <v>Low</v>
      </c>
      <c r="K157" s="1" t="str">
        <f t="shared" si="15"/>
        <v>Low</v>
      </c>
      <c r="L157" s="1" t="str">
        <f t="shared" si="16"/>
        <v>Low</v>
      </c>
      <c r="M157" s="1" t="str">
        <f t="shared" si="17"/>
        <v>High</v>
      </c>
    </row>
    <row r="158" spans="1:13" x14ac:dyDescent="0.15">
      <c r="A158" s="17">
        <v>43868</v>
      </c>
      <c r="B158" s="5">
        <v>-6.341295755284404E-2</v>
      </c>
      <c r="C158" s="5">
        <v>42.75</v>
      </c>
      <c r="D158" s="5">
        <v>3.5688167324849918E-3</v>
      </c>
      <c r="E158" s="5">
        <v>0</v>
      </c>
      <c r="F158" s="5">
        <v>0.5</v>
      </c>
      <c r="G158" s="5">
        <v>-0.16048107499426345</v>
      </c>
      <c r="H158" s="1" t="str">
        <f t="shared" si="12"/>
        <v>Low</v>
      </c>
      <c r="I158" s="1" t="str">
        <f t="shared" si="13"/>
        <v>High</v>
      </c>
      <c r="J158" s="1" t="str">
        <f t="shared" si="14"/>
        <v>High</v>
      </c>
      <c r="K158" s="1" t="str">
        <f t="shared" si="15"/>
        <v>Low</v>
      </c>
      <c r="L158" s="1" t="str">
        <f t="shared" si="16"/>
        <v>High</v>
      </c>
      <c r="M158" s="1" t="str">
        <f t="shared" si="17"/>
        <v>Low</v>
      </c>
    </row>
    <row r="159" spans="1:13" x14ac:dyDescent="0.15">
      <c r="A159" s="17">
        <v>43875</v>
      </c>
      <c r="B159" s="5">
        <v>5.0275229357798157E-2</v>
      </c>
      <c r="C159" s="5">
        <v>0.8342857142857143</v>
      </c>
      <c r="D159" s="5">
        <v>2.995825276992381E-3</v>
      </c>
      <c r="E159" s="5">
        <v>7.7235772357722166E-3</v>
      </c>
      <c r="F159" s="5">
        <v>-0.4</v>
      </c>
      <c r="G159" s="5">
        <v>4.0961890488400599E-2</v>
      </c>
      <c r="H159" s="1" t="str">
        <f t="shared" si="12"/>
        <v>High</v>
      </c>
      <c r="I159" s="1" t="str">
        <f t="shared" si="13"/>
        <v>High</v>
      </c>
      <c r="J159" s="1" t="str">
        <f t="shared" si="14"/>
        <v>High</v>
      </c>
      <c r="K159" s="1" t="str">
        <f t="shared" si="15"/>
        <v>High</v>
      </c>
      <c r="L159" s="1" t="str">
        <f t="shared" si="16"/>
        <v>Low</v>
      </c>
      <c r="M159" s="1" t="str">
        <f t="shared" si="17"/>
        <v>High</v>
      </c>
    </row>
    <row r="160" spans="1:13" x14ac:dyDescent="0.15">
      <c r="A160" s="17">
        <v>43882</v>
      </c>
      <c r="B160" s="5">
        <v>1.9566736547868668E-2</v>
      </c>
      <c r="C160" s="5">
        <v>-0.41588785046728971</v>
      </c>
      <c r="D160" s="5">
        <v>2.9545865516262815E-3</v>
      </c>
      <c r="E160" s="5">
        <v>0</v>
      </c>
      <c r="F160" s="5">
        <v>1.1666666666666665</v>
      </c>
      <c r="G160" s="5">
        <v>0.13713002912188021</v>
      </c>
      <c r="H160" s="1" t="str">
        <f t="shared" si="12"/>
        <v>High</v>
      </c>
      <c r="I160" s="1" t="str">
        <f t="shared" si="13"/>
        <v>High</v>
      </c>
      <c r="J160" s="1" t="str">
        <f t="shared" si="14"/>
        <v>High</v>
      </c>
      <c r="K160" s="1" t="str">
        <f t="shared" si="15"/>
        <v>Low</v>
      </c>
      <c r="L160" s="1" t="str">
        <f t="shared" si="16"/>
        <v>High</v>
      </c>
      <c r="M160" s="1" t="str">
        <f t="shared" si="17"/>
        <v>High</v>
      </c>
    </row>
    <row r="161" spans="1:13" x14ac:dyDescent="0.15">
      <c r="A161" s="17">
        <v>43889</v>
      </c>
      <c r="B161" s="5">
        <v>-0.13468128855380401</v>
      </c>
      <c r="C161" s="5">
        <v>-3.1760000000000002</v>
      </c>
      <c r="D161" s="5">
        <v>-0.10333126209341192</v>
      </c>
      <c r="E161" s="5">
        <v>-0.13795885437676481</v>
      </c>
      <c r="F161" s="5">
        <v>0.12820512820512842</v>
      </c>
      <c r="G161" s="5">
        <v>-8.9098709966752399E-2</v>
      </c>
      <c r="H161" s="1" t="str">
        <f t="shared" si="12"/>
        <v>Low</v>
      </c>
      <c r="I161" s="1" t="str">
        <f t="shared" si="13"/>
        <v>Low</v>
      </c>
      <c r="J161" s="1" t="str">
        <f t="shared" si="14"/>
        <v>Low</v>
      </c>
      <c r="K161" s="1" t="str">
        <f t="shared" si="15"/>
        <v>Low</v>
      </c>
      <c r="L161" s="1" t="str">
        <f t="shared" si="16"/>
        <v>Low</v>
      </c>
      <c r="M161" s="1" t="str">
        <f t="shared" si="17"/>
        <v>Low</v>
      </c>
    </row>
    <row r="162" spans="1:13" x14ac:dyDescent="0.15">
      <c r="A162" s="17">
        <v>43896</v>
      </c>
      <c r="B162" s="5">
        <v>-9.9009900990098987E-2</v>
      </c>
      <c r="C162" s="5">
        <v>-0.64950980392156865</v>
      </c>
      <c r="D162" s="5">
        <v>-2.3543309348384889E-2</v>
      </c>
      <c r="E162" s="5">
        <v>-3.509592887225077E-2</v>
      </c>
      <c r="F162" s="5">
        <v>-0.25000000000000011</v>
      </c>
      <c r="G162" s="5">
        <v>-0.33320311602852482</v>
      </c>
      <c r="H162" s="1" t="str">
        <f t="shared" si="12"/>
        <v>Low</v>
      </c>
      <c r="I162" s="1" t="str">
        <f t="shared" si="13"/>
        <v>High</v>
      </c>
      <c r="J162" s="1" t="str">
        <f t="shared" si="14"/>
        <v>Low</v>
      </c>
      <c r="K162" s="1" t="str">
        <f t="shared" si="15"/>
        <v>Low</v>
      </c>
      <c r="L162" s="1" t="str">
        <f t="shared" si="16"/>
        <v>Low</v>
      </c>
      <c r="M162" s="1" t="str">
        <f t="shared" si="17"/>
        <v>Low</v>
      </c>
    </row>
    <row r="163" spans="1:13" x14ac:dyDescent="0.15">
      <c r="A163" s="17">
        <v>43903</v>
      </c>
      <c r="B163" s="5">
        <v>-0.23142857142857143</v>
      </c>
      <c r="C163" s="5">
        <v>2.9055944055944058</v>
      </c>
      <c r="D163" s="5">
        <v>-0.14823626315034699</v>
      </c>
      <c r="E163" s="5">
        <v>-0.15906886517943752</v>
      </c>
      <c r="F163" s="5">
        <v>0.90909090909090917</v>
      </c>
      <c r="G163" s="5">
        <v>0.25052017507228919</v>
      </c>
      <c r="H163" s="1" t="str">
        <f t="shared" si="12"/>
        <v>Low</v>
      </c>
      <c r="I163" s="1" t="str">
        <f t="shared" si="13"/>
        <v>High</v>
      </c>
      <c r="J163" s="1" t="str">
        <f t="shared" si="14"/>
        <v>Low</v>
      </c>
      <c r="K163" s="1" t="str">
        <f t="shared" si="15"/>
        <v>Low</v>
      </c>
      <c r="L163" s="1" t="str">
        <f t="shared" si="16"/>
        <v>High</v>
      </c>
      <c r="M163" s="1" t="str">
        <f t="shared" si="17"/>
        <v>High</v>
      </c>
    </row>
    <row r="164" spans="1:13" x14ac:dyDescent="0.15">
      <c r="A164" s="17">
        <v>43910</v>
      </c>
      <c r="B164" s="5">
        <v>-0.2219044895624821</v>
      </c>
      <c r="C164" s="5">
        <v>-0.95434198746642795</v>
      </c>
      <c r="D164" s="5">
        <v>6.5749143059428139E-3</v>
      </c>
      <c r="E164" s="5">
        <v>-0.14648212226066892</v>
      </c>
      <c r="F164" s="5">
        <v>0.33333333333333348</v>
      </c>
      <c r="G164" s="5">
        <v>0.39878840883088129</v>
      </c>
      <c r="H164" s="1" t="str">
        <f t="shared" si="12"/>
        <v>Low</v>
      </c>
      <c r="I164" s="1" t="str">
        <f t="shared" si="13"/>
        <v>High</v>
      </c>
      <c r="J164" s="1" t="str">
        <f t="shared" si="14"/>
        <v>High</v>
      </c>
      <c r="K164" s="1" t="str">
        <f t="shared" si="15"/>
        <v>Low</v>
      </c>
      <c r="L164" s="1" t="str">
        <f t="shared" si="16"/>
        <v>High</v>
      </c>
      <c r="M164" s="1" t="str">
        <f t="shared" si="17"/>
        <v>High</v>
      </c>
    </row>
    <row r="165" spans="1:13" x14ac:dyDescent="0.15">
      <c r="A165" s="17">
        <v>43917</v>
      </c>
      <c r="B165" s="5">
        <v>-7.7545020213156901E-2</v>
      </c>
      <c r="C165" s="5">
        <v>-16.117647058823529</v>
      </c>
      <c r="D165" s="5">
        <v>2.9807729423016793E-2</v>
      </c>
      <c r="E165" s="5">
        <v>9.6621621621621578E-2</v>
      </c>
      <c r="F165" s="5">
        <v>3.5714285714285587E-2</v>
      </c>
      <c r="G165" s="5">
        <v>-8.917158971879191E-2</v>
      </c>
      <c r="H165" s="1" t="str">
        <f t="shared" si="12"/>
        <v>Low</v>
      </c>
      <c r="I165" s="1" t="str">
        <f t="shared" si="13"/>
        <v>Low</v>
      </c>
      <c r="J165" s="1" t="str">
        <f t="shared" si="14"/>
        <v>High</v>
      </c>
      <c r="K165" s="1" t="str">
        <f t="shared" si="15"/>
        <v>High</v>
      </c>
      <c r="L165" s="1" t="str">
        <f t="shared" si="16"/>
        <v>Low</v>
      </c>
      <c r="M165" s="1" t="str">
        <f t="shared" si="17"/>
        <v>Low</v>
      </c>
    </row>
    <row r="166" spans="1:13" x14ac:dyDescent="0.15">
      <c r="A166" s="17">
        <v>43924</v>
      </c>
      <c r="B166" s="5">
        <v>0.38047808764940227</v>
      </c>
      <c r="C166" s="5">
        <v>0.96368352788586265</v>
      </c>
      <c r="D166" s="5">
        <v>7.126703899446496E-2</v>
      </c>
      <c r="E166" s="5">
        <v>9.488601355514481E-2</v>
      </c>
      <c r="F166" s="5">
        <v>0</v>
      </c>
      <c r="G166" s="5">
        <v>-2.9455673524724779E-2</v>
      </c>
      <c r="H166" s="1" t="str">
        <f t="shared" si="12"/>
        <v>High</v>
      </c>
      <c r="I166" s="1" t="str">
        <f t="shared" si="13"/>
        <v>High</v>
      </c>
      <c r="J166" s="1" t="str">
        <f t="shared" si="14"/>
        <v>High</v>
      </c>
      <c r="K166" s="1" t="str">
        <f t="shared" si="15"/>
        <v>High</v>
      </c>
      <c r="L166" s="1" t="str">
        <f t="shared" si="16"/>
        <v>Low</v>
      </c>
      <c r="M166" s="1" t="str">
        <f t="shared" si="17"/>
        <v>Low</v>
      </c>
    </row>
    <row r="167" spans="1:13" x14ac:dyDescent="0.15">
      <c r="A167" s="17">
        <v>43938</v>
      </c>
      <c r="B167" s="5">
        <v>-0.11801436153605993</v>
      </c>
      <c r="C167" s="5">
        <v>0</v>
      </c>
      <c r="D167" s="5">
        <v>0</v>
      </c>
      <c r="E167" s="5">
        <v>-2.1299254526091715E-2</v>
      </c>
      <c r="F167" s="5">
        <v>0.16216216216216206</v>
      </c>
      <c r="G167" s="5">
        <v>8.9038971766921549E-2</v>
      </c>
      <c r="H167" s="1" t="str">
        <f t="shared" si="12"/>
        <v>Low</v>
      </c>
      <c r="I167" s="1" t="str">
        <f t="shared" si="13"/>
        <v>High</v>
      </c>
      <c r="J167" s="1" t="str">
        <f t="shared" si="14"/>
        <v>Low</v>
      </c>
      <c r="K167" s="1" t="str">
        <f t="shared" si="15"/>
        <v>Low</v>
      </c>
      <c r="L167" s="1" t="str">
        <f t="shared" si="16"/>
        <v>Low</v>
      </c>
      <c r="M167" s="1" t="str">
        <f t="shared" si="17"/>
        <v>High</v>
      </c>
    </row>
    <row r="168" spans="1:13" x14ac:dyDescent="0.15">
      <c r="A168" s="17">
        <v>43945</v>
      </c>
      <c r="B168" s="5">
        <v>-0.22831858407079642</v>
      </c>
      <c r="C168" s="5">
        <v>-0.19576059850374061</v>
      </c>
      <c r="D168" s="5">
        <v>1.0674682540621871E-2</v>
      </c>
      <c r="E168" s="5">
        <v>1.6322089227420733E-3</v>
      </c>
      <c r="F168" s="5">
        <v>-1.0813953488372092</v>
      </c>
      <c r="G168" s="5">
        <v>-0.48792706919901851</v>
      </c>
      <c r="H168" s="1" t="str">
        <f t="shared" si="12"/>
        <v>Low</v>
      </c>
      <c r="I168" s="1" t="str">
        <f t="shared" si="13"/>
        <v>High</v>
      </c>
      <c r="J168" s="1" t="str">
        <f t="shared" si="14"/>
        <v>High</v>
      </c>
      <c r="K168" s="1" t="str">
        <f t="shared" si="15"/>
        <v>High</v>
      </c>
      <c r="L168" s="1" t="str">
        <f t="shared" si="16"/>
        <v>Low</v>
      </c>
      <c r="M168" s="1" t="str">
        <f t="shared" si="17"/>
        <v>Low</v>
      </c>
    </row>
    <row r="169" spans="1:13" x14ac:dyDescent="0.15">
      <c r="A169" s="17">
        <v>43966</v>
      </c>
      <c r="B169" s="5">
        <v>6.0920285158781784E-2</v>
      </c>
      <c r="C169" s="5">
        <v>-0.74143302180685355</v>
      </c>
      <c r="D169" s="5">
        <v>-1.803486589313108E-2</v>
      </c>
      <c r="E169" s="5">
        <v>-2.4276859504132164E-2</v>
      </c>
      <c r="F169" s="5">
        <v>0</v>
      </c>
      <c r="G169" s="5">
        <v>7.0192180053583852E-2</v>
      </c>
      <c r="H169" s="1" t="str">
        <f t="shared" si="12"/>
        <v>High</v>
      </c>
      <c r="I169" s="1" t="str">
        <f t="shared" si="13"/>
        <v>High</v>
      </c>
      <c r="J169" s="1" t="str">
        <f t="shared" si="14"/>
        <v>Low</v>
      </c>
      <c r="K169" s="1" t="str">
        <f t="shared" si="15"/>
        <v>Low</v>
      </c>
      <c r="L169" s="1" t="str">
        <f t="shared" si="16"/>
        <v>Low</v>
      </c>
      <c r="M169" s="1" t="str">
        <f t="shared" si="17"/>
        <v>High</v>
      </c>
    </row>
    <row r="170" spans="1:13" x14ac:dyDescent="0.15">
      <c r="A170" s="17">
        <v>43973</v>
      </c>
      <c r="B170" s="5">
        <v>7.2693952351863045E-2</v>
      </c>
      <c r="C170" s="5">
        <v>0.94377510040160617</v>
      </c>
      <c r="D170" s="5">
        <v>4.4515808181471384E-2</v>
      </c>
      <c r="E170" s="5">
        <v>6.6172578083642186E-2</v>
      </c>
      <c r="F170" s="5">
        <v>0.875</v>
      </c>
      <c r="G170" s="5">
        <v>-0.21882214064068484</v>
      </c>
      <c r="H170" s="1" t="str">
        <f t="shared" si="12"/>
        <v>High</v>
      </c>
      <c r="I170" s="1" t="str">
        <f t="shared" si="13"/>
        <v>High</v>
      </c>
      <c r="J170" s="1" t="str">
        <f t="shared" si="14"/>
        <v>High</v>
      </c>
      <c r="K170" s="1" t="str">
        <f t="shared" si="15"/>
        <v>High</v>
      </c>
      <c r="L170" s="1" t="str">
        <f t="shared" si="16"/>
        <v>High</v>
      </c>
      <c r="M170" s="1" t="str">
        <f t="shared" si="17"/>
        <v>Low</v>
      </c>
    </row>
    <row r="171" spans="1:13" x14ac:dyDescent="0.15">
      <c r="A171" s="17">
        <v>43980</v>
      </c>
      <c r="B171" s="5">
        <v>5.4100227790434552E-3</v>
      </c>
      <c r="C171" s="5">
        <v>-1.0991735537190084</v>
      </c>
      <c r="D171" s="5">
        <v>9.3932929304858526E-3</v>
      </c>
      <c r="E171" s="5">
        <v>2.3833167825223489E-2</v>
      </c>
      <c r="F171" s="5">
        <v>1.2666666666666666</v>
      </c>
      <c r="G171" s="5">
        <v>-0.21339142555966262</v>
      </c>
      <c r="H171" s="1" t="str">
        <f t="shared" si="12"/>
        <v>High</v>
      </c>
      <c r="I171" s="1" t="str">
        <f t="shared" si="13"/>
        <v>Low</v>
      </c>
      <c r="J171" s="1" t="str">
        <f t="shared" si="14"/>
        <v>High</v>
      </c>
      <c r="K171" s="1" t="str">
        <f t="shared" si="15"/>
        <v>High</v>
      </c>
      <c r="L171" s="1" t="str">
        <f t="shared" si="16"/>
        <v>High</v>
      </c>
      <c r="M171" s="1" t="str">
        <f t="shared" si="17"/>
        <v>Low</v>
      </c>
    </row>
    <row r="172" spans="1:13" x14ac:dyDescent="0.15">
      <c r="A172" s="17">
        <v>43987</v>
      </c>
      <c r="B172" s="5">
        <v>0.19144718210138767</v>
      </c>
      <c r="C172" s="5">
        <v>-10.020833333333334</v>
      </c>
      <c r="D172" s="5">
        <v>2.117499076725049E-2</v>
      </c>
      <c r="E172" s="5">
        <v>3.8797284190106751E-2</v>
      </c>
      <c r="F172" s="5">
        <v>-0.17647058823529416</v>
      </c>
      <c r="G172" s="5">
        <v>0.10375203794584431</v>
      </c>
      <c r="H172" s="1" t="str">
        <f t="shared" si="12"/>
        <v>High</v>
      </c>
      <c r="I172" s="1" t="str">
        <f t="shared" si="13"/>
        <v>Low</v>
      </c>
      <c r="J172" s="1" t="str">
        <f t="shared" si="14"/>
        <v>High</v>
      </c>
      <c r="K172" s="1" t="str">
        <f t="shared" si="15"/>
        <v>High</v>
      </c>
      <c r="L172" s="1" t="str">
        <f t="shared" si="16"/>
        <v>Low</v>
      </c>
      <c r="M172" s="1" t="str">
        <f t="shared" si="17"/>
        <v>High</v>
      </c>
    </row>
    <row r="173" spans="1:13" x14ac:dyDescent="0.15">
      <c r="A173" s="17">
        <v>44001</v>
      </c>
      <c r="B173" s="5">
        <v>7.3770491803278659E-2</v>
      </c>
      <c r="C173" s="5">
        <v>2.4700000000000002</v>
      </c>
      <c r="D173" s="5">
        <v>0</v>
      </c>
      <c r="E173" s="5">
        <v>-3.3460803059273125E-3</v>
      </c>
      <c r="F173" s="5">
        <v>0.10714285714285721</v>
      </c>
      <c r="G173" s="5">
        <v>-2.8949017574536273E-2</v>
      </c>
      <c r="H173" s="1" t="str">
        <f t="shared" si="12"/>
        <v>High</v>
      </c>
      <c r="I173" s="1" t="str">
        <f t="shared" si="13"/>
        <v>High</v>
      </c>
      <c r="J173" s="1" t="str">
        <f t="shared" si="14"/>
        <v>Low</v>
      </c>
      <c r="K173" s="1" t="str">
        <f t="shared" si="15"/>
        <v>Low</v>
      </c>
      <c r="L173" s="1" t="str">
        <f t="shared" si="16"/>
        <v>Low</v>
      </c>
      <c r="M173" s="1" t="str">
        <f t="shared" si="17"/>
        <v>Low</v>
      </c>
    </row>
    <row r="174" spans="1:13" x14ac:dyDescent="0.15">
      <c r="A174" s="17">
        <v>44008</v>
      </c>
      <c r="B174" s="5">
        <v>-2.9818702290076327E-2</v>
      </c>
      <c r="C174" s="5">
        <v>-1.8674351585014408</v>
      </c>
      <c r="D174" s="5">
        <v>1.1128551077148607E-3</v>
      </c>
      <c r="E174" s="5">
        <v>1.534772182254196E-2</v>
      </c>
      <c r="F174" s="5">
        <v>0.25806451612903225</v>
      </c>
      <c r="G174" s="5">
        <v>-0.50030284492936028</v>
      </c>
      <c r="H174" s="1" t="str">
        <f t="shared" si="12"/>
        <v>Low</v>
      </c>
      <c r="I174" s="1" t="str">
        <f t="shared" si="13"/>
        <v>Low</v>
      </c>
      <c r="J174" s="1" t="str">
        <f t="shared" si="14"/>
        <v>Low</v>
      </c>
      <c r="K174" s="1" t="str">
        <f t="shared" si="15"/>
        <v>High</v>
      </c>
      <c r="L174" s="1" t="str">
        <f t="shared" si="16"/>
        <v>High</v>
      </c>
      <c r="M174" s="1" t="str">
        <f t="shared" si="17"/>
        <v>Low</v>
      </c>
    </row>
    <row r="175" spans="1:13" x14ac:dyDescent="0.15">
      <c r="A175" s="17">
        <v>44022</v>
      </c>
      <c r="B175" s="5">
        <v>9.1164095371669696E-3</v>
      </c>
      <c r="C175" s="5">
        <v>-0.9943820224719101</v>
      </c>
      <c r="D175" s="5">
        <v>-2.5699049849015054E-4</v>
      </c>
      <c r="E175" s="5">
        <v>0</v>
      </c>
      <c r="F175" s="5">
        <v>-0.15999999999999992</v>
      </c>
      <c r="G175" s="5">
        <v>0.70946388753580147</v>
      </c>
      <c r="H175" s="1" t="str">
        <f t="shared" si="12"/>
        <v>High</v>
      </c>
      <c r="I175" s="1" t="str">
        <f t="shared" si="13"/>
        <v>High</v>
      </c>
      <c r="J175" s="1" t="str">
        <f t="shared" si="14"/>
        <v>Low</v>
      </c>
      <c r="K175" s="1" t="str">
        <f t="shared" si="15"/>
        <v>Low</v>
      </c>
      <c r="L175" s="1" t="str">
        <f t="shared" si="16"/>
        <v>Low</v>
      </c>
      <c r="M175" s="1" t="str">
        <f t="shared" si="17"/>
        <v>High</v>
      </c>
    </row>
    <row r="176" spans="1:13" x14ac:dyDescent="0.15">
      <c r="A176" s="17">
        <v>44029</v>
      </c>
      <c r="B176" s="5">
        <v>-1.6214964095436768E-3</v>
      </c>
      <c r="C176" s="5">
        <v>-63</v>
      </c>
      <c r="D176" s="5">
        <v>-9.3361514348754282E-3</v>
      </c>
      <c r="E176" s="5">
        <v>-9.3327111525898232E-3</v>
      </c>
      <c r="F176" s="5">
        <v>0</v>
      </c>
      <c r="G176" s="5">
        <v>0.13431810043201331</v>
      </c>
      <c r="H176" s="1" t="str">
        <f t="shared" si="12"/>
        <v>Low</v>
      </c>
      <c r="I176" s="1" t="str">
        <f t="shared" si="13"/>
        <v>Low</v>
      </c>
      <c r="J176" s="1" t="str">
        <f t="shared" si="14"/>
        <v>Low</v>
      </c>
      <c r="K176" s="1" t="str">
        <f t="shared" si="15"/>
        <v>Low</v>
      </c>
      <c r="L176" s="1" t="str">
        <f t="shared" si="16"/>
        <v>Low</v>
      </c>
      <c r="M176" s="1" t="str">
        <f t="shared" si="17"/>
        <v>High</v>
      </c>
    </row>
    <row r="177" spans="1:13" x14ac:dyDescent="0.15">
      <c r="A177" s="17">
        <v>44036</v>
      </c>
      <c r="B177" s="5">
        <v>7.4245939675174899E-3</v>
      </c>
      <c r="C177" s="5">
        <v>-1.370967741935484</v>
      </c>
      <c r="D177" s="5">
        <v>3.1833039617412462E-2</v>
      </c>
      <c r="E177" s="5">
        <v>4.8987282147903821E-2</v>
      </c>
      <c r="F177" s="5">
        <v>-0.76190476190476186</v>
      </c>
      <c r="G177" s="5">
        <v>-0.2054424500551808</v>
      </c>
      <c r="H177" s="1" t="str">
        <f t="shared" si="12"/>
        <v>High</v>
      </c>
      <c r="I177" s="1" t="str">
        <f t="shared" si="13"/>
        <v>Low</v>
      </c>
      <c r="J177" s="1" t="str">
        <f t="shared" si="14"/>
        <v>High</v>
      </c>
      <c r="K177" s="1" t="str">
        <f t="shared" si="15"/>
        <v>High</v>
      </c>
      <c r="L177" s="1" t="str">
        <f t="shared" si="16"/>
        <v>Low</v>
      </c>
      <c r="M177" s="1" t="str">
        <f t="shared" si="17"/>
        <v>Low</v>
      </c>
    </row>
    <row r="178" spans="1:13" x14ac:dyDescent="0.15">
      <c r="A178" s="17">
        <v>44043</v>
      </c>
      <c r="B178" s="5">
        <v>-2.3030861354215171E-3</v>
      </c>
      <c r="C178" s="5">
        <v>-6.9565217391304346</v>
      </c>
      <c r="D178" s="5">
        <v>1.6922098968957133E-2</v>
      </c>
      <c r="E178" s="5">
        <v>-1.6614279299506096E-2</v>
      </c>
      <c r="F178" s="5">
        <v>-1.2</v>
      </c>
      <c r="G178" s="5">
        <v>0.49306364352395837</v>
      </c>
      <c r="H178" s="1" t="str">
        <f t="shared" si="12"/>
        <v>Low</v>
      </c>
      <c r="I178" s="1" t="str">
        <f t="shared" si="13"/>
        <v>Low</v>
      </c>
      <c r="J178" s="1" t="str">
        <f t="shared" si="14"/>
        <v>High</v>
      </c>
      <c r="K178" s="1" t="str">
        <f t="shared" si="15"/>
        <v>Low</v>
      </c>
      <c r="L178" s="1" t="str">
        <f t="shared" si="16"/>
        <v>Low</v>
      </c>
      <c r="M178" s="1" t="str">
        <f t="shared" si="17"/>
        <v>High</v>
      </c>
    </row>
    <row r="179" spans="1:13" x14ac:dyDescent="0.15">
      <c r="A179" s="17">
        <v>44050</v>
      </c>
      <c r="B179" s="5">
        <v>3.1625115420129246E-2</v>
      </c>
      <c r="C179" s="5">
        <v>-1.8321167883211678</v>
      </c>
      <c r="D179" s="5">
        <v>2.0875335300198694E-2</v>
      </c>
      <c r="E179" s="5">
        <v>2.7853881278538939E-2</v>
      </c>
      <c r="F179" s="5">
        <v>9</v>
      </c>
      <c r="G179" s="5">
        <v>-7.6975107640149587E-2</v>
      </c>
      <c r="H179" s="1" t="str">
        <f t="shared" si="12"/>
        <v>High</v>
      </c>
      <c r="I179" s="1" t="str">
        <f t="shared" si="13"/>
        <v>Low</v>
      </c>
      <c r="J179" s="1" t="str">
        <f t="shared" si="14"/>
        <v>High</v>
      </c>
      <c r="K179" s="1" t="str">
        <f t="shared" si="15"/>
        <v>High</v>
      </c>
      <c r="L179" s="1" t="str">
        <f t="shared" si="16"/>
        <v>High</v>
      </c>
      <c r="M179" s="1" t="str">
        <f t="shared" si="17"/>
        <v>Low</v>
      </c>
    </row>
    <row r="180" spans="1:13" x14ac:dyDescent="0.15">
      <c r="A180" s="17">
        <v>44057</v>
      </c>
      <c r="B180" s="5">
        <v>5.8178563437012443E-3</v>
      </c>
      <c r="C180" s="5">
        <v>-0.2807017543859649</v>
      </c>
      <c r="D180" s="5">
        <v>3.0157955826198179E-2</v>
      </c>
      <c r="E180" s="5">
        <v>4.3980453131941211E-2</v>
      </c>
      <c r="F180" s="5">
        <v>1.1000000000000001</v>
      </c>
      <c r="G180" s="5">
        <v>0.35269108902383239</v>
      </c>
      <c r="H180" s="1" t="str">
        <f t="shared" si="12"/>
        <v>High</v>
      </c>
      <c r="I180" s="1" t="str">
        <f t="shared" si="13"/>
        <v>High</v>
      </c>
      <c r="J180" s="1" t="str">
        <f t="shared" si="14"/>
        <v>High</v>
      </c>
      <c r="K180" s="1" t="str">
        <f t="shared" si="15"/>
        <v>High</v>
      </c>
      <c r="L180" s="1" t="str">
        <f t="shared" si="16"/>
        <v>High</v>
      </c>
      <c r="M180" s="1" t="str">
        <f t="shared" si="17"/>
        <v>High</v>
      </c>
    </row>
    <row r="181" spans="1:13" x14ac:dyDescent="0.15">
      <c r="A181" s="17">
        <v>44064</v>
      </c>
      <c r="B181" s="5">
        <v>-1.5350389321468372E-2</v>
      </c>
      <c r="C181" s="5">
        <v>-0.47560975609756095</v>
      </c>
      <c r="D181" s="5">
        <v>-2.1678712210033257E-2</v>
      </c>
      <c r="E181" s="5">
        <v>-3.8723404255319172E-2</v>
      </c>
      <c r="F181" s="5">
        <v>-0.66666666666666674</v>
      </c>
      <c r="G181" s="5">
        <v>-0.13069486526202068</v>
      </c>
      <c r="H181" s="1" t="str">
        <f t="shared" si="12"/>
        <v>Low</v>
      </c>
      <c r="I181" s="1" t="str">
        <f t="shared" si="13"/>
        <v>High</v>
      </c>
      <c r="J181" s="1" t="str">
        <f t="shared" si="14"/>
        <v>Low</v>
      </c>
      <c r="K181" s="1" t="str">
        <f t="shared" si="15"/>
        <v>Low</v>
      </c>
      <c r="L181" s="1" t="str">
        <f t="shared" si="16"/>
        <v>Low</v>
      </c>
      <c r="M181" s="1" t="str">
        <f t="shared" si="17"/>
        <v>Low</v>
      </c>
    </row>
    <row r="182" spans="1:13" x14ac:dyDescent="0.15">
      <c r="A182" s="17">
        <v>44071</v>
      </c>
      <c r="B182" s="5">
        <v>1.8526886579304014E-2</v>
      </c>
      <c r="C182" s="5">
        <v>-3.7441860465116279</v>
      </c>
      <c r="D182" s="5">
        <v>-5.154208992492415E-3</v>
      </c>
      <c r="E182" s="5">
        <v>4.4267374944666482E-3</v>
      </c>
      <c r="F182" s="5">
        <v>-3.1428571428571428</v>
      </c>
      <c r="G182" s="5">
        <v>-0.41664531513663172</v>
      </c>
      <c r="H182" s="1" t="str">
        <f t="shared" si="12"/>
        <v>High</v>
      </c>
      <c r="I182" s="1" t="str">
        <f t="shared" si="13"/>
        <v>Low</v>
      </c>
      <c r="J182" s="1" t="str">
        <f t="shared" si="14"/>
        <v>Low</v>
      </c>
      <c r="K182" s="1" t="str">
        <f t="shared" si="15"/>
        <v>High</v>
      </c>
      <c r="L182" s="1" t="str">
        <f t="shared" si="16"/>
        <v>Low</v>
      </c>
      <c r="M182" s="1" t="str">
        <f t="shared" si="17"/>
        <v>Low</v>
      </c>
    </row>
    <row r="183" spans="1:13" x14ac:dyDescent="0.15">
      <c r="A183" s="17">
        <v>44078</v>
      </c>
      <c r="B183" s="5">
        <v>-6.0559006211180044E-2</v>
      </c>
      <c r="C183" s="5">
        <v>0.31355932203389836</v>
      </c>
      <c r="D183" s="5">
        <v>-1.9670018824429425E-2</v>
      </c>
      <c r="E183" s="5">
        <v>-2.8206258263552275E-2</v>
      </c>
      <c r="F183" s="5">
        <v>0</v>
      </c>
      <c r="G183" s="5">
        <v>0.45869365516186389</v>
      </c>
      <c r="H183" s="1" t="str">
        <f t="shared" si="12"/>
        <v>Low</v>
      </c>
      <c r="I183" s="1" t="str">
        <f t="shared" si="13"/>
        <v>High</v>
      </c>
      <c r="J183" s="1" t="str">
        <f t="shared" si="14"/>
        <v>Low</v>
      </c>
      <c r="K183" s="1" t="str">
        <f t="shared" si="15"/>
        <v>Low</v>
      </c>
      <c r="L183" s="1" t="str">
        <f t="shared" si="16"/>
        <v>Low</v>
      </c>
      <c r="M183" s="1" t="str">
        <f t="shared" si="17"/>
        <v>High</v>
      </c>
    </row>
    <row r="184" spans="1:13" x14ac:dyDescent="0.15">
      <c r="A184" s="17">
        <v>44085</v>
      </c>
      <c r="B184" s="5">
        <v>-5.7378984651711873E-2</v>
      </c>
      <c r="C184" s="5">
        <v>-0.21935483870967742</v>
      </c>
      <c r="D184" s="5">
        <v>-3.7788160394310877E-3</v>
      </c>
      <c r="E184" s="5">
        <v>-1.5419501133786873E-2</v>
      </c>
      <c r="F184" s="5">
        <v>-1.4666666666666666</v>
      </c>
      <c r="G184" s="5">
        <v>0.23636136238232974</v>
      </c>
      <c r="H184" s="1" t="str">
        <f t="shared" si="12"/>
        <v>Low</v>
      </c>
      <c r="I184" s="1" t="str">
        <f t="shared" si="13"/>
        <v>High</v>
      </c>
      <c r="J184" s="1" t="str">
        <f t="shared" si="14"/>
        <v>Low</v>
      </c>
      <c r="K184" s="1" t="str">
        <f t="shared" si="15"/>
        <v>Low</v>
      </c>
      <c r="L184" s="1" t="str">
        <f t="shared" si="16"/>
        <v>Low</v>
      </c>
      <c r="M184" s="1" t="str">
        <f t="shared" si="17"/>
        <v>High</v>
      </c>
    </row>
    <row r="185" spans="1:13" x14ac:dyDescent="0.15">
      <c r="A185" s="17">
        <v>44092</v>
      </c>
      <c r="B185" s="5">
        <v>7.8156312625250468E-2</v>
      </c>
      <c r="C185" s="5">
        <v>-4.9586776859504136</v>
      </c>
      <c r="D185" s="5">
        <v>1.4183081315645607E-2</v>
      </c>
      <c r="E185" s="5">
        <v>7.369875633348677E-3</v>
      </c>
      <c r="F185" s="5">
        <v>0</v>
      </c>
      <c r="G185" s="5">
        <v>-3.1505321445701728E-4</v>
      </c>
      <c r="H185" s="1" t="str">
        <f t="shared" si="12"/>
        <v>High</v>
      </c>
      <c r="I185" s="1" t="str">
        <f t="shared" si="13"/>
        <v>Low</v>
      </c>
      <c r="J185" s="1" t="str">
        <f t="shared" si="14"/>
        <v>High</v>
      </c>
      <c r="K185" s="1" t="str">
        <f t="shared" si="15"/>
        <v>High</v>
      </c>
      <c r="L185" s="1" t="str">
        <f t="shared" si="16"/>
        <v>Low</v>
      </c>
      <c r="M185" s="1" t="str">
        <f t="shared" si="17"/>
        <v>Low</v>
      </c>
    </row>
    <row r="186" spans="1:13" x14ac:dyDescent="0.15">
      <c r="A186" s="17">
        <v>44099</v>
      </c>
      <c r="B186" s="5">
        <v>-2.9042750929368033E-2</v>
      </c>
      <c r="C186" s="5">
        <v>-0.75574112734864296</v>
      </c>
      <c r="D186" s="5">
        <v>-1.8619210716209533E-2</v>
      </c>
      <c r="E186" s="5">
        <v>-4.6181984453589453E-2</v>
      </c>
      <c r="F186" s="5">
        <v>-1.2857142857142858</v>
      </c>
      <c r="G186" s="5">
        <v>-0.12825527266265224</v>
      </c>
      <c r="H186" s="1" t="str">
        <f t="shared" si="12"/>
        <v>Low</v>
      </c>
      <c r="I186" s="1" t="str">
        <f t="shared" si="13"/>
        <v>High</v>
      </c>
      <c r="J186" s="1" t="str">
        <f t="shared" si="14"/>
        <v>Low</v>
      </c>
      <c r="K186" s="1" t="str">
        <f t="shared" si="15"/>
        <v>Low</v>
      </c>
      <c r="L186" s="1" t="str">
        <f t="shared" si="16"/>
        <v>Low</v>
      </c>
      <c r="M186" s="1" t="str">
        <f t="shared" si="17"/>
        <v>Low</v>
      </c>
    </row>
    <row r="187" spans="1:13" x14ac:dyDescent="0.15">
      <c r="A187" s="17">
        <v>44106</v>
      </c>
      <c r="B187" s="5">
        <v>-6.9155300311079193E-2</v>
      </c>
      <c r="C187" s="5">
        <v>-0.29914529914529919</v>
      </c>
      <c r="D187" s="5">
        <v>-1.5330550981590196E-2</v>
      </c>
      <c r="E187" s="5">
        <v>-7.6701821668264669E-3</v>
      </c>
      <c r="F187" s="5">
        <v>-2</v>
      </c>
      <c r="G187" s="5">
        <v>-0.16341464868075273</v>
      </c>
      <c r="H187" s="1" t="str">
        <f t="shared" si="12"/>
        <v>Low</v>
      </c>
      <c r="I187" s="1" t="str">
        <f t="shared" si="13"/>
        <v>High</v>
      </c>
      <c r="J187" s="1" t="str">
        <f t="shared" si="14"/>
        <v>Low</v>
      </c>
      <c r="K187" s="1" t="str">
        <f t="shared" si="15"/>
        <v>Low</v>
      </c>
      <c r="L187" s="1" t="str">
        <f t="shared" si="16"/>
        <v>Low</v>
      </c>
      <c r="M187" s="1" t="str">
        <f t="shared" si="17"/>
        <v>Low</v>
      </c>
    </row>
    <row r="188" spans="1:13" x14ac:dyDescent="0.15">
      <c r="A188" s="17">
        <v>44113</v>
      </c>
      <c r="B188" s="5">
        <v>0.1007712082262211</v>
      </c>
      <c r="C188" s="5">
        <v>4.963414634146341</v>
      </c>
      <c r="D188" s="5">
        <v>-6.4261223802946077E-3</v>
      </c>
      <c r="E188" s="5">
        <v>2.3671497584541124E-2</v>
      </c>
      <c r="F188" s="5">
        <v>2.4999999999999996</v>
      </c>
      <c r="G188" s="5">
        <v>0.39165432979630221</v>
      </c>
      <c r="H188" s="1" t="str">
        <f t="shared" si="12"/>
        <v>High</v>
      </c>
      <c r="I188" s="1" t="str">
        <f t="shared" si="13"/>
        <v>High</v>
      </c>
      <c r="J188" s="1" t="str">
        <f t="shared" si="14"/>
        <v>Low</v>
      </c>
      <c r="K188" s="1" t="str">
        <f t="shared" si="15"/>
        <v>High</v>
      </c>
      <c r="L188" s="1" t="str">
        <f t="shared" si="16"/>
        <v>High</v>
      </c>
      <c r="M188" s="1" t="str">
        <f t="shared" si="17"/>
        <v>High</v>
      </c>
    </row>
    <row r="189" spans="1:13" x14ac:dyDescent="0.15">
      <c r="A189" s="17">
        <v>44120</v>
      </c>
      <c r="B189" s="5">
        <v>7.0060719290054863E-4</v>
      </c>
      <c r="C189" s="5">
        <v>-0.44989775051124747</v>
      </c>
      <c r="D189" s="5">
        <v>-1.2190861969803457E-2</v>
      </c>
      <c r="E189" s="5">
        <v>-2.17083529966966E-2</v>
      </c>
      <c r="F189" s="5">
        <v>-2.4285714285714288</v>
      </c>
      <c r="G189" s="5">
        <v>6.4527838207053101E-2</v>
      </c>
      <c r="H189" s="1" t="str">
        <f t="shared" si="12"/>
        <v>Low</v>
      </c>
      <c r="I189" s="1" t="str">
        <f t="shared" si="13"/>
        <v>High</v>
      </c>
      <c r="J189" s="1" t="str">
        <f t="shared" si="14"/>
        <v>Low</v>
      </c>
      <c r="K189" s="1" t="str">
        <f t="shared" si="15"/>
        <v>Low</v>
      </c>
      <c r="L189" s="1" t="str">
        <f t="shared" si="16"/>
        <v>Low</v>
      </c>
      <c r="M189" s="1" t="str">
        <f t="shared" si="17"/>
        <v>High</v>
      </c>
    </row>
    <row r="190" spans="1:13" x14ac:dyDescent="0.15">
      <c r="A190" s="17">
        <v>44127</v>
      </c>
      <c r="B190" s="5">
        <v>-2.9404900816802804E-2</v>
      </c>
      <c r="C190" s="5">
        <v>-0.44609665427509293</v>
      </c>
      <c r="D190" s="5">
        <v>6.1295784307422441E-3</v>
      </c>
      <c r="E190" s="5">
        <v>3.4249879401833105E-2</v>
      </c>
      <c r="F190" s="5">
        <v>-0.30000000000000004</v>
      </c>
      <c r="G190" s="5">
        <v>-0.25124514885039406</v>
      </c>
      <c r="H190" s="1" t="str">
        <f t="shared" si="12"/>
        <v>Low</v>
      </c>
      <c r="I190" s="1" t="str">
        <f t="shared" si="13"/>
        <v>High</v>
      </c>
      <c r="J190" s="1" t="str">
        <f t="shared" si="14"/>
        <v>High</v>
      </c>
      <c r="K190" s="1" t="str">
        <f t="shared" si="15"/>
        <v>High</v>
      </c>
      <c r="L190" s="1" t="str">
        <f t="shared" si="16"/>
        <v>Low</v>
      </c>
      <c r="M190" s="1" t="str">
        <f t="shared" si="17"/>
        <v>Low</v>
      </c>
    </row>
    <row r="191" spans="1:13" x14ac:dyDescent="0.15">
      <c r="A191" s="17">
        <v>44134</v>
      </c>
      <c r="B191" s="5">
        <v>-9.9543159413320481E-2</v>
      </c>
      <c r="C191" s="5">
        <v>-2.2953020134228188</v>
      </c>
      <c r="D191" s="5">
        <v>-4.4772251215961845E-2</v>
      </c>
      <c r="E191" s="5">
        <v>-9.2583955223880743E-2</v>
      </c>
      <c r="F191" s="5">
        <v>1</v>
      </c>
      <c r="G191" s="5">
        <v>-0.27509061474342311</v>
      </c>
      <c r="H191" s="1" t="str">
        <f t="shared" si="12"/>
        <v>Low</v>
      </c>
      <c r="I191" s="1" t="str">
        <f t="shared" si="13"/>
        <v>Low</v>
      </c>
      <c r="J191" s="1" t="str">
        <f t="shared" si="14"/>
        <v>Low</v>
      </c>
      <c r="K191" s="1" t="str">
        <f t="shared" si="15"/>
        <v>Low</v>
      </c>
      <c r="L191" s="1" t="str">
        <f t="shared" si="16"/>
        <v>High</v>
      </c>
      <c r="M191" s="1" t="str">
        <f t="shared" si="17"/>
        <v>Low</v>
      </c>
    </row>
    <row r="192" spans="1:13" x14ac:dyDescent="0.15">
      <c r="A192" s="17">
        <v>44141</v>
      </c>
      <c r="B192" s="5">
        <v>5.7409879839786404E-2</v>
      </c>
      <c r="C192" s="5">
        <v>-2.6373056994818653</v>
      </c>
      <c r="D192" s="5">
        <v>7.6202617269818029E-2</v>
      </c>
      <c r="E192" s="5">
        <v>0.10203032639424325</v>
      </c>
      <c r="F192" s="5">
        <v>-0.64285714285714279</v>
      </c>
      <c r="G192" s="5">
        <v>0.48599880115219318</v>
      </c>
      <c r="H192" s="1" t="str">
        <f t="shared" si="12"/>
        <v>High</v>
      </c>
      <c r="I192" s="1" t="str">
        <f t="shared" si="13"/>
        <v>Low</v>
      </c>
      <c r="J192" s="1" t="str">
        <f t="shared" si="14"/>
        <v>High</v>
      </c>
      <c r="K192" s="1" t="str">
        <f t="shared" si="15"/>
        <v>High</v>
      </c>
      <c r="L192" s="1" t="str">
        <f t="shared" si="16"/>
        <v>Low</v>
      </c>
      <c r="M192" s="1" t="str">
        <f t="shared" si="17"/>
        <v>High</v>
      </c>
    </row>
    <row r="193" spans="1:13" x14ac:dyDescent="0.15">
      <c r="A193" s="17">
        <v>44148</v>
      </c>
      <c r="B193" s="5">
        <v>7.6515151515151647E-2</v>
      </c>
      <c r="C193" s="5">
        <v>-1.6740506329113924</v>
      </c>
      <c r="D193" s="5">
        <v>4.4757254059579532E-2</v>
      </c>
      <c r="E193" s="5">
        <v>4.664179104477606E-2</v>
      </c>
      <c r="F193" s="5">
        <v>0</v>
      </c>
      <c r="G193" s="5">
        <v>0.18003491830165608</v>
      </c>
      <c r="H193" s="1" t="str">
        <f t="shared" si="12"/>
        <v>High</v>
      </c>
      <c r="I193" s="1" t="str">
        <f t="shared" si="13"/>
        <v>Low</v>
      </c>
      <c r="J193" s="1" t="str">
        <f t="shared" si="14"/>
        <v>High</v>
      </c>
      <c r="K193" s="1" t="str">
        <f t="shared" si="15"/>
        <v>High</v>
      </c>
      <c r="L193" s="1" t="str">
        <f t="shared" si="16"/>
        <v>Low</v>
      </c>
      <c r="M193" s="1" t="str">
        <f t="shared" si="17"/>
        <v>High</v>
      </c>
    </row>
    <row r="194" spans="1:13" x14ac:dyDescent="0.15">
      <c r="A194" s="17">
        <v>44155</v>
      </c>
      <c r="B194" s="5">
        <v>6.1224489795918435E-2</v>
      </c>
      <c r="C194" s="5">
        <v>-1.0938967136150235</v>
      </c>
      <c r="D194" s="5">
        <v>8.5349164688850454E-3</v>
      </c>
      <c r="E194" s="5">
        <v>1.559714795008893E-2</v>
      </c>
      <c r="F194" s="5">
        <v>0.39999999999999991</v>
      </c>
      <c r="G194" s="5">
        <v>-0.18327564460939505</v>
      </c>
      <c r="H194" s="1" t="str">
        <f t="shared" si="12"/>
        <v>High</v>
      </c>
      <c r="I194" s="1" t="str">
        <f t="shared" si="13"/>
        <v>Low</v>
      </c>
      <c r="J194" s="1" t="str">
        <f t="shared" si="14"/>
        <v>High</v>
      </c>
      <c r="K194" s="1" t="str">
        <f t="shared" si="15"/>
        <v>High</v>
      </c>
      <c r="L194" s="1" t="str">
        <f t="shared" si="16"/>
        <v>High</v>
      </c>
      <c r="M194" s="1" t="str">
        <f t="shared" si="17"/>
        <v>Low</v>
      </c>
    </row>
    <row r="195" spans="1:13" x14ac:dyDescent="0.15">
      <c r="A195" s="17">
        <v>44162</v>
      </c>
      <c r="B195" s="5">
        <v>6.6976127320955037E-2</v>
      </c>
      <c r="C195" s="5">
        <v>7.9499999999999993</v>
      </c>
      <c r="D195" s="5">
        <v>3.0035659971681783E-2</v>
      </c>
      <c r="E195" s="5">
        <v>2.4133391838525808E-2</v>
      </c>
      <c r="F195" s="5">
        <v>-1.1428571428571428</v>
      </c>
      <c r="G195" s="5">
        <v>-0.52745793193492618</v>
      </c>
      <c r="H195" s="1" t="str">
        <f t="shared" si="12"/>
        <v>High</v>
      </c>
      <c r="I195" s="1" t="str">
        <f t="shared" si="13"/>
        <v>High</v>
      </c>
      <c r="J195" s="1" t="str">
        <f t="shared" si="14"/>
        <v>High</v>
      </c>
      <c r="K195" s="1" t="str">
        <f t="shared" si="15"/>
        <v>High</v>
      </c>
      <c r="L195" s="1" t="str">
        <f t="shared" si="16"/>
        <v>Low</v>
      </c>
      <c r="M195" s="1" t="str">
        <f t="shared" si="17"/>
        <v>Low</v>
      </c>
    </row>
    <row r="196" spans="1:13" x14ac:dyDescent="0.15">
      <c r="A196" s="17">
        <v>44169</v>
      </c>
      <c r="B196" s="5">
        <v>1.5744769007665083E-2</v>
      </c>
      <c r="C196" s="5">
        <v>-0.88268156424581012</v>
      </c>
      <c r="D196" s="5">
        <v>1.3377117619356671E-2</v>
      </c>
      <c r="E196" s="5">
        <v>3.5989717223650297E-2</v>
      </c>
      <c r="F196" s="5">
        <v>12</v>
      </c>
      <c r="G196" s="5">
        <v>1.1674211883655401</v>
      </c>
      <c r="H196" s="1" t="str">
        <f t="shared" si="12"/>
        <v>High</v>
      </c>
      <c r="I196" s="1" t="str">
        <f t="shared" si="13"/>
        <v>High</v>
      </c>
      <c r="J196" s="1" t="str">
        <f t="shared" si="14"/>
        <v>High</v>
      </c>
      <c r="K196" s="1" t="str">
        <f t="shared" si="15"/>
        <v>High</v>
      </c>
      <c r="L196" s="1" t="str">
        <f t="shared" si="16"/>
        <v>High</v>
      </c>
      <c r="M196" s="1" t="str">
        <f t="shared" si="17"/>
        <v>High</v>
      </c>
    </row>
    <row r="197" spans="1:13" x14ac:dyDescent="0.15">
      <c r="A197" s="17">
        <v>44176</v>
      </c>
      <c r="B197" s="5">
        <v>2.1211503161329803E-2</v>
      </c>
      <c r="C197" s="5">
        <v>1.5238095238095242</v>
      </c>
      <c r="D197" s="5">
        <v>2.8843980004521708E-2</v>
      </c>
      <c r="E197" s="5">
        <v>3.8047973531844637E-2</v>
      </c>
      <c r="F197" s="5">
        <v>0</v>
      </c>
      <c r="G197" s="5">
        <v>7.0343636212653937E-2</v>
      </c>
      <c r="H197" s="1" t="str">
        <f t="shared" si="12"/>
        <v>High</v>
      </c>
      <c r="I197" s="1" t="str">
        <f t="shared" si="13"/>
        <v>High</v>
      </c>
      <c r="J197" s="1" t="str">
        <f t="shared" si="14"/>
        <v>High</v>
      </c>
      <c r="K197" s="1" t="str">
        <f t="shared" si="15"/>
        <v>High</v>
      </c>
      <c r="L197" s="1" t="str">
        <f t="shared" si="16"/>
        <v>Low</v>
      </c>
      <c r="M197" s="1" t="str">
        <f t="shared" si="17"/>
        <v>High</v>
      </c>
    </row>
    <row r="198" spans="1:13" x14ac:dyDescent="0.15">
      <c r="A198" s="17">
        <v>44183</v>
      </c>
      <c r="B198" s="5">
        <v>4.5935690033952481E-2</v>
      </c>
      <c r="C198" s="5">
        <v>2.3584905660377355</v>
      </c>
      <c r="D198" s="5">
        <v>-8.6370544897418355E-4</v>
      </c>
      <c r="E198" s="5">
        <v>-1.5936254980081221E-3</v>
      </c>
      <c r="F198" s="5">
        <v>1</v>
      </c>
      <c r="G198" s="5">
        <v>0.16723069058085738</v>
      </c>
      <c r="H198" s="1" t="str">
        <f t="shared" si="12"/>
        <v>High</v>
      </c>
      <c r="I198" s="1" t="str">
        <f t="shared" si="13"/>
        <v>High</v>
      </c>
      <c r="J198" s="1" t="str">
        <f t="shared" si="14"/>
        <v>Low</v>
      </c>
      <c r="K198" s="1" t="str">
        <f t="shared" si="15"/>
        <v>Low</v>
      </c>
      <c r="L198" s="1" t="str">
        <f t="shared" si="16"/>
        <v>High</v>
      </c>
      <c r="M198" s="1" t="str">
        <f t="shared" si="17"/>
        <v>High</v>
      </c>
    </row>
    <row r="199" spans="1:13" x14ac:dyDescent="0.15">
      <c r="A199" s="17">
        <v>44204</v>
      </c>
      <c r="B199" s="5">
        <v>8.9713843774168689E-2</v>
      </c>
      <c r="C199" s="5">
        <v>0</v>
      </c>
      <c r="D199" s="5">
        <v>0</v>
      </c>
      <c r="E199" s="5">
        <v>6.7908902691511397E-2</v>
      </c>
      <c r="F199" s="5">
        <v>0</v>
      </c>
      <c r="G199" s="5">
        <v>-7.4838578731454719E-2</v>
      </c>
      <c r="H199" s="1" t="str">
        <f t="shared" si="12"/>
        <v>High</v>
      </c>
      <c r="I199" s="1" t="str">
        <f t="shared" si="13"/>
        <v>High</v>
      </c>
      <c r="J199" s="1" t="str">
        <f t="shared" si="14"/>
        <v>Low</v>
      </c>
      <c r="K199" s="1" t="str">
        <f t="shared" si="15"/>
        <v>High</v>
      </c>
      <c r="L199" s="1" t="str">
        <f t="shared" si="16"/>
        <v>Low</v>
      </c>
      <c r="M199" s="1" t="str">
        <f t="shared" si="17"/>
        <v>Low</v>
      </c>
    </row>
    <row r="200" spans="1:13" x14ac:dyDescent="0.15">
      <c r="A200" s="17">
        <v>44211</v>
      </c>
      <c r="B200" s="5">
        <v>-2.4130589070262554E-2</v>
      </c>
      <c r="C200" s="5">
        <v>-1.101522842639594</v>
      </c>
      <c r="D200" s="5">
        <v>-1.1201741335294946E-3</v>
      </c>
      <c r="E200" s="5">
        <v>-3.489724699495933E-3</v>
      </c>
      <c r="F200" s="5">
        <v>-0.5714285714285714</v>
      </c>
      <c r="G200" s="5">
        <v>6.558618033040764E-2</v>
      </c>
      <c r="H200" s="1" t="str">
        <f t="shared" si="12"/>
        <v>Low</v>
      </c>
      <c r="I200" s="1" t="str">
        <f t="shared" si="13"/>
        <v>Low</v>
      </c>
      <c r="J200" s="1" t="str">
        <f t="shared" si="14"/>
        <v>Low</v>
      </c>
      <c r="K200" s="1" t="str">
        <f t="shared" si="15"/>
        <v>Low</v>
      </c>
      <c r="L200" s="1" t="str">
        <f t="shared" si="16"/>
        <v>Low</v>
      </c>
      <c r="M200" s="1" t="str">
        <f t="shared" si="17"/>
        <v>High</v>
      </c>
    </row>
    <row r="201" spans="1:13" x14ac:dyDescent="0.15">
      <c r="A201" s="17">
        <v>44218</v>
      </c>
      <c r="B201" s="5">
        <v>3.8181818181819427E-3</v>
      </c>
      <c r="C201" s="5">
        <v>3.1999999999999993</v>
      </c>
      <c r="D201" s="5">
        <v>-1.9713412248800966E-2</v>
      </c>
      <c r="E201" s="5">
        <v>-4.0077821011673009E-2</v>
      </c>
      <c r="F201" s="5">
        <v>-1</v>
      </c>
      <c r="G201" s="5">
        <v>-0.15494853220101901</v>
      </c>
      <c r="H201" s="1" t="str">
        <f t="shared" si="12"/>
        <v>High</v>
      </c>
      <c r="I201" s="1" t="str">
        <f t="shared" si="13"/>
        <v>High</v>
      </c>
      <c r="J201" s="1" t="str">
        <f t="shared" si="14"/>
        <v>Low</v>
      </c>
      <c r="K201" s="1" t="str">
        <f t="shared" si="15"/>
        <v>Low</v>
      </c>
      <c r="L201" s="1" t="str">
        <f t="shared" si="16"/>
        <v>Low</v>
      </c>
      <c r="M201" s="1" t="str">
        <f t="shared" si="17"/>
        <v>Low</v>
      </c>
    </row>
    <row r="202" spans="1:13" x14ac:dyDescent="0.15">
      <c r="A202" s="17">
        <v>44225</v>
      </c>
      <c r="B202" s="5">
        <v>1.2316609309907633E-2</v>
      </c>
      <c r="C202" s="5">
        <v>-1.6071428571428572</v>
      </c>
      <c r="D202" s="5">
        <v>-3.1286580823667198E-2</v>
      </c>
      <c r="E202" s="5">
        <v>-4.1345764085934489E-2</v>
      </c>
      <c r="F202" s="5">
        <v>0</v>
      </c>
      <c r="G202" s="5">
        <v>3.4483507954985448E-4</v>
      </c>
      <c r="H202" s="1" t="str">
        <f t="shared" si="12"/>
        <v>High</v>
      </c>
      <c r="I202" s="1" t="str">
        <f t="shared" si="13"/>
        <v>Low</v>
      </c>
      <c r="J202" s="1" t="str">
        <f t="shared" si="14"/>
        <v>Low</v>
      </c>
      <c r="K202" s="1" t="str">
        <f t="shared" si="15"/>
        <v>Low</v>
      </c>
      <c r="L202" s="1" t="str">
        <f t="shared" si="16"/>
        <v>Low</v>
      </c>
      <c r="M202" s="1" t="str">
        <f t="shared" si="17"/>
        <v>Low</v>
      </c>
    </row>
    <row r="203" spans="1:13" x14ac:dyDescent="0.15">
      <c r="A203" s="17">
        <v>44232</v>
      </c>
      <c r="B203" s="5">
        <v>6.6738235820361425E-2</v>
      </c>
      <c r="C203" s="5">
        <v>6.3921568627450975</v>
      </c>
      <c r="D203" s="5">
        <v>3.5290563550477883E-2</v>
      </c>
      <c r="E203" s="5">
        <v>5.412262156448211E-2</v>
      </c>
      <c r="F203" s="5">
        <v>0.25</v>
      </c>
      <c r="G203" s="5">
        <v>0.14548290185257962</v>
      </c>
      <c r="H203" s="1" t="str">
        <f t="shared" ref="H203:H247" si="18">IF(B203&gt;$Q$9,"High","Low")</f>
        <v>High</v>
      </c>
      <c r="I203" s="1" t="str">
        <f t="shared" ref="I203:I247" si="19">IF(C203&gt;$Q$10,"High","Low")</f>
        <v>High</v>
      </c>
      <c r="J203" s="1" t="str">
        <f t="shared" ref="J203:J247" si="20">IF(D203&gt;$Q$11,"High","Low")</f>
        <v>High</v>
      </c>
      <c r="K203" s="1" t="str">
        <f t="shared" ref="K203:K247" si="21">IF(E203&gt;$Q$12,"High","Low")</f>
        <v>High</v>
      </c>
      <c r="L203" s="1" t="str">
        <f t="shared" ref="L203:L247" si="22">IF(F203&gt;$Q$13,"High","Low")</f>
        <v>High</v>
      </c>
      <c r="M203" s="1" t="str">
        <f t="shared" ref="M203:M247" si="23">IF(G203&gt;$Q$14,"High","Low")</f>
        <v>High</v>
      </c>
    </row>
    <row r="204" spans="1:13" x14ac:dyDescent="0.15">
      <c r="A204" s="17">
        <v>44239</v>
      </c>
      <c r="B204" s="5">
        <v>5.1828245555182839E-2</v>
      </c>
      <c r="C204" s="5">
        <v>-0.41909814323607431</v>
      </c>
      <c r="D204" s="5">
        <v>1.0124589932001715E-2</v>
      </c>
      <c r="E204" s="5">
        <v>1.9253910950661979E-2</v>
      </c>
      <c r="F204" s="5">
        <v>1.4</v>
      </c>
      <c r="G204" s="5">
        <v>0.15507735347746587</v>
      </c>
      <c r="H204" s="1" t="str">
        <f t="shared" si="18"/>
        <v>High</v>
      </c>
      <c r="I204" s="1" t="str">
        <f t="shared" si="19"/>
        <v>High</v>
      </c>
      <c r="J204" s="1" t="str">
        <f t="shared" si="20"/>
        <v>High</v>
      </c>
      <c r="K204" s="1" t="str">
        <f t="shared" si="21"/>
        <v>High</v>
      </c>
      <c r="L204" s="1" t="str">
        <f t="shared" si="22"/>
        <v>High</v>
      </c>
      <c r="M204" s="1" t="str">
        <f t="shared" si="23"/>
        <v>High</v>
      </c>
    </row>
    <row r="205" spans="1:13" x14ac:dyDescent="0.15">
      <c r="A205" s="17">
        <v>44246</v>
      </c>
      <c r="B205" s="5">
        <v>2.0730346037314273E-3</v>
      </c>
      <c r="C205" s="5">
        <v>0.31050228310502281</v>
      </c>
      <c r="D205" s="5">
        <v>8.9288840645680434E-3</v>
      </c>
      <c r="E205" s="5">
        <v>3.1483667847302943E-3</v>
      </c>
      <c r="F205" s="5">
        <v>0</v>
      </c>
      <c r="G205" s="5">
        <v>-0.23025037395852643</v>
      </c>
      <c r="H205" s="1" t="str">
        <f t="shared" si="18"/>
        <v>High</v>
      </c>
      <c r="I205" s="1" t="str">
        <f t="shared" si="19"/>
        <v>High</v>
      </c>
      <c r="J205" s="1" t="str">
        <f t="shared" si="20"/>
        <v>High</v>
      </c>
      <c r="K205" s="1" t="str">
        <f t="shared" si="21"/>
        <v>High</v>
      </c>
      <c r="L205" s="1" t="str">
        <f t="shared" si="22"/>
        <v>Low</v>
      </c>
      <c r="M205" s="1" t="str">
        <f t="shared" si="23"/>
        <v>Low</v>
      </c>
    </row>
    <row r="206" spans="1:13" x14ac:dyDescent="0.15">
      <c r="A206" s="17">
        <v>44253</v>
      </c>
      <c r="B206" s="5">
        <v>4.9809038828771302E-2</v>
      </c>
      <c r="C206" s="5">
        <v>-0.15679442508710806</v>
      </c>
      <c r="D206" s="5">
        <v>-3.211401864834218E-2</v>
      </c>
      <c r="E206" s="5">
        <v>-4.0015692428403304E-2</v>
      </c>
      <c r="F206" s="5">
        <v>0</v>
      </c>
      <c r="G206" s="5">
        <v>-0.16056651348639661</v>
      </c>
      <c r="H206" s="1" t="str">
        <f t="shared" si="18"/>
        <v>High</v>
      </c>
      <c r="I206" s="1" t="str">
        <f t="shared" si="19"/>
        <v>High</v>
      </c>
      <c r="J206" s="1" t="str">
        <f t="shared" si="20"/>
        <v>Low</v>
      </c>
      <c r="K206" s="1" t="str">
        <f t="shared" si="21"/>
        <v>Low</v>
      </c>
      <c r="L206" s="1" t="str">
        <f t="shared" si="22"/>
        <v>Low</v>
      </c>
      <c r="M206" s="1" t="str">
        <f t="shared" si="23"/>
        <v>Low</v>
      </c>
    </row>
    <row r="207" spans="1:13" x14ac:dyDescent="0.15">
      <c r="A207" s="17">
        <v>44260</v>
      </c>
      <c r="B207" s="5">
        <v>5.6389267849022318E-2</v>
      </c>
      <c r="C207" s="5">
        <v>0.73140495867768607</v>
      </c>
      <c r="D207" s="5">
        <v>2.0166495350560698E-2</v>
      </c>
      <c r="E207" s="5">
        <v>4.3727012668573817E-2</v>
      </c>
      <c r="F207" s="5">
        <v>0.27777777777777768</v>
      </c>
      <c r="G207" s="5">
        <v>-7.9462809137384571E-2</v>
      </c>
      <c r="H207" s="1" t="str">
        <f t="shared" si="18"/>
        <v>High</v>
      </c>
      <c r="I207" s="1" t="str">
        <f t="shared" si="19"/>
        <v>High</v>
      </c>
      <c r="J207" s="1" t="str">
        <f t="shared" si="20"/>
        <v>High</v>
      </c>
      <c r="K207" s="1" t="str">
        <f t="shared" si="21"/>
        <v>High</v>
      </c>
      <c r="L207" s="1" t="str">
        <f t="shared" si="22"/>
        <v>High</v>
      </c>
      <c r="M207" s="1" t="str">
        <f t="shared" si="23"/>
        <v>Low</v>
      </c>
    </row>
    <row r="208" spans="1:13" x14ac:dyDescent="0.15">
      <c r="A208" s="17">
        <v>44267</v>
      </c>
      <c r="B208" s="5">
        <v>-6.6006600660064585E-3</v>
      </c>
      <c r="C208" s="5">
        <v>-0.15513126491646789</v>
      </c>
      <c r="D208" s="5">
        <v>3.6720921581779198E-2</v>
      </c>
      <c r="E208" s="5">
        <v>4.8551292090837972E-2</v>
      </c>
      <c r="F208" s="5">
        <v>6.5217391304347894E-2</v>
      </c>
      <c r="G208" s="5">
        <v>0.57285704709366292</v>
      </c>
      <c r="H208" s="1" t="str">
        <f t="shared" si="18"/>
        <v>Low</v>
      </c>
      <c r="I208" s="1" t="str">
        <f t="shared" si="19"/>
        <v>High</v>
      </c>
      <c r="J208" s="1" t="str">
        <f t="shared" si="20"/>
        <v>High</v>
      </c>
      <c r="K208" s="1" t="str">
        <f t="shared" si="21"/>
        <v>High</v>
      </c>
      <c r="L208" s="1" t="str">
        <f t="shared" si="22"/>
        <v>Low</v>
      </c>
      <c r="M208" s="1" t="str">
        <f t="shared" si="23"/>
        <v>High</v>
      </c>
    </row>
    <row r="209" spans="1:13" x14ac:dyDescent="0.15">
      <c r="A209" s="17">
        <v>44274</v>
      </c>
      <c r="B209" s="5">
        <v>-6.8900765564061994E-2</v>
      </c>
      <c r="C209" s="5">
        <v>-2.2033898305084745</v>
      </c>
      <c r="D209" s="5">
        <v>-1.8149456137872555E-2</v>
      </c>
      <c r="E209" s="5">
        <v>-3.3233756534727377E-2</v>
      </c>
      <c r="F209" s="5">
        <v>-0.26530612244897966</v>
      </c>
      <c r="G209" s="5">
        <v>2.3599990894461742E-2</v>
      </c>
      <c r="H209" s="1" t="str">
        <f t="shared" si="18"/>
        <v>Low</v>
      </c>
      <c r="I209" s="1" t="str">
        <f t="shared" si="19"/>
        <v>Low</v>
      </c>
      <c r="J209" s="1" t="str">
        <f t="shared" si="20"/>
        <v>Low</v>
      </c>
      <c r="K209" s="1" t="str">
        <f t="shared" si="21"/>
        <v>Low</v>
      </c>
      <c r="L209" s="1" t="str">
        <f t="shared" si="22"/>
        <v>Low</v>
      </c>
      <c r="M209" s="1" t="str">
        <f t="shared" si="23"/>
        <v>Low</v>
      </c>
    </row>
    <row r="210" spans="1:13" x14ac:dyDescent="0.15">
      <c r="A210" s="17">
        <v>44281</v>
      </c>
      <c r="B210" s="5">
        <v>-2.0167545764814276E-3</v>
      </c>
      <c r="C210" s="5">
        <v>-0.96478873239436624</v>
      </c>
      <c r="D210" s="5">
        <v>4.1924920725355808E-3</v>
      </c>
      <c r="E210" s="5">
        <v>-1.1587485515643148E-2</v>
      </c>
      <c r="F210" s="5">
        <v>0.16666666666666674</v>
      </c>
      <c r="G210" s="5">
        <v>-0.25415744490874215</v>
      </c>
      <c r="H210" s="1" t="str">
        <f t="shared" si="18"/>
        <v>Low</v>
      </c>
      <c r="I210" s="1" t="str">
        <f t="shared" si="19"/>
        <v>High</v>
      </c>
      <c r="J210" s="1" t="str">
        <f t="shared" si="20"/>
        <v>High</v>
      </c>
      <c r="K210" s="1" t="str">
        <f t="shared" si="21"/>
        <v>Low</v>
      </c>
      <c r="L210" s="1" t="str">
        <f t="shared" si="22"/>
        <v>High</v>
      </c>
      <c r="M210" s="1" t="str">
        <f t="shared" si="23"/>
        <v>Low</v>
      </c>
    </row>
    <row r="211" spans="1:13" x14ac:dyDescent="0.15">
      <c r="A211" s="17">
        <v>44295</v>
      </c>
      <c r="B211" s="5">
        <v>-2.4748646558391485E-2</v>
      </c>
      <c r="C211" s="5">
        <v>0</v>
      </c>
      <c r="D211" s="5">
        <v>0</v>
      </c>
      <c r="E211" s="5">
        <v>-2.34375E-2</v>
      </c>
      <c r="F211" s="5">
        <v>0.23809523809523814</v>
      </c>
      <c r="G211" s="5">
        <v>0.33068977042551495</v>
      </c>
      <c r="H211" s="1" t="str">
        <f t="shared" si="18"/>
        <v>Low</v>
      </c>
      <c r="I211" s="1" t="str">
        <f t="shared" si="19"/>
        <v>High</v>
      </c>
      <c r="J211" s="1" t="str">
        <f t="shared" si="20"/>
        <v>Low</v>
      </c>
      <c r="K211" s="1" t="str">
        <f t="shared" si="21"/>
        <v>Low</v>
      </c>
      <c r="L211" s="1" t="str">
        <f t="shared" si="22"/>
        <v>High</v>
      </c>
      <c r="M211" s="1" t="str">
        <f t="shared" si="23"/>
        <v>High</v>
      </c>
    </row>
    <row r="212" spans="1:13" x14ac:dyDescent="0.15">
      <c r="A212" s="17">
        <v>44302</v>
      </c>
      <c r="B212" s="5">
        <v>5.8207771609833481E-2</v>
      </c>
      <c r="C212" s="5">
        <v>2.5837563451776648</v>
      </c>
      <c r="D212" s="5">
        <v>3.2245849863598464E-2</v>
      </c>
      <c r="E212" s="5">
        <v>5.2400000000000002E-2</v>
      </c>
      <c r="F212" s="5">
        <v>-1.9230769230769384E-2</v>
      </c>
      <c r="G212" s="5">
        <v>0.11862837552326733</v>
      </c>
      <c r="H212" s="1" t="str">
        <f t="shared" si="18"/>
        <v>High</v>
      </c>
      <c r="I212" s="1" t="str">
        <f t="shared" si="19"/>
        <v>High</v>
      </c>
      <c r="J212" s="1" t="str">
        <f t="shared" si="20"/>
        <v>High</v>
      </c>
      <c r="K212" s="1" t="str">
        <f t="shared" si="21"/>
        <v>High</v>
      </c>
      <c r="L212" s="1" t="str">
        <f t="shared" si="22"/>
        <v>Low</v>
      </c>
      <c r="M212" s="1" t="str">
        <f t="shared" si="23"/>
        <v>High</v>
      </c>
    </row>
    <row r="213" spans="1:13" x14ac:dyDescent="0.15">
      <c r="A213" s="17">
        <v>44309</v>
      </c>
      <c r="B213" s="5">
        <v>-8.9928057553956275E-3</v>
      </c>
      <c r="C213" s="5">
        <v>-0.69546742209631729</v>
      </c>
      <c r="D213" s="5">
        <v>-3.5293071442066282E-4</v>
      </c>
      <c r="E213" s="5">
        <v>1.330292664386179E-2</v>
      </c>
      <c r="F213" s="5">
        <v>-1.9607843137254832E-2</v>
      </c>
      <c r="G213" s="5">
        <v>-0.21629284093084478</v>
      </c>
      <c r="H213" s="1" t="str">
        <f t="shared" si="18"/>
        <v>Low</v>
      </c>
      <c r="I213" s="1" t="str">
        <f t="shared" si="19"/>
        <v>High</v>
      </c>
      <c r="J213" s="1" t="str">
        <f t="shared" si="20"/>
        <v>Low</v>
      </c>
      <c r="K213" s="1" t="str">
        <f t="shared" si="21"/>
        <v>High</v>
      </c>
      <c r="L213" s="1" t="str">
        <f t="shared" si="22"/>
        <v>Low</v>
      </c>
      <c r="M213" s="1" t="str">
        <f t="shared" si="23"/>
        <v>Low</v>
      </c>
    </row>
    <row r="214" spans="1:13" x14ac:dyDescent="0.15">
      <c r="A214" s="17">
        <v>44316</v>
      </c>
      <c r="B214" s="5">
        <v>1.7241379310344751E-2</v>
      </c>
      <c r="C214" s="5">
        <v>0.46046511627906983</v>
      </c>
      <c r="D214" s="5">
        <v>-1.4781064003091315E-2</v>
      </c>
      <c r="E214" s="5">
        <v>-2.6631657914478635E-2</v>
      </c>
      <c r="F214" s="5">
        <v>8.0000000000000071E-2</v>
      </c>
      <c r="G214" s="5">
        <v>-7.1437323116267493E-2</v>
      </c>
      <c r="H214" s="1" t="str">
        <f t="shared" si="18"/>
        <v>High</v>
      </c>
      <c r="I214" s="1" t="str">
        <f t="shared" si="19"/>
        <v>High</v>
      </c>
      <c r="J214" s="1" t="str">
        <f t="shared" si="20"/>
        <v>Low</v>
      </c>
      <c r="K214" s="1" t="str">
        <f t="shared" si="21"/>
        <v>Low</v>
      </c>
      <c r="L214" s="1" t="str">
        <f t="shared" si="22"/>
        <v>Low</v>
      </c>
      <c r="M214" s="1" t="str">
        <f t="shared" si="23"/>
        <v>Low</v>
      </c>
    </row>
    <row r="215" spans="1:13" x14ac:dyDescent="0.15">
      <c r="A215" s="17">
        <v>44323</v>
      </c>
      <c r="B215" s="5">
        <v>1.5016354445435587E-2</v>
      </c>
      <c r="C215" s="5">
        <v>-0.14012738853503182</v>
      </c>
      <c r="D215" s="5">
        <v>3.9133747178329514E-2</v>
      </c>
      <c r="E215" s="5">
        <v>5.8574181117533763E-2</v>
      </c>
      <c r="F215" s="5">
        <v>-0.33333333333333337</v>
      </c>
      <c r="G215" s="5">
        <v>0.12593123862379763</v>
      </c>
      <c r="H215" s="1" t="str">
        <f t="shared" si="18"/>
        <v>High</v>
      </c>
      <c r="I215" s="1" t="str">
        <f t="shared" si="19"/>
        <v>High</v>
      </c>
      <c r="J215" s="1" t="str">
        <f t="shared" si="20"/>
        <v>High</v>
      </c>
      <c r="K215" s="1" t="str">
        <f t="shared" si="21"/>
        <v>High</v>
      </c>
      <c r="L215" s="1" t="str">
        <f t="shared" si="22"/>
        <v>Low</v>
      </c>
      <c r="M215" s="1" t="str">
        <f t="shared" si="23"/>
        <v>High</v>
      </c>
    </row>
    <row r="216" spans="1:13" x14ac:dyDescent="0.15">
      <c r="A216" s="17">
        <v>44330</v>
      </c>
      <c r="B216" s="5">
        <v>8.2027244763440699E-3</v>
      </c>
      <c r="C216" s="5">
        <v>-0.6518518518518519</v>
      </c>
      <c r="D216" s="5">
        <v>-1.2243767463457456E-2</v>
      </c>
      <c r="E216" s="5">
        <v>-8.0087368037858875E-3</v>
      </c>
      <c r="F216" s="5">
        <v>-2.777777777777779E-2</v>
      </c>
      <c r="G216" s="5">
        <v>0.1596756141949347</v>
      </c>
      <c r="H216" s="1" t="str">
        <f t="shared" si="18"/>
        <v>High</v>
      </c>
      <c r="I216" s="1" t="str">
        <f t="shared" si="19"/>
        <v>High</v>
      </c>
      <c r="J216" s="1" t="str">
        <f t="shared" si="20"/>
        <v>Low</v>
      </c>
      <c r="K216" s="1" t="str">
        <f t="shared" si="21"/>
        <v>Low</v>
      </c>
      <c r="L216" s="1" t="str">
        <f t="shared" si="22"/>
        <v>Low</v>
      </c>
      <c r="M216" s="1" t="str">
        <f t="shared" si="23"/>
        <v>High</v>
      </c>
    </row>
    <row r="217" spans="1:13" x14ac:dyDescent="0.15">
      <c r="A217" s="17">
        <v>44337</v>
      </c>
      <c r="B217" s="5">
        <v>-3.0509952055789546E-2</v>
      </c>
      <c r="C217" s="5">
        <v>-1.946808510638298</v>
      </c>
      <c r="D217" s="5">
        <v>6.2898614471080805E-3</v>
      </c>
      <c r="E217" s="5">
        <v>5.3211009174312096E-3</v>
      </c>
      <c r="F217" s="5">
        <v>0.17142857142857126</v>
      </c>
      <c r="G217" s="5">
        <v>-0.17519687731870626</v>
      </c>
      <c r="H217" s="1" t="str">
        <f t="shared" si="18"/>
        <v>Low</v>
      </c>
      <c r="I217" s="1" t="str">
        <f t="shared" si="19"/>
        <v>Low</v>
      </c>
      <c r="J217" s="1" t="str">
        <f t="shared" si="20"/>
        <v>High</v>
      </c>
      <c r="K217" s="1" t="str">
        <f t="shared" si="21"/>
        <v>High</v>
      </c>
      <c r="L217" s="1" t="str">
        <f t="shared" si="22"/>
        <v>High</v>
      </c>
      <c r="M217" s="1" t="str">
        <f t="shared" si="23"/>
        <v>Low</v>
      </c>
    </row>
    <row r="218" spans="1:13" x14ac:dyDescent="0.15">
      <c r="A218" s="17">
        <v>44344</v>
      </c>
      <c r="B218" s="5">
        <v>4.3758429491982609E-2</v>
      </c>
      <c r="C218" s="5">
        <v>-4.6853932584269664</v>
      </c>
      <c r="D218" s="5">
        <v>1.9142298277821546E-2</v>
      </c>
      <c r="E218" s="5">
        <v>2.682971345135976E-2</v>
      </c>
      <c r="F218" s="5">
        <v>-0.21951219512195108</v>
      </c>
      <c r="G218" s="5">
        <v>0.24609664825537547</v>
      </c>
      <c r="H218" s="1" t="str">
        <f t="shared" si="18"/>
        <v>High</v>
      </c>
      <c r="I218" s="1" t="str">
        <f t="shared" si="19"/>
        <v>Low</v>
      </c>
      <c r="J218" s="1" t="str">
        <f t="shared" si="20"/>
        <v>High</v>
      </c>
      <c r="K218" s="1" t="str">
        <f t="shared" si="21"/>
        <v>High</v>
      </c>
      <c r="L218" s="1" t="str">
        <f t="shared" si="22"/>
        <v>Low</v>
      </c>
      <c r="M218" s="1" t="str">
        <f t="shared" si="23"/>
        <v>High</v>
      </c>
    </row>
    <row r="219" spans="1:13" x14ac:dyDescent="0.15">
      <c r="A219" s="17">
        <v>44351</v>
      </c>
      <c r="B219" s="5">
        <v>3.1155778894472075E-2</v>
      </c>
      <c r="C219" s="5">
        <v>0.59146341463414642</v>
      </c>
      <c r="D219" s="5">
        <v>2.0608221307850005E-2</v>
      </c>
      <c r="E219" s="5">
        <v>2.9150373266974672E-2</v>
      </c>
      <c r="F219" s="5">
        <v>-0.1875</v>
      </c>
      <c r="G219" s="5">
        <v>-0.17435116731601275</v>
      </c>
      <c r="H219" s="1" t="str">
        <f t="shared" si="18"/>
        <v>High</v>
      </c>
      <c r="I219" s="1" t="str">
        <f t="shared" si="19"/>
        <v>High</v>
      </c>
      <c r="J219" s="1" t="str">
        <f t="shared" si="20"/>
        <v>High</v>
      </c>
      <c r="K219" s="1" t="str">
        <f t="shared" si="21"/>
        <v>High</v>
      </c>
      <c r="L219" s="1" t="str">
        <f t="shared" si="22"/>
        <v>Low</v>
      </c>
      <c r="M219" s="1" t="str">
        <f t="shared" si="23"/>
        <v>Low</v>
      </c>
    </row>
    <row r="220" spans="1:13" x14ac:dyDescent="0.15">
      <c r="A220" s="17">
        <v>44358</v>
      </c>
      <c r="B220" s="5">
        <v>1.1138958507379781E-2</v>
      </c>
      <c r="C220" s="5">
        <v>-0.29118773946360144</v>
      </c>
      <c r="D220" s="5">
        <v>8.956172536330298E-3</v>
      </c>
      <c r="E220" s="5">
        <v>1.899827288428324E-2</v>
      </c>
      <c r="F220" s="5">
        <v>0.26923076923076916</v>
      </c>
      <c r="G220" s="5">
        <v>0.41670339135074896</v>
      </c>
      <c r="H220" s="1" t="str">
        <f t="shared" si="18"/>
        <v>High</v>
      </c>
      <c r="I220" s="1" t="str">
        <f t="shared" si="19"/>
        <v>High</v>
      </c>
      <c r="J220" s="1" t="str">
        <f t="shared" si="20"/>
        <v>High</v>
      </c>
      <c r="K220" s="1" t="str">
        <f t="shared" si="21"/>
        <v>High</v>
      </c>
      <c r="L220" s="1" t="str">
        <f t="shared" si="22"/>
        <v>High</v>
      </c>
      <c r="M220" s="1" t="str">
        <f t="shared" si="23"/>
        <v>High</v>
      </c>
    </row>
    <row r="221" spans="1:13" x14ac:dyDescent="0.15">
      <c r="A221" s="17">
        <v>44365</v>
      </c>
      <c r="B221" s="5">
        <v>8.2621867254200065E-3</v>
      </c>
      <c r="C221" s="5">
        <v>-0.24864864864864877</v>
      </c>
      <c r="D221" s="5">
        <v>-1.0042873542572939E-2</v>
      </c>
      <c r="E221" s="5">
        <v>-2.3389830508474652E-2</v>
      </c>
      <c r="F221" s="5">
        <v>0</v>
      </c>
      <c r="G221" s="5">
        <v>-6.8414070850575381E-2</v>
      </c>
      <c r="H221" s="1" t="str">
        <f t="shared" si="18"/>
        <v>High</v>
      </c>
      <c r="I221" s="1" t="str">
        <f t="shared" si="19"/>
        <v>High</v>
      </c>
      <c r="J221" s="1" t="str">
        <f t="shared" si="20"/>
        <v>Low</v>
      </c>
      <c r="K221" s="1" t="str">
        <f t="shared" si="21"/>
        <v>Low</v>
      </c>
      <c r="L221" s="1" t="str">
        <f t="shared" si="22"/>
        <v>Low</v>
      </c>
      <c r="M221" s="1" t="str">
        <f t="shared" si="23"/>
        <v>Low</v>
      </c>
    </row>
    <row r="222" spans="1:13" x14ac:dyDescent="0.15">
      <c r="A222" s="17">
        <v>44372</v>
      </c>
      <c r="B222" s="5">
        <v>3.8104343075662461E-2</v>
      </c>
      <c r="C222" s="5">
        <v>0.3633093525179858</v>
      </c>
      <c r="D222" s="5">
        <v>7.5967341143061695E-3</v>
      </c>
      <c r="E222" s="5">
        <v>1.8396390142311647E-2</v>
      </c>
      <c r="F222" s="5">
        <v>6.0606060606060552E-2</v>
      </c>
      <c r="G222" s="5">
        <v>-0.5187378485726053</v>
      </c>
      <c r="H222" s="1" t="str">
        <f t="shared" si="18"/>
        <v>High</v>
      </c>
      <c r="I222" s="1" t="str">
        <f t="shared" si="19"/>
        <v>High</v>
      </c>
      <c r="J222" s="1" t="str">
        <f t="shared" si="20"/>
        <v>High</v>
      </c>
      <c r="K222" s="1" t="str">
        <f t="shared" si="21"/>
        <v>High</v>
      </c>
      <c r="L222" s="1" t="str">
        <f t="shared" si="22"/>
        <v>Low</v>
      </c>
      <c r="M222" s="1" t="str">
        <f t="shared" si="23"/>
        <v>Low</v>
      </c>
    </row>
    <row r="223" spans="1:13" x14ac:dyDescent="0.15">
      <c r="A223" s="17">
        <v>44379</v>
      </c>
      <c r="B223" s="5">
        <v>-5.2624654650712532E-4</v>
      </c>
      <c r="C223" s="5">
        <v>-0.23218997361477567</v>
      </c>
      <c r="D223" s="5">
        <v>8.7634139212493523E-3</v>
      </c>
      <c r="E223" s="5">
        <v>-6.8166325835039565E-4</v>
      </c>
      <c r="F223" s="5">
        <v>0.22857142857142843</v>
      </c>
      <c r="G223" s="5">
        <v>0.26006395575701835</v>
      </c>
      <c r="H223" s="1" t="str">
        <f t="shared" si="18"/>
        <v>Low</v>
      </c>
      <c r="I223" s="1" t="str">
        <f t="shared" si="19"/>
        <v>High</v>
      </c>
      <c r="J223" s="1" t="str">
        <f t="shared" si="20"/>
        <v>High</v>
      </c>
      <c r="K223" s="1" t="str">
        <f t="shared" si="21"/>
        <v>Low</v>
      </c>
      <c r="L223" s="1" t="str">
        <f t="shared" si="22"/>
        <v>High</v>
      </c>
      <c r="M223" s="1" t="str">
        <f t="shared" si="23"/>
        <v>High</v>
      </c>
    </row>
    <row r="224" spans="1:13" x14ac:dyDescent="0.15">
      <c r="A224" s="17">
        <v>44386</v>
      </c>
      <c r="B224" s="5">
        <v>-5.1336053705409723E-3</v>
      </c>
      <c r="C224" s="5">
        <v>-0.2371134020618556</v>
      </c>
      <c r="D224" s="5">
        <v>-2.61549844518838E-3</v>
      </c>
      <c r="E224" s="5">
        <v>-1.6712141882674003E-2</v>
      </c>
      <c r="F224" s="5">
        <v>0.23255813953488369</v>
      </c>
      <c r="G224" s="5">
        <v>0.28202575091432758</v>
      </c>
      <c r="H224" s="1" t="str">
        <f t="shared" si="18"/>
        <v>Low</v>
      </c>
      <c r="I224" s="1" t="str">
        <f t="shared" si="19"/>
        <v>High</v>
      </c>
      <c r="J224" s="1" t="str">
        <f t="shared" si="20"/>
        <v>Low</v>
      </c>
      <c r="K224" s="1" t="str">
        <f t="shared" si="21"/>
        <v>Low</v>
      </c>
      <c r="L224" s="1" t="str">
        <f t="shared" si="22"/>
        <v>High</v>
      </c>
      <c r="M224" s="1" t="str">
        <f t="shared" si="23"/>
        <v>High</v>
      </c>
    </row>
    <row r="225" spans="1:13" x14ac:dyDescent="0.15">
      <c r="A225" s="17">
        <v>44393</v>
      </c>
      <c r="B225" s="5">
        <v>-3.0166710770044958E-2</v>
      </c>
      <c r="C225" s="5">
        <v>-1.3513513513513598E-2</v>
      </c>
      <c r="D225" s="5">
        <v>-2.2089014891150116E-2</v>
      </c>
      <c r="E225" s="5">
        <v>-1.7689906347554518E-2</v>
      </c>
      <c r="F225" s="5">
        <v>9.4339622641509413E-2</v>
      </c>
      <c r="G225" s="5">
        <v>1.6404287454819144E-2</v>
      </c>
      <c r="H225" s="1" t="str">
        <f t="shared" si="18"/>
        <v>Low</v>
      </c>
      <c r="I225" s="1" t="str">
        <f t="shared" si="19"/>
        <v>High</v>
      </c>
      <c r="J225" s="1" t="str">
        <f t="shared" si="20"/>
        <v>Low</v>
      </c>
      <c r="K225" s="1" t="str">
        <f t="shared" si="21"/>
        <v>Low</v>
      </c>
      <c r="L225" s="1" t="str">
        <f t="shared" si="22"/>
        <v>Low</v>
      </c>
      <c r="M225" s="1" t="str">
        <f t="shared" si="23"/>
        <v>Low</v>
      </c>
    </row>
    <row r="226" spans="1:13" x14ac:dyDescent="0.15">
      <c r="A226" s="17">
        <v>44400</v>
      </c>
      <c r="B226" s="5">
        <v>1.2141882673942783E-2</v>
      </c>
      <c r="C226" s="5">
        <v>0.8447488584474887</v>
      </c>
      <c r="D226" s="5">
        <v>-9.4452475365701671E-3</v>
      </c>
      <c r="E226" s="5">
        <v>-4.9435028248587809E-3</v>
      </c>
      <c r="F226" s="5">
        <v>-0.13793103448275856</v>
      </c>
      <c r="G226" s="5">
        <v>-0.30712818936500585</v>
      </c>
      <c r="H226" s="1" t="str">
        <f t="shared" si="18"/>
        <v>High</v>
      </c>
      <c r="I226" s="1" t="str">
        <f t="shared" si="19"/>
        <v>High</v>
      </c>
      <c r="J226" s="1" t="str">
        <f t="shared" si="20"/>
        <v>Low</v>
      </c>
      <c r="K226" s="1" t="str">
        <f t="shared" si="21"/>
        <v>Low</v>
      </c>
      <c r="L226" s="1" t="str">
        <f t="shared" si="22"/>
        <v>Low</v>
      </c>
      <c r="M226" s="1" t="str">
        <f t="shared" si="23"/>
        <v>Low</v>
      </c>
    </row>
    <row r="227" spans="1:13" x14ac:dyDescent="0.15">
      <c r="A227" s="17">
        <v>44407</v>
      </c>
      <c r="B227" s="5">
        <v>2.8844857797546863E-2</v>
      </c>
      <c r="C227" s="5">
        <v>0.83910891089108897</v>
      </c>
      <c r="D227" s="5">
        <v>9.9182228601113476E-3</v>
      </c>
      <c r="E227" s="5">
        <v>2.0936834634492474E-2</v>
      </c>
      <c r="F227" s="5">
        <v>-4.0000000000000036E-2</v>
      </c>
      <c r="G227" s="5">
        <v>7.5806655841493154E-2</v>
      </c>
      <c r="H227" s="1" t="str">
        <f t="shared" si="18"/>
        <v>High</v>
      </c>
      <c r="I227" s="1" t="str">
        <f t="shared" si="19"/>
        <v>High</v>
      </c>
      <c r="J227" s="1" t="str">
        <f t="shared" si="20"/>
        <v>High</v>
      </c>
      <c r="K227" s="1" t="str">
        <f t="shared" si="21"/>
        <v>High</v>
      </c>
      <c r="L227" s="1" t="str">
        <f t="shared" si="22"/>
        <v>Low</v>
      </c>
      <c r="M227" s="1" t="str">
        <f t="shared" si="23"/>
        <v>High</v>
      </c>
    </row>
    <row r="228" spans="1:13" x14ac:dyDescent="0.15">
      <c r="A228" s="17">
        <v>44414</v>
      </c>
      <c r="B228" s="5">
        <v>-7.6509891261627216E-2</v>
      </c>
      <c r="C228" s="5">
        <v>-0.62449528936742937</v>
      </c>
      <c r="D228" s="5">
        <v>8.9564585664363427E-3</v>
      </c>
      <c r="E228" s="5">
        <v>4.5185957594715553E-3</v>
      </c>
      <c r="F228" s="5">
        <v>-0.1875</v>
      </c>
      <c r="G228" s="5">
        <v>0.39191389726641157</v>
      </c>
      <c r="H228" s="1" t="str">
        <f t="shared" si="18"/>
        <v>Low</v>
      </c>
      <c r="I228" s="1" t="str">
        <f t="shared" si="19"/>
        <v>High</v>
      </c>
      <c r="J228" s="1" t="str">
        <f t="shared" si="20"/>
        <v>High</v>
      </c>
      <c r="K228" s="1" t="str">
        <f t="shared" si="21"/>
        <v>High</v>
      </c>
      <c r="L228" s="1" t="str">
        <f t="shared" si="22"/>
        <v>Low</v>
      </c>
      <c r="M228" s="1" t="str">
        <f t="shared" si="23"/>
        <v>High</v>
      </c>
    </row>
    <row r="229" spans="1:13" x14ac:dyDescent="0.15">
      <c r="A229" s="17">
        <v>44421</v>
      </c>
      <c r="B229" s="5">
        <v>-3.4047382607461651E-3</v>
      </c>
      <c r="C229" s="5">
        <v>0.62724014336917566</v>
      </c>
      <c r="D229" s="5">
        <v>1.7774927996299983E-2</v>
      </c>
      <c r="E229" s="5">
        <v>1.2802768166090051E-2</v>
      </c>
      <c r="F229" s="5">
        <v>0.15384615384615397</v>
      </c>
      <c r="G229" s="5">
        <v>-8.8771280806000386E-2</v>
      </c>
      <c r="H229" s="1" t="str">
        <f t="shared" si="18"/>
        <v>Low</v>
      </c>
      <c r="I229" s="1" t="str">
        <f t="shared" si="19"/>
        <v>High</v>
      </c>
      <c r="J229" s="1" t="str">
        <f t="shared" si="20"/>
        <v>High</v>
      </c>
      <c r="K229" s="1" t="str">
        <f t="shared" si="21"/>
        <v>High</v>
      </c>
      <c r="L229" s="1" t="str">
        <f t="shared" si="22"/>
        <v>Low</v>
      </c>
      <c r="M229" s="1" t="str">
        <f t="shared" si="23"/>
        <v>Low</v>
      </c>
    </row>
    <row r="230" spans="1:13" x14ac:dyDescent="0.15">
      <c r="A230" s="17">
        <v>44428</v>
      </c>
      <c r="B230" s="5">
        <v>-7.4733096085409234E-2</v>
      </c>
      <c r="C230" s="5">
        <v>-0.88546255506607929</v>
      </c>
      <c r="D230" s="5">
        <v>-1.0405370513813628E-2</v>
      </c>
      <c r="E230" s="5">
        <v>-2.9723266142808402E-2</v>
      </c>
      <c r="F230" s="5">
        <v>8.8888888888889017E-2</v>
      </c>
      <c r="G230" s="5">
        <v>0.1422901122757918</v>
      </c>
      <c r="H230" s="1" t="str">
        <f t="shared" si="18"/>
        <v>Low</v>
      </c>
      <c r="I230" s="1" t="str">
        <f t="shared" si="19"/>
        <v>High</v>
      </c>
      <c r="J230" s="1" t="str">
        <f t="shared" si="20"/>
        <v>Low</v>
      </c>
      <c r="K230" s="1" t="str">
        <f t="shared" si="21"/>
        <v>Low</v>
      </c>
      <c r="L230" s="1" t="str">
        <f t="shared" si="22"/>
        <v>Low</v>
      </c>
      <c r="M230" s="1" t="str">
        <f t="shared" si="23"/>
        <v>High</v>
      </c>
    </row>
    <row r="231" spans="1:13" x14ac:dyDescent="0.15">
      <c r="A231" s="17">
        <v>44435</v>
      </c>
      <c r="B231" s="5">
        <v>0.11923076923076925</v>
      </c>
      <c r="C231" s="5">
        <v>18.288461538461537</v>
      </c>
      <c r="D231" s="5">
        <v>1.4266704933858732E-2</v>
      </c>
      <c r="E231" s="5">
        <v>2.5352112676056526E-2</v>
      </c>
      <c r="F231" s="5">
        <v>-0.22448979591836749</v>
      </c>
      <c r="G231" s="5">
        <v>-0.4082142379698277</v>
      </c>
      <c r="H231" s="1" t="str">
        <f t="shared" si="18"/>
        <v>High</v>
      </c>
      <c r="I231" s="1" t="str">
        <f t="shared" si="19"/>
        <v>High</v>
      </c>
      <c r="J231" s="1" t="str">
        <f t="shared" si="20"/>
        <v>High</v>
      </c>
      <c r="K231" s="1" t="str">
        <f t="shared" si="21"/>
        <v>High</v>
      </c>
      <c r="L231" s="1" t="str">
        <f t="shared" si="22"/>
        <v>Low</v>
      </c>
      <c r="M231" s="1" t="str">
        <f t="shared" si="23"/>
        <v>Low</v>
      </c>
    </row>
    <row r="232" spans="1:13" x14ac:dyDescent="0.15">
      <c r="A232" s="17">
        <v>44442</v>
      </c>
      <c r="B232" s="5">
        <v>-3.711340206185465E-3</v>
      </c>
      <c r="C232" s="5">
        <v>-0.27916251246261203</v>
      </c>
      <c r="D232" s="5">
        <v>2.940798172548087E-2</v>
      </c>
      <c r="E232" s="5">
        <v>3.6401098901098772E-2</v>
      </c>
      <c r="F232" s="5">
        <v>-0.18421052631578938</v>
      </c>
      <c r="G232" s="5">
        <v>0.27188660040926615</v>
      </c>
      <c r="H232" s="1" t="str">
        <f t="shared" si="18"/>
        <v>Low</v>
      </c>
      <c r="I232" s="1" t="str">
        <f t="shared" si="19"/>
        <v>High</v>
      </c>
      <c r="J232" s="1" t="str">
        <f t="shared" si="20"/>
        <v>High</v>
      </c>
      <c r="K232" s="1" t="str">
        <f t="shared" si="21"/>
        <v>High</v>
      </c>
      <c r="L232" s="1" t="str">
        <f t="shared" si="22"/>
        <v>Low</v>
      </c>
      <c r="M232" s="1" t="str">
        <f t="shared" si="23"/>
        <v>High</v>
      </c>
    </row>
    <row r="233" spans="1:13" x14ac:dyDescent="0.15">
      <c r="A233" s="17">
        <v>44449</v>
      </c>
      <c r="B233" s="5">
        <v>6.4845474613686171E-3</v>
      </c>
      <c r="C233" s="5">
        <v>-0.31811894882434311</v>
      </c>
      <c r="D233" s="5">
        <v>2.3989804333157672E-4</v>
      </c>
      <c r="E233" s="5">
        <v>-1.2259774685221991E-2</v>
      </c>
      <c r="F233" s="5">
        <v>-0.35483870967741937</v>
      </c>
      <c r="G233" s="5">
        <v>0.60581736294816957</v>
      </c>
      <c r="H233" s="1" t="str">
        <f t="shared" si="18"/>
        <v>High</v>
      </c>
      <c r="I233" s="1" t="str">
        <f t="shared" si="19"/>
        <v>High</v>
      </c>
      <c r="J233" s="1" t="str">
        <f t="shared" si="20"/>
        <v>Low</v>
      </c>
      <c r="K233" s="1" t="str">
        <f t="shared" si="21"/>
        <v>Low</v>
      </c>
      <c r="L233" s="1" t="str">
        <f t="shared" si="22"/>
        <v>Low</v>
      </c>
      <c r="M233" s="1" t="str">
        <f t="shared" si="23"/>
        <v>High</v>
      </c>
    </row>
    <row r="234" spans="1:13" x14ac:dyDescent="0.15">
      <c r="A234" s="17">
        <v>44456</v>
      </c>
      <c r="B234" s="5">
        <v>3.4818368745716199E-2</v>
      </c>
      <c r="C234" s="5">
        <v>0.4989858012170385</v>
      </c>
      <c r="D234" s="5">
        <v>8.1220988042951525E-3</v>
      </c>
      <c r="E234" s="5">
        <v>7.0446159007044873E-3</v>
      </c>
      <c r="F234" s="5">
        <v>1.5</v>
      </c>
      <c r="G234" s="5">
        <v>-0.22602437988642998</v>
      </c>
      <c r="H234" s="1" t="str">
        <f t="shared" si="18"/>
        <v>High</v>
      </c>
      <c r="I234" s="1" t="str">
        <f t="shared" si="19"/>
        <v>High</v>
      </c>
      <c r="J234" s="1" t="str">
        <f t="shared" si="20"/>
        <v>High</v>
      </c>
      <c r="K234" s="1" t="str">
        <f t="shared" si="21"/>
        <v>High</v>
      </c>
      <c r="L234" s="1" t="str">
        <f t="shared" si="22"/>
        <v>High</v>
      </c>
      <c r="M234" s="1" t="str">
        <f t="shared" si="23"/>
        <v>Low</v>
      </c>
    </row>
    <row r="235" spans="1:13" x14ac:dyDescent="0.15">
      <c r="A235" s="17">
        <v>44463</v>
      </c>
      <c r="B235" s="5">
        <v>3.4176712147304222E-2</v>
      </c>
      <c r="C235" s="5">
        <v>0.121786197564276</v>
      </c>
      <c r="D235" s="5">
        <v>7.5833236270095306E-4</v>
      </c>
      <c r="E235" s="5">
        <v>3.6642238507660352E-3</v>
      </c>
      <c r="F235" s="5">
        <v>-1.9999999999999907E-2</v>
      </c>
      <c r="G235" s="5">
        <v>6.9797580133379444E-2</v>
      </c>
      <c r="H235" s="1" t="str">
        <f t="shared" si="18"/>
        <v>High</v>
      </c>
      <c r="I235" s="1" t="str">
        <f t="shared" si="19"/>
        <v>High</v>
      </c>
      <c r="J235" s="1" t="str">
        <f t="shared" si="20"/>
        <v>Low</v>
      </c>
      <c r="K235" s="1" t="str">
        <f t="shared" si="21"/>
        <v>High</v>
      </c>
      <c r="L235" s="1" t="str">
        <f t="shared" si="22"/>
        <v>Low</v>
      </c>
      <c r="M235" s="1" t="str">
        <f t="shared" si="23"/>
        <v>High</v>
      </c>
    </row>
    <row r="236" spans="1:13" x14ac:dyDescent="0.15">
      <c r="A236" s="17">
        <v>44470</v>
      </c>
      <c r="B236" s="5">
        <v>1.4986550531574272E-2</v>
      </c>
      <c r="C236" s="5">
        <v>-8.4439083232810574E-2</v>
      </c>
      <c r="D236" s="5">
        <v>1.2074597038801649E-2</v>
      </c>
      <c r="E236" s="5">
        <v>9.6249585131098492E-3</v>
      </c>
      <c r="F236" s="5">
        <v>-0.16326530612244916</v>
      </c>
      <c r="G236" s="5">
        <v>0.1368022427391471</v>
      </c>
      <c r="H236" s="1" t="str">
        <f t="shared" si="18"/>
        <v>High</v>
      </c>
      <c r="I236" s="1" t="str">
        <f t="shared" si="19"/>
        <v>High</v>
      </c>
      <c r="J236" s="1" t="str">
        <f t="shared" si="20"/>
        <v>High</v>
      </c>
      <c r="K236" s="1" t="str">
        <f t="shared" si="21"/>
        <v>High</v>
      </c>
      <c r="L236" s="1" t="str">
        <f t="shared" si="22"/>
        <v>Low</v>
      </c>
      <c r="M236" s="1" t="str">
        <f t="shared" si="23"/>
        <v>High</v>
      </c>
    </row>
    <row r="237" spans="1:13" x14ac:dyDescent="0.15">
      <c r="A237" s="17">
        <v>44477</v>
      </c>
      <c r="B237" s="5">
        <v>4.2150429076224238E-2</v>
      </c>
      <c r="C237" s="5">
        <v>0.15810276679841895</v>
      </c>
      <c r="D237" s="5">
        <v>3.6948952652196443E-2</v>
      </c>
      <c r="E237" s="5">
        <v>5.1610782380012932E-2</v>
      </c>
      <c r="F237" s="5">
        <v>4.8780487804878092E-2</v>
      </c>
      <c r="G237" s="5">
        <v>-0.1334276238371267</v>
      </c>
      <c r="H237" s="1" t="str">
        <f t="shared" si="18"/>
        <v>High</v>
      </c>
      <c r="I237" s="1" t="str">
        <f t="shared" si="19"/>
        <v>High</v>
      </c>
      <c r="J237" s="1" t="str">
        <f t="shared" si="20"/>
        <v>High</v>
      </c>
      <c r="K237" s="1" t="str">
        <f t="shared" si="21"/>
        <v>High</v>
      </c>
      <c r="L237" s="1" t="str">
        <f t="shared" si="22"/>
        <v>Low</v>
      </c>
      <c r="M237" s="1" t="str">
        <f t="shared" si="23"/>
        <v>Low</v>
      </c>
    </row>
    <row r="238" spans="1:13" x14ac:dyDescent="0.15">
      <c r="A238" s="17">
        <v>44484</v>
      </c>
      <c r="B238" s="5">
        <v>2.8336158876241191E-2</v>
      </c>
      <c r="C238" s="5">
        <v>0.10238907849829348</v>
      </c>
      <c r="D238" s="5">
        <v>5.6205757432750136E-3</v>
      </c>
      <c r="E238" s="5">
        <v>2.0318849640512671E-2</v>
      </c>
      <c r="F238" s="5">
        <v>0</v>
      </c>
      <c r="G238" s="5">
        <v>0.20604073729449701</v>
      </c>
      <c r="H238" s="1" t="str">
        <f t="shared" si="18"/>
        <v>High</v>
      </c>
      <c r="I238" s="1" t="str">
        <f t="shared" si="19"/>
        <v>High</v>
      </c>
      <c r="J238" s="1" t="str">
        <f t="shared" si="20"/>
        <v>High</v>
      </c>
      <c r="K238" s="1" t="str">
        <f t="shared" si="21"/>
        <v>High</v>
      </c>
      <c r="L238" s="1" t="str">
        <f t="shared" si="22"/>
        <v>Low</v>
      </c>
      <c r="M238" s="1" t="str">
        <f t="shared" si="23"/>
        <v>High</v>
      </c>
    </row>
    <row r="239" spans="1:13" x14ac:dyDescent="0.15">
      <c r="A239" s="17">
        <v>44491</v>
      </c>
      <c r="B239" s="5">
        <v>1.0009420631182264E-2</v>
      </c>
      <c r="C239" s="5">
        <v>-0.2683178534571723</v>
      </c>
      <c r="D239" s="5">
        <v>-1.521885016260649E-2</v>
      </c>
      <c r="E239" s="5">
        <v>9.1911764705887578E-4</v>
      </c>
      <c r="F239" s="5">
        <v>-0.16279069767441856</v>
      </c>
      <c r="G239" s="5">
        <v>-0.11917404981914537</v>
      </c>
      <c r="H239" s="1" t="str">
        <f t="shared" si="18"/>
        <v>High</v>
      </c>
      <c r="I239" s="1" t="str">
        <f t="shared" si="19"/>
        <v>High</v>
      </c>
      <c r="J239" s="1" t="str">
        <f t="shared" si="20"/>
        <v>Low</v>
      </c>
      <c r="K239" s="1" t="str">
        <f t="shared" si="21"/>
        <v>Low</v>
      </c>
      <c r="L239" s="1" t="str">
        <f t="shared" si="22"/>
        <v>Low</v>
      </c>
      <c r="M239" s="1" t="str">
        <f t="shared" si="23"/>
        <v>Low</v>
      </c>
    </row>
    <row r="240" spans="1:13" x14ac:dyDescent="0.15">
      <c r="A240" s="17">
        <v>44498</v>
      </c>
      <c r="B240" s="5">
        <v>-1.6206132680424368E-2</v>
      </c>
      <c r="C240" s="5">
        <v>-0.44569816643159377</v>
      </c>
      <c r="D240" s="5">
        <v>-1.1189051122717397E-2</v>
      </c>
      <c r="E240" s="5">
        <v>-2.0508111417202324E-2</v>
      </c>
      <c r="F240" s="5">
        <v>-0.22222222222222232</v>
      </c>
      <c r="G240" s="5">
        <v>-0.30553802367495153</v>
      </c>
      <c r="H240" s="1" t="str">
        <f t="shared" si="18"/>
        <v>Low</v>
      </c>
      <c r="I240" s="1" t="str">
        <f t="shared" si="19"/>
        <v>High</v>
      </c>
      <c r="J240" s="1" t="str">
        <f t="shared" si="20"/>
        <v>Low</v>
      </c>
      <c r="K240" s="1" t="str">
        <f t="shared" si="21"/>
        <v>Low</v>
      </c>
      <c r="L240" s="1" t="str">
        <f t="shared" si="22"/>
        <v>Low</v>
      </c>
      <c r="M240" s="1" t="str">
        <f t="shared" si="23"/>
        <v>Low</v>
      </c>
    </row>
    <row r="241" spans="1:15" x14ac:dyDescent="0.15">
      <c r="A241" s="17">
        <v>44505</v>
      </c>
      <c r="B241" s="5">
        <v>-2.1687603697558622E-2</v>
      </c>
      <c r="C241" s="5">
        <v>-0.52671755725190839</v>
      </c>
      <c r="D241" s="5">
        <v>5.966265060241005E-3</v>
      </c>
      <c r="E241" s="5">
        <v>-2.1875000000000089E-3</v>
      </c>
      <c r="F241" s="5">
        <v>0.14285714285714302</v>
      </c>
      <c r="G241" s="5">
        <v>0.45688220932205614</v>
      </c>
      <c r="H241" s="1" t="str">
        <f t="shared" si="18"/>
        <v>Low</v>
      </c>
      <c r="I241" s="1" t="str">
        <f t="shared" si="19"/>
        <v>High</v>
      </c>
      <c r="J241" s="1" t="str">
        <f t="shared" si="20"/>
        <v>High</v>
      </c>
      <c r="K241" s="1" t="str">
        <f t="shared" si="21"/>
        <v>Low</v>
      </c>
      <c r="L241" s="1" t="str">
        <f t="shared" si="22"/>
        <v>Low</v>
      </c>
      <c r="M241" s="1" t="str">
        <f t="shared" si="23"/>
        <v>High</v>
      </c>
    </row>
    <row r="242" spans="1:15" x14ac:dyDescent="0.15">
      <c r="A242" s="17">
        <v>44512</v>
      </c>
      <c r="B242" s="5">
        <v>-7.2683222289521288E-3</v>
      </c>
      <c r="C242" s="5">
        <v>-5.9139784946236618E-2</v>
      </c>
      <c r="D242" s="5">
        <v>-1.2719294043250451E-2</v>
      </c>
      <c r="E242" s="5">
        <v>-2.0670216097713801E-2</v>
      </c>
      <c r="F242" s="5">
        <v>-9.3750000000000111E-2</v>
      </c>
      <c r="G242" s="5">
        <v>-0.21878686095073174</v>
      </c>
      <c r="H242" s="1" t="str">
        <f t="shared" si="18"/>
        <v>Low</v>
      </c>
      <c r="I242" s="1" t="str">
        <f t="shared" si="19"/>
        <v>High</v>
      </c>
      <c r="J242" s="1" t="str">
        <f t="shared" si="20"/>
        <v>Low</v>
      </c>
      <c r="K242" s="1" t="str">
        <f t="shared" si="21"/>
        <v>Low</v>
      </c>
      <c r="L242" s="1" t="str">
        <f t="shared" si="22"/>
        <v>Low</v>
      </c>
      <c r="M242" s="1" t="str">
        <f t="shared" si="23"/>
        <v>Low</v>
      </c>
    </row>
    <row r="243" spans="1:15" x14ac:dyDescent="0.15">
      <c r="A243" s="17">
        <v>44519</v>
      </c>
      <c r="B243" s="5">
        <v>-4.0146430750457651E-2</v>
      </c>
      <c r="C243" s="5">
        <v>-0.98285714285714287</v>
      </c>
      <c r="D243" s="5">
        <v>-2.5521270556038145E-2</v>
      </c>
      <c r="E243" s="5">
        <v>-4.3172369683402545E-2</v>
      </c>
      <c r="F243" s="5">
        <v>0.13793103448275867</v>
      </c>
      <c r="G243" s="5">
        <v>0.11793600999234322</v>
      </c>
      <c r="H243" s="1" t="str">
        <f t="shared" si="18"/>
        <v>Low</v>
      </c>
      <c r="I243" s="1" t="str">
        <f t="shared" si="19"/>
        <v>High</v>
      </c>
      <c r="J243" s="1" t="str">
        <f t="shared" si="20"/>
        <v>Low</v>
      </c>
      <c r="K243" s="1" t="str">
        <f t="shared" si="21"/>
        <v>Low</v>
      </c>
      <c r="L243" s="1" t="str">
        <f t="shared" si="22"/>
        <v>Low</v>
      </c>
      <c r="M243" s="1" t="str">
        <f t="shared" si="23"/>
        <v>High</v>
      </c>
    </row>
    <row r="244" spans="1:15" x14ac:dyDescent="0.15">
      <c r="A244" s="17">
        <v>44526</v>
      </c>
      <c r="B244" s="5">
        <v>-7.33536740401729E-2</v>
      </c>
      <c r="C244" s="5">
        <v>-68.333333333333343</v>
      </c>
      <c r="D244" s="5">
        <v>-5.1161841119191642E-2</v>
      </c>
      <c r="E244" s="5">
        <v>-7.5200534759358284E-2</v>
      </c>
      <c r="F244" s="5">
        <v>-0.15151515151515149</v>
      </c>
      <c r="G244" s="5">
        <v>-0.36185127932269179</v>
      </c>
      <c r="H244" s="1" t="str">
        <f t="shared" si="18"/>
        <v>Low</v>
      </c>
      <c r="I244" s="1" t="str">
        <f t="shared" si="19"/>
        <v>Low</v>
      </c>
      <c r="J244" s="1" t="str">
        <f t="shared" si="20"/>
        <v>Low</v>
      </c>
      <c r="K244" s="1" t="str">
        <f t="shared" si="21"/>
        <v>Low</v>
      </c>
      <c r="L244" s="1" t="str">
        <f t="shared" si="22"/>
        <v>Low</v>
      </c>
      <c r="M244" s="1" t="str">
        <f t="shared" si="23"/>
        <v>Low</v>
      </c>
    </row>
    <row r="245" spans="1:15" x14ac:dyDescent="0.15">
      <c r="A245" s="17">
        <v>44533</v>
      </c>
      <c r="B245" s="5">
        <v>-3.7728083413362645E-2</v>
      </c>
      <c r="C245" s="5">
        <v>-3.222772277227723</v>
      </c>
      <c r="D245" s="5">
        <v>2.6785761142803066E-2</v>
      </c>
      <c r="E245" s="5">
        <v>4.1741958800144419E-2</v>
      </c>
      <c r="F245" s="5">
        <v>0</v>
      </c>
      <c r="G245" s="5">
        <v>0.92052412478490875</v>
      </c>
      <c r="H245" s="1" t="str">
        <f t="shared" si="18"/>
        <v>Low</v>
      </c>
      <c r="I245" s="1" t="str">
        <f t="shared" si="19"/>
        <v>Low</v>
      </c>
      <c r="J245" s="1" t="str">
        <f t="shared" si="20"/>
        <v>High</v>
      </c>
      <c r="K245" s="1" t="str">
        <f t="shared" si="21"/>
        <v>High</v>
      </c>
      <c r="L245" s="1" t="str">
        <f t="shared" si="22"/>
        <v>Low</v>
      </c>
      <c r="M245" s="1" t="str">
        <f t="shared" si="23"/>
        <v>High</v>
      </c>
    </row>
    <row r="246" spans="1:15" x14ac:dyDescent="0.15">
      <c r="A246" s="17">
        <v>44540</v>
      </c>
      <c r="B246" s="5">
        <v>7.3139435414884435E-2</v>
      </c>
      <c r="C246" s="5">
        <v>0.38975501113585742</v>
      </c>
      <c r="D246" s="5">
        <v>-3.9056390650795025E-2</v>
      </c>
      <c r="E246" s="5">
        <v>-2.6539462272333059E-2</v>
      </c>
      <c r="F246" s="5">
        <v>0</v>
      </c>
      <c r="G246" s="5">
        <v>-5.3619996842472539E-2</v>
      </c>
      <c r="H246" s="1" t="str">
        <f t="shared" si="18"/>
        <v>High</v>
      </c>
      <c r="I246" s="1" t="str">
        <f t="shared" si="19"/>
        <v>High</v>
      </c>
      <c r="J246" s="1" t="str">
        <f t="shared" si="20"/>
        <v>Low</v>
      </c>
      <c r="K246" s="1" t="str">
        <f t="shared" si="21"/>
        <v>Low</v>
      </c>
      <c r="L246" s="1" t="str">
        <f t="shared" si="22"/>
        <v>Low</v>
      </c>
      <c r="M246" s="1" t="str">
        <f t="shared" si="23"/>
        <v>Low</v>
      </c>
    </row>
    <row r="247" spans="1:15" x14ac:dyDescent="0.15">
      <c r="A247" s="27">
        <v>44547</v>
      </c>
      <c r="B247" s="28">
        <v>-3.1885213232363374E-2</v>
      </c>
      <c r="C247" s="28">
        <v>6.0897435897435903E-2</v>
      </c>
      <c r="D247" s="28">
        <v>-9.8291859806448612E-3</v>
      </c>
      <c r="E247" s="28">
        <v>-2.1739130434782594E-2</v>
      </c>
      <c r="F247" s="28">
        <v>-0.1785714285714286</v>
      </c>
      <c r="G247" s="28">
        <v>-0.25261086755876472</v>
      </c>
      <c r="H247" s="25" t="str">
        <f t="shared" si="18"/>
        <v>Low</v>
      </c>
      <c r="I247" s="25" t="str">
        <f t="shared" si="19"/>
        <v>High</v>
      </c>
      <c r="J247" s="25" t="str">
        <f t="shared" si="20"/>
        <v>Low</v>
      </c>
      <c r="K247" s="25" t="str">
        <f t="shared" si="21"/>
        <v>Low</v>
      </c>
      <c r="L247" s="25" t="str">
        <f t="shared" si="22"/>
        <v>Low</v>
      </c>
      <c r="M247" s="25" t="str">
        <f t="shared" si="23"/>
        <v>Low</v>
      </c>
    </row>
    <row r="249" spans="1:15" x14ac:dyDescent="0.15">
      <c r="B249" s="39" t="s">
        <v>46</v>
      </c>
      <c r="C249" s="39"/>
      <c r="D249" s="39"/>
      <c r="E249" s="39"/>
      <c r="F249" s="39"/>
      <c r="G249" s="39"/>
    </row>
    <row r="250" spans="1:15" x14ac:dyDescent="0.1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O250" s="16"/>
    </row>
    <row r="251" spans="1:15" x14ac:dyDescent="0.15">
      <c r="A251" s="17">
        <v>42741</v>
      </c>
      <c r="B251" s="5">
        <v>-2.0440528634361188E-2</v>
      </c>
      <c r="C251" s="5">
        <v>-3.2708475885078898</v>
      </c>
      <c r="D251" s="5">
        <v>-8.4645856011706933E-3</v>
      </c>
      <c r="E251" s="5">
        <v>-3.2527881040892437E-3</v>
      </c>
      <c r="F251" s="5">
        <v>-0.18000000000000005</v>
      </c>
      <c r="G251" s="5">
        <v>6.374236733922034E-2</v>
      </c>
      <c r="H251" s="39" t="str">
        <f t="shared" ref="H251:M251" si="24">IF(COUNTIF(H10:H13,"Low")&gt;2,"Low","High")</f>
        <v>Low</v>
      </c>
      <c r="I251" s="39" t="str">
        <f t="shared" si="24"/>
        <v>High</v>
      </c>
      <c r="J251" s="39" t="str">
        <f t="shared" si="24"/>
        <v>Low</v>
      </c>
      <c r="K251" s="39" t="str">
        <f t="shared" si="24"/>
        <v>Low</v>
      </c>
      <c r="L251" s="39" t="str">
        <f t="shared" si="24"/>
        <v>Low</v>
      </c>
      <c r="M251" s="39" t="str">
        <f t="shared" si="24"/>
        <v>High</v>
      </c>
      <c r="O251" s="16"/>
    </row>
    <row r="252" spans="1:15" x14ac:dyDescent="0.15">
      <c r="A252" s="17">
        <v>42748</v>
      </c>
      <c r="B252" s="5">
        <v>-1.7988846914912537E-3</v>
      </c>
      <c r="C252" s="5">
        <v>-0.68786444564856231</v>
      </c>
      <c r="D252" s="5">
        <v>-1.6048724711756113E-2</v>
      </c>
      <c r="E252" s="5">
        <v>-1.7249417249417309E-2</v>
      </c>
      <c r="F252" s="5">
        <v>-0.26829268292682917</v>
      </c>
      <c r="G252" s="5">
        <v>-6.9577381799054261E-2</v>
      </c>
      <c r="H252" s="39"/>
      <c r="I252" s="39"/>
      <c r="J252" s="39"/>
      <c r="K252" s="39"/>
      <c r="L252" s="39"/>
      <c r="M252" s="39"/>
      <c r="O252" s="16"/>
    </row>
    <row r="253" spans="1:15" x14ac:dyDescent="0.15">
      <c r="A253" s="17">
        <v>42755</v>
      </c>
      <c r="B253" s="5">
        <v>-5.4063795278425086E-4</v>
      </c>
      <c r="C253" s="5">
        <v>-9.8072080267676665E-2</v>
      </c>
      <c r="D253" s="5">
        <v>4.9116650308339116E-2</v>
      </c>
      <c r="E253" s="5">
        <v>4.743833017077792E-2</v>
      </c>
      <c r="F253" s="5">
        <v>6.6666666666666652E-2</v>
      </c>
      <c r="G253" s="5">
        <v>-3.2640243025142679E-2</v>
      </c>
      <c r="H253" s="39"/>
      <c r="I253" s="39"/>
      <c r="J253" s="39"/>
      <c r="K253" s="39"/>
      <c r="L253" s="39"/>
      <c r="M253" s="39"/>
      <c r="O253" s="16"/>
    </row>
    <row r="254" spans="1:15" x14ac:dyDescent="0.15">
      <c r="A254" s="17">
        <v>42762</v>
      </c>
      <c r="B254" s="5">
        <v>2.2719076812116823E-2</v>
      </c>
      <c r="C254" s="5">
        <v>-0.36992986164245478</v>
      </c>
      <c r="D254" s="5">
        <v>-1.7404735111758329E-2</v>
      </c>
      <c r="E254" s="5">
        <v>-1.26811594202898E-2</v>
      </c>
      <c r="F254" s="5">
        <v>9.375E-2</v>
      </c>
      <c r="G254" s="5">
        <v>0.15472414485550567</v>
      </c>
      <c r="H254" s="39"/>
      <c r="I254" s="39"/>
      <c r="J254" s="39"/>
      <c r="K254" s="39"/>
      <c r="L254" s="39"/>
      <c r="M254" s="39"/>
      <c r="O254" s="16"/>
    </row>
    <row r="255" spans="1:15" x14ac:dyDescent="0.15">
      <c r="A255" s="17">
        <v>42769</v>
      </c>
      <c r="B255" s="5">
        <v>-1.939351198871675E-3</v>
      </c>
      <c r="C255" s="5">
        <v>3.4432231026368552</v>
      </c>
      <c r="D255" s="5">
        <v>-2.8931874014757941E-2</v>
      </c>
      <c r="E255" s="5">
        <v>-3.2110091743119407E-3</v>
      </c>
      <c r="F255" s="5">
        <v>0.25714285714285734</v>
      </c>
      <c r="G255" s="5">
        <v>-4.1196487061209153E-2</v>
      </c>
      <c r="H255" s="39" t="str">
        <f t="shared" ref="H255:M255" si="25">IF(COUNTIF(H14:H17,"Low")&gt;2,"Low","High")</f>
        <v>Low</v>
      </c>
      <c r="I255" s="39" t="str">
        <f t="shared" si="25"/>
        <v>High</v>
      </c>
      <c r="J255" s="39" t="str">
        <f t="shared" si="25"/>
        <v>Low</v>
      </c>
      <c r="K255" s="39" t="str">
        <f t="shared" si="25"/>
        <v>Low</v>
      </c>
      <c r="L255" s="39" t="str">
        <f t="shared" si="25"/>
        <v>High</v>
      </c>
      <c r="M255" s="39" t="str">
        <f t="shared" si="25"/>
        <v>High</v>
      </c>
      <c r="O255" s="16"/>
    </row>
    <row r="256" spans="1:15" x14ac:dyDescent="0.15">
      <c r="A256" s="17">
        <v>42776</v>
      </c>
      <c r="B256" s="5">
        <v>-1.5721603956898034E-2</v>
      </c>
      <c r="C256" s="5">
        <v>-0.60063991302995512</v>
      </c>
      <c r="D256" s="5">
        <v>-1.5715547662323859E-2</v>
      </c>
      <c r="E256" s="5">
        <v>-2.3469857340082889E-2</v>
      </c>
      <c r="F256" s="5">
        <v>-0.13636363636363646</v>
      </c>
      <c r="G256" s="5">
        <v>0.17402808976503037</v>
      </c>
      <c r="H256" s="39"/>
      <c r="I256" s="39"/>
      <c r="J256" s="39"/>
      <c r="K256" s="39"/>
      <c r="L256" s="39"/>
      <c r="M256" s="39"/>
      <c r="O256" s="16"/>
    </row>
    <row r="257" spans="1:15" x14ac:dyDescent="0.15">
      <c r="A257" s="17">
        <v>42783</v>
      </c>
      <c r="B257" s="5">
        <v>5.7430007178751463E-3</v>
      </c>
      <c r="C257" s="5">
        <v>0.38620501466037416</v>
      </c>
      <c r="D257" s="5">
        <v>-1.6502130898736422E-2</v>
      </c>
      <c r="E257" s="5">
        <v>-2.3091423185673809E-2</v>
      </c>
      <c r="F257" s="5">
        <v>0.31578947368421062</v>
      </c>
      <c r="G257" s="5">
        <v>0.10639211379737912</v>
      </c>
      <c r="H257" s="39"/>
      <c r="I257" s="39"/>
      <c r="J257" s="39"/>
      <c r="K257" s="39"/>
      <c r="L257" s="39"/>
      <c r="M257" s="39"/>
      <c r="O257" s="16"/>
    </row>
    <row r="258" spans="1:15" x14ac:dyDescent="0.15">
      <c r="A258" s="17">
        <v>42790</v>
      </c>
      <c r="B258" s="5">
        <v>-5.8886509635973638E-3</v>
      </c>
      <c r="C258" s="5">
        <v>-1.0899342666922267</v>
      </c>
      <c r="D258" s="5">
        <v>-1.7295004037093609E-2</v>
      </c>
      <c r="E258" s="5">
        <v>-8.2006753497347873E-3</v>
      </c>
      <c r="F258" s="5">
        <v>-0.19999999999999996</v>
      </c>
      <c r="G258" s="5">
        <v>-0.24107527078096325</v>
      </c>
      <c r="H258" s="39"/>
      <c r="I258" s="39"/>
      <c r="J258" s="39"/>
      <c r="K258" s="39"/>
      <c r="L258" s="39"/>
      <c r="M258" s="39"/>
    </row>
    <row r="259" spans="1:15" x14ac:dyDescent="0.15">
      <c r="A259" s="17">
        <v>42797</v>
      </c>
      <c r="B259" s="5">
        <v>-7.9698438341410882E-2</v>
      </c>
      <c r="C259" s="5">
        <v>-6.722512870367483</v>
      </c>
      <c r="D259" s="5">
        <v>-4.0318150217075188E-2</v>
      </c>
      <c r="E259" s="5">
        <v>-5.1556420233462963E-2</v>
      </c>
      <c r="F259" s="5">
        <v>2.4999999999999911E-2</v>
      </c>
      <c r="G259" s="5">
        <v>-6.3629395628308716E-2</v>
      </c>
      <c r="H259" s="39" t="str">
        <f t="shared" ref="H259:M259" si="26">IF(COUNTIF(H18:H21,"Low")&gt;2,"Low","High")</f>
        <v>High</v>
      </c>
      <c r="I259" s="39" t="str">
        <f t="shared" si="26"/>
        <v>High</v>
      </c>
      <c r="J259" s="39" t="str">
        <f t="shared" si="26"/>
        <v>Low</v>
      </c>
      <c r="K259" s="39" t="str">
        <f t="shared" si="26"/>
        <v>High</v>
      </c>
      <c r="L259" s="39" t="str">
        <f t="shared" si="26"/>
        <v>Low</v>
      </c>
      <c r="M259" s="39" t="str">
        <f t="shared" si="26"/>
        <v>High</v>
      </c>
    </row>
    <row r="260" spans="1:15" x14ac:dyDescent="0.15">
      <c r="A260" s="17">
        <v>42804</v>
      </c>
      <c r="B260" s="5">
        <v>7.8018334308562753E-3</v>
      </c>
      <c r="C260" s="5">
        <v>2.1031949043830567</v>
      </c>
      <c r="D260" s="5">
        <v>3.1915540335163861E-2</v>
      </c>
      <c r="E260" s="5">
        <v>7.128205128205134E-2</v>
      </c>
      <c r="F260" s="5">
        <v>9.7560975609756184E-2</v>
      </c>
      <c r="G260" s="5">
        <v>0.30493137389590363</v>
      </c>
      <c r="H260" s="39"/>
      <c r="I260" s="39"/>
      <c r="J260" s="39"/>
      <c r="K260" s="39"/>
      <c r="L260" s="39"/>
      <c r="M260" s="39"/>
    </row>
    <row r="261" spans="1:15" x14ac:dyDescent="0.15">
      <c r="A261" s="17">
        <v>42811</v>
      </c>
      <c r="B261" s="5">
        <v>-1.3547513063673411E-2</v>
      </c>
      <c r="C261" s="5">
        <v>-0.12589177536922458</v>
      </c>
      <c r="D261" s="5">
        <v>1.3795067158903773E-3</v>
      </c>
      <c r="E261" s="5">
        <v>2.872187649592961E-3</v>
      </c>
      <c r="F261" s="5">
        <v>0.24444444444444446</v>
      </c>
      <c r="G261" s="5">
        <v>-9.9694088146233595E-2</v>
      </c>
      <c r="H261" s="39"/>
      <c r="I261" s="39"/>
      <c r="J261" s="39"/>
      <c r="K261" s="39"/>
      <c r="L261" s="39"/>
      <c r="M261" s="39"/>
    </row>
    <row r="262" spans="1:15" x14ac:dyDescent="0.15">
      <c r="A262" s="17">
        <v>42818</v>
      </c>
      <c r="B262" s="5">
        <v>3.472630959387879E-2</v>
      </c>
      <c r="C262" s="5">
        <v>-0.35429898238375612</v>
      </c>
      <c r="D262" s="5">
        <v>-2.1507326806453619E-2</v>
      </c>
      <c r="E262" s="5">
        <v>-1.3365155131264794E-2</v>
      </c>
      <c r="F262" s="5">
        <v>-3.5714285714285587E-2</v>
      </c>
      <c r="G262" s="5">
        <v>4.9202239693840744E-2</v>
      </c>
      <c r="H262" s="39"/>
      <c r="I262" s="39"/>
      <c r="J262" s="39"/>
      <c r="K262" s="39"/>
      <c r="L262" s="39"/>
      <c r="M262" s="39"/>
    </row>
    <row r="263" spans="1:15" x14ac:dyDescent="0.15">
      <c r="A263" s="17">
        <v>42825</v>
      </c>
      <c r="B263" s="5">
        <v>4.778156996587013E-2</v>
      </c>
      <c r="C263" s="5">
        <v>1.5921569000292934</v>
      </c>
      <c r="D263" s="5">
        <v>1.2189989478430752E-2</v>
      </c>
      <c r="E263" s="5">
        <v>-3.3865505563619447E-3</v>
      </c>
      <c r="F263" s="5">
        <v>-0.21111111111111125</v>
      </c>
      <c r="G263" s="5">
        <v>-5.7338704383473105E-2</v>
      </c>
      <c r="H263" s="39" t="str">
        <f t="shared" ref="H263:M263" si="27">IF(COUNTIF(H22:H25,"Low")&gt;2,"Low","High")</f>
        <v>Low</v>
      </c>
      <c r="I263" s="39" t="str">
        <f t="shared" si="27"/>
        <v>High</v>
      </c>
      <c r="J263" s="39" t="str">
        <f t="shared" si="27"/>
        <v>High</v>
      </c>
      <c r="K263" s="39" t="str">
        <f t="shared" si="27"/>
        <v>High</v>
      </c>
      <c r="L263" s="39" t="str">
        <f t="shared" si="27"/>
        <v>Low</v>
      </c>
      <c r="M263" s="39" t="str">
        <f t="shared" si="27"/>
        <v>Low</v>
      </c>
    </row>
    <row r="264" spans="1:15" x14ac:dyDescent="0.15">
      <c r="A264" s="17">
        <v>42832</v>
      </c>
      <c r="B264" s="5">
        <v>-6.4521926671459395E-2</v>
      </c>
      <c r="C264" s="5">
        <v>0</v>
      </c>
      <c r="D264" s="5">
        <v>0</v>
      </c>
      <c r="E264" s="5">
        <v>3.9880358923232162E-3</v>
      </c>
      <c r="F264" s="5">
        <v>-0.20833333333333337</v>
      </c>
      <c r="G264" s="5">
        <v>-0.22401247205316632</v>
      </c>
      <c r="H264" s="39"/>
      <c r="I264" s="39"/>
      <c r="J264" s="39"/>
      <c r="K264" s="39"/>
      <c r="L264" s="39"/>
      <c r="M264" s="39"/>
    </row>
    <row r="265" spans="1:15" x14ac:dyDescent="0.15">
      <c r="A265" s="17">
        <v>42846</v>
      </c>
      <c r="B265" s="5">
        <v>-6.5321805955811385E-3</v>
      </c>
      <c r="C265" s="5">
        <v>-1.0932580690224021</v>
      </c>
      <c r="D265" s="5">
        <v>3.7018182566127766E-2</v>
      </c>
      <c r="E265" s="5">
        <v>3.6742800397219444E-2</v>
      </c>
      <c r="F265" s="5">
        <v>-0.13157894736842102</v>
      </c>
      <c r="G265" s="5">
        <v>7.6149285977955339E-2</v>
      </c>
      <c r="H265" s="39"/>
      <c r="I265" s="39"/>
      <c r="J265" s="39"/>
      <c r="K265" s="39"/>
      <c r="L265" s="39"/>
      <c r="M265" s="39"/>
    </row>
    <row r="266" spans="1:15" x14ac:dyDescent="0.15">
      <c r="A266" s="17">
        <v>42853</v>
      </c>
      <c r="B266" s="5">
        <v>-4.3318507058596079E-2</v>
      </c>
      <c r="C266" s="5">
        <v>-10.369685348733091</v>
      </c>
      <c r="D266" s="5">
        <v>-7.0907567275413363E-3</v>
      </c>
      <c r="E266" s="5">
        <v>-2.6819923371647403E-2</v>
      </c>
      <c r="F266" s="5">
        <v>-0.12121212121212122</v>
      </c>
      <c r="G266" s="5">
        <v>-0.23985292129727365</v>
      </c>
      <c r="H266" s="39"/>
      <c r="I266" s="39"/>
      <c r="J266" s="39"/>
      <c r="K266" s="39"/>
      <c r="L266" s="39"/>
      <c r="M266" s="39"/>
    </row>
    <row r="267" spans="1:15" x14ac:dyDescent="0.15">
      <c r="A267" s="17">
        <v>42860</v>
      </c>
      <c r="B267" s="5">
        <v>2.9108550636749442E-2</v>
      </c>
      <c r="C267" s="5">
        <v>4.6809473381177025E-2</v>
      </c>
      <c r="D267" s="5">
        <v>-3.9102881028361125E-3</v>
      </c>
      <c r="E267" s="5">
        <v>6.8897637795275468E-3</v>
      </c>
      <c r="F267" s="5">
        <v>-6.8965517241379226E-2</v>
      </c>
      <c r="G267" s="5">
        <v>0.27851441062209092</v>
      </c>
      <c r="H267" s="39" t="str">
        <f t="shared" ref="H267:M267" si="28">IF(COUNTIF(H26:H29,"Low")&gt;2,"Low","High")</f>
        <v>High</v>
      </c>
      <c r="I267" s="39" t="str">
        <f t="shared" si="28"/>
        <v>High</v>
      </c>
      <c r="J267" s="39" t="str">
        <f t="shared" si="28"/>
        <v>Low</v>
      </c>
      <c r="K267" s="39" t="str">
        <f t="shared" si="28"/>
        <v>High</v>
      </c>
      <c r="L267" s="39" t="str">
        <f t="shared" si="28"/>
        <v>Low</v>
      </c>
      <c r="M267" s="39" t="str">
        <f t="shared" si="28"/>
        <v>High</v>
      </c>
    </row>
    <row r="268" spans="1:15" x14ac:dyDescent="0.15">
      <c r="A268" s="17">
        <v>42867</v>
      </c>
      <c r="B268" s="5">
        <v>5.6766843449224114E-2</v>
      </c>
      <c r="C268" s="5">
        <v>-0.22275859056284986</v>
      </c>
      <c r="D268" s="5">
        <v>-1.6133722387670524E-2</v>
      </c>
      <c r="E268" s="5">
        <v>-9.7751710654936375E-3</v>
      </c>
      <c r="F268" s="5">
        <v>0.11111111111111094</v>
      </c>
      <c r="G268" s="5">
        <v>9.3209512366019931E-2</v>
      </c>
      <c r="H268" s="39"/>
      <c r="I268" s="39"/>
      <c r="J268" s="39"/>
      <c r="K268" s="39"/>
      <c r="L268" s="39"/>
      <c r="M268" s="39"/>
    </row>
    <row r="269" spans="1:15" x14ac:dyDescent="0.15">
      <c r="A269" s="17">
        <v>42874</v>
      </c>
      <c r="B269" s="5">
        <v>-2.9182156133829018E-2</v>
      </c>
      <c r="C269" s="5">
        <v>0.38153581855787699</v>
      </c>
      <c r="D269" s="5">
        <v>-1.4344679983693487E-2</v>
      </c>
      <c r="E269" s="5">
        <v>2.4679170779859927E-3</v>
      </c>
      <c r="F269" s="5">
        <v>-9.9999999999999978E-2</v>
      </c>
      <c r="G269" s="5">
        <v>-0.13874585480202728</v>
      </c>
      <c r="H269" s="39"/>
      <c r="I269" s="39"/>
      <c r="J269" s="39"/>
      <c r="K269" s="39"/>
      <c r="L269" s="39"/>
      <c r="M269" s="39"/>
    </row>
    <row r="270" spans="1:15" x14ac:dyDescent="0.15">
      <c r="A270" s="17">
        <v>42881</v>
      </c>
      <c r="B270" s="5">
        <v>-4.3653072946582272E-2</v>
      </c>
      <c r="C270" s="5">
        <v>0.14277347799905526</v>
      </c>
      <c r="D270" s="5">
        <v>-2.7080263668088467E-2</v>
      </c>
      <c r="E270" s="5">
        <v>-3.0526834071885611E-2</v>
      </c>
      <c r="F270" s="5">
        <v>0</v>
      </c>
      <c r="G270" s="5">
        <v>-0.24798440302572866</v>
      </c>
      <c r="H270" s="39"/>
      <c r="I270" s="39"/>
      <c r="J270" s="39"/>
      <c r="K270" s="39"/>
      <c r="L270" s="39"/>
      <c r="M270" s="39"/>
    </row>
    <row r="271" spans="1:15" x14ac:dyDescent="0.15">
      <c r="A271" s="17">
        <v>42888</v>
      </c>
      <c r="B271" s="5">
        <v>-3.3033033033033177E-2</v>
      </c>
      <c r="C271" s="5">
        <v>0.11936458897896296</v>
      </c>
      <c r="D271" s="5">
        <v>7.8113791069522875E-4</v>
      </c>
      <c r="E271" s="5">
        <v>-1.523616048755716E-2</v>
      </c>
      <c r="F271" s="5">
        <v>-3.703703703703709E-2</v>
      </c>
      <c r="G271" s="5">
        <v>5.7908757271350586E-2</v>
      </c>
      <c r="H271" s="39" t="str">
        <f t="shared" ref="H271:M271" si="29">IF(COUNTIF(H30:H33,"Low")&gt;2,"Low","High")</f>
        <v>Low</v>
      </c>
      <c r="I271" s="39" t="str">
        <f t="shared" si="29"/>
        <v>High</v>
      </c>
      <c r="J271" s="39" t="str">
        <f t="shared" si="29"/>
        <v>High</v>
      </c>
      <c r="K271" s="39" t="str">
        <f t="shared" si="29"/>
        <v>High</v>
      </c>
      <c r="L271" s="39" t="str">
        <f t="shared" si="29"/>
        <v>Low</v>
      </c>
      <c r="M271" s="39" t="str">
        <f t="shared" si="29"/>
        <v>High</v>
      </c>
    </row>
    <row r="272" spans="1:15" x14ac:dyDescent="0.15">
      <c r="A272" s="17">
        <v>42895</v>
      </c>
      <c r="B272" s="5">
        <v>-2.0910973084886098E-2</v>
      </c>
      <c r="C272" s="5">
        <v>4.5063391457363933E-2</v>
      </c>
      <c r="D272" s="5">
        <v>-3.2086612082788957E-2</v>
      </c>
      <c r="E272" s="5">
        <v>-3.3006704486848948E-2</v>
      </c>
      <c r="F272" s="5">
        <v>-0.11538461538461553</v>
      </c>
      <c r="G272" s="5">
        <v>0.45176735480827146</v>
      </c>
      <c r="H272" s="39"/>
      <c r="I272" s="39"/>
      <c r="J272" s="39"/>
      <c r="K272" s="39"/>
      <c r="L272" s="39"/>
      <c r="M272" s="39"/>
    </row>
    <row r="273" spans="1:13" x14ac:dyDescent="0.15">
      <c r="A273" s="17">
        <v>42902</v>
      </c>
      <c r="B273" s="5">
        <v>-3.552548107422282E-2</v>
      </c>
      <c r="C273" s="5">
        <v>0.28650388445343555</v>
      </c>
      <c r="D273" s="5">
        <v>2.4438946519575788E-2</v>
      </c>
      <c r="E273" s="5">
        <v>5.3333333333334121E-3</v>
      </c>
      <c r="F273" s="5">
        <v>-0.21739130434782605</v>
      </c>
      <c r="G273" s="5">
        <v>-0.22900369271421805</v>
      </c>
      <c r="H273" s="39"/>
      <c r="I273" s="39"/>
      <c r="J273" s="39"/>
      <c r="K273" s="39"/>
      <c r="L273" s="39"/>
      <c r="M273" s="39"/>
    </row>
    <row r="274" spans="1:13" x14ac:dyDescent="0.15">
      <c r="A274" s="17">
        <v>42909</v>
      </c>
      <c r="B274" s="5">
        <v>5.0208287656215767E-2</v>
      </c>
      <c r="C274" s="5">
        <v>-0.14004266824710887</v>
      </c>
      <c r="D274" s="5">
        <v>6.4472599145362075E-3</v>
      </c>
      <c r="E274" s="5">
        <v>1.6976127320954992E-2</v>
      </c>
      <c r="F274" s="5">
        <v>5.555555555555558E-2</v>
      </c>
      <c r="G274" s="5">
        <v>-9.7515808844483409E-2</v>
      </c>
      <c r="H274" s="39"/>
      <c r="I274" s="39"/>
      <c r="J274" s="39"/>
      <c r="K274" s="39"/>
      <c r="L274" s="39"/>
      <c r="M274" s="39"/>
    </row>
    <row r="275" spans="1:13" x14ac:dyDescent="0.15">
      <c r="A275" s="17">
        <v>42916</v>
      </c>
      <c r="B275" s="5">
        <v>-2.1294363256784909E-2</v>
      </c>
      <c r="C275" s="5">
        <v>-6.0223117161325557E-2</v>
      </c>
      <c r="D275" s="5">
        <v>1.7547220005320607E-2</v>
      </c>
      <c r="E275" s="5">
        <v>-4.6948356807513525E-3</v>
      </c>
      <c r="F275" s="5">
        <v>-0.26315789473684215</v>
      </c>
      <c r="G275" s="5">
        <v>-6.3114629752217377E-2</v>
      </c>
      <c r="H275" s="39" t="str">
        <f t="shared" ref="H275:M275" si="30">IF(COUNTIF(H34:H37,"Low")&gt;2,"Low","High")</f>
        <v>High</v>
      </c>
      <c r="I275" s="39" t="str">
        <f t="shared" si="30"/>
        <v>High</v>
      </c>
      <c r="J275" s="39" t="str">
        <f t="shared" si="30"/>
        <v>High</v>
      </c>
      <c r="K275" s="39" t="str">
        <f t="shared" si="30"/>
        <v>Low</v>
      </c>
      <c r="L275" s="39" t="str">
        <f t="shared" si="30"/>
        <v>Low</v>
      </c>
      <c r="M275" s="39" t="str">
        <f t="shared" si="30"/>
        <v>High</v>
      </c>
    </row>
    <row r="276" spans="1:13" x14ac:dyDescent="0.15">
      <c r="A276" s="17">
        <v>42923</v>
      </c>
      <c r="B276" s="5">
        <v>4.7141638225256077E-2</v>
      </c>
      <c r="C276" s="5">
        <v>0.27113554584821808</v>
      </c>
      <c r="D276" s="5">
        <v>2.5208106751443138E-2</v>
      </c>
      <c r="E276" s="5">
        <v>5.9224318658281039E-2</v>
      </c>
      <c r="F276" s="5">
        <v>0.21428571428571441</v>
      </c>
      <c r="G276" s="5">
        <v>0.14647427994777207</v>
      </c>
      <c r="H276" s="39"/>
      <c r="I276" s="39"/>
      <c r="J276" s="39"/>
      <c r="K276" s="39"/>
      <c r="L276" s="39"/>
      <c r="M276" s="39"/>
    </row>
    <row r="277" spans="1:13" x14ac:dyDescent="0.15">
      <c r="A277" s="17">
        <v>42930</v>
      </c>
      <c r="B277" s="5">
        <v>-2.3630067223467166E-2</v>
      </c>
      <c r="C277" s="5">
        <v>0.11372478579023748</v>
      </c>
      <c r="D277" s="5">
        <v>-1.8136472364320699E-2</v>
      </c>
      <c r="E277" s="5">
        <v>-1.0390895596239513E-2</v>
      </c>
      <c r="F277" s="5">
        <v>-0.23529411764705876</v>
      </c>
      <c r="G277" s="5">
        <v>0.3100288529003139</v>
      </c>
      <c r="H277" s="39"/>
      <c r="I277" s="39"/>
      <c r="J277" s="39"/>
      <c r="K277" s="39"/>
      <c r="L277" s="39"/>
      <c r="M277" s="39"/>
    </row>
    <row r="278" spans="1:13" x14ac:dyDescent="0.15">
      <c r="A278" s="17">
        <v>42937</v>
      </c>
      <c r="B278" s="5">
        <v>9.805967035259755E-2</v>
      </c>
      <c r="C278" s="5">
        <v>-0.39989754919087228</v>
      </c>
      <c r="D278" s="5">
        <v>-4.3529527876040586E-3</v>
      </c>
      <c r="E278" s="5">
        <v>-1.0000000000000009E-3</v>
      </c>
      <c r="F278" s="5">
        <v>-0.15384615384615385</v>
      </c>
      <c r="G278" s="5">
        <v>-0.20024269284474439</v>
      </c>
      <c r="H278" s="39"/>
      <c r="I278" s="39"/>
      <c r="J278" s="39"/>
      <c r="K278" s="39"/>
      <c r="L278" s="39"/>
      <c r="M278" s="39"/>
    </row>
    <row r="279" spans="1:13" x14ac:dyDescent="0.15">
      <c r="A279" s="17">
        <v>42944</v>
      </c>
      <c r="B279" s="5">
        <v>-3.2300969029070981E-3</v>
      </c>
      <c r="C279" s="5">
        <v>-0.16464420529527912</v>
      </c>
      <c r="D279" s="5">
        <v>1.9167862266858071E-2</v>
      </c>
      <c r="E279" s="5">
        <v>7.0070070070069601E-3</v>
      </c>
      <c r="F279" s="5">
        <v>-0.45454545454545459</v>
      </c>
      <c r="G279" s="5">
        <v>-0.24233667381361212</v>
      </c>
      <c r="H279" s="39" t="str">
        <f t="shared" ref="H279:M279" si="31">IF(COUNTIF(H38:H41,"Low")&gt;2,"Low","High")</f>
        <v>Low</v>
      </c>
      <c r="I279" s="39" t="str">
        <f t="shared" si="31"/>
        <v>High</v>
      </c>
      <c r="J279" s="39" t="str">
        <f t="shared" si="31"/>
        <v>High</v>
      </c>
      <c r="K279" s="39" t="str">
        <f t="shared" si="31"/>
        <v>High</v>
      </c>
      <c r="L279" s="39" t="str">
        <f t="shared" si="31"/>
        <v>High</v>
      </c>
      <c r="M279" s="39" t="str">
        <f t="shared" si="31"/>
        <v>Low</v>
      </c>
    </row>
    <row r="280" spans="1:13" x14ac:dyDescent="0.15">
      <c r="A280" s="17">
        <v>42951</v>
      </c>
      <c r="B280" s="5">
        <v>-7.815478459778924E-3</v>
      </c>
      <c r="C280" s="5">
        <v>0.71678930987418732</v>
      </c>
      <c r="D280" s="5">
        <v>-4.4330915438522966E-3</v>
      </c>
      <c r="E280" s="5">
        <v>-7.9522862823061535E-3</v>
      </c>
      <c r="F280" s="5">
        <v>0</v>
      </c>
      <c r="G280" s="5">
        <v>0.50448198944331679</v>
      </c>
      <c r="H280" s="39"/>
      <c r="I280" s="39"/>
      <c r="J280" s="39"/>
      <c r="K280" s="39"/>
      <c r="L280" s="39"/>
      <c r="M280" s="39"/>
    </row>
    <row r="281" spans="1:13" x14ac:dyDescent="0.15">
      <c r="A281" s="17">
        <v>42958</v>
      </c>
      <c r="B281" s="5">
        <v>1.5561959654178725E-2</v>
      </c>
      <c r="C281" s="5">
        <v>7.5801132861384124E-2</v>
      </c>
      <c r="D281" s="5">
        <v>-7.2602746769639959E-3</v>
      </c>
      <c r="E281" s="5">
        <v>1.503006012024044E-2</v>
      </c>
      <c r="F281" s="5">
        <v>1</v>
      </c>
      <c r="G281" s="5">
        <v>3.8922328603336886E-3</v>
      </c>
      <c r="H281" s="39"/>
      <c r="I281" s="39"/>
      <c r="J281" s="39"/>
      <c r="K281" s="39"/>
      <c r="L281" s="39"/>
      <c r="M281" s="39"/>
    </row>
    <row r="282" spans="1:13" x14ac:dyDescent="0.15">
      <c r="A282" s="17">
        <v>42965</v>
      </c>
      <c r="B282" s="5">
        <v>-9.6481271282633507E-3</v>
      </c>
      <c r="C282" s="5">
        <v>-0.27339847098185954</v>
      </c>
      <c r="D282" s="5">
        <v>2.5084036442552193E-2</v>
      </c>
      <c r="E282" s="5">
        <v>2.3692003948667217E-2</v>
      </c>
      <c r="F282" s="5">
        <v>1.0833333333333335</v>
      </c>
      <c r="G282" s="5">
        <v>-0.14904448957568295</v>
      </c>
      <c r="H282" s="39"/>
      <c r="I282" s="39"/>
      <c r="J282" s="39"/>
      <c r="K282" s="39"/>
      <c r="L282" s="39"/>
      <c r="M282" s="39"/>
    </row>
    <row r="283" spans="1:13" x14ac:dyDescent="0.15">
      <c r="A283" s="17">
        <v>42972</v>
      </c>
      <c r="B283" s="5">
        <v>6.4947468958929111E-3</v>
      </c>
      <c r="C283" s="5">
        <v>0.29011583460759005</v>
      </c>
      <c r="D283" s="5">
        <v>1.6087795709247343E-2</v>
      </c>
      <c r="E283" s="5">
        <v>4.0983606557377206E-2</v>
      </c>
      <c r="F283" s="5">
        <v>4.0000000000000036E-2</v>
      </c>
      <c r="G283" s="5">
        <v>0.26265966133675001</v>
      </c>
      <c r="H283" s="39" t="str">
        <f t="shared" ref="H283:M283" si="32">IF(COUNTIF(H42:H45,"Low")&gt;2,"Low","High")</f>
        <v>High</v>
      </c>
      <c r="I283" s="39" t="str">
        <f t="shared" si="32"/>
        <v>High</v>
      </c>
      <c r="J283" s="39" t="str">
        <f t="shared" si="32"/>
        <v>High</v>
      </c>
      <c r="K283" s="39" t="str">
        <f t="shared" si="32"/>
        <v>High</v>
      </c>
      <c r="L283" s="39" t="str">
        <f t="shared" si="32"/>
        <v>Low</v>
      </c>
      <c r="M283" s="39" t="str">
        <f t="shared" si="32"/>
        <v>High</v>
      </c>
    </row>
    <row r="284" spans="1:13" x14ac:dyDescent="0.15">
      <c r="A284" s="17">
        <v>42979</v>
      </c>
      <c r="B284" s="5">
        <v>2.0117669386980452E-2</v>
      </c>
      <c r="C284" s="5">
        <v>-0.33018320890125297</v>
      </c>
      <c r="D284" s="5">
        <v>1.0825567633691024E-2</v>
      </c>
      <c r="E284" s="5">
        <v>1.8527095877720612E-3</v>
      </c>
      <c r="F284" s="5">
        <v>0.11538461538461542</v>
      </c>
      <c r="G284" s="5">
        <v>-0.14457564942087564</v>
      </c>
      <c r="H284" s="39"/>
      <c r="I284" s="39"/>
      <c r="J284" s="39"/>
      <c r="K284" s="39"/>
      <c r="L284" s="39"/>
      <c r="M284" s="39"/>
    </row>
    <row r="285" spans="1:13" x14ac:dyDescent="0.15">
      <c r="A285" s="17">
        <v>42986</v>
      </c>
      <c r="B285" s="5">
        <v>3.218604651162793E-2</v>
      </c>
      <c r="C285" s="5">
        <v>-0.59973990590069215</v>
      </c>
      <c r="D285" s="5">
        <v>1.0360349280531311E-2</v>
      </c>
      <c r="E285" s="5">
        <v>1.4794267221451607E-2</v>
      </c>
      <c r="F285" s="5">
        <v>0.48275862068965525</v>
      </c>
      <c r="G285" s="5">
        <v>-6.7014366600345099E-2</v>
      </c>
      <c r="H285" s="39"/>
      <c r="I285" s="39"/>
      <c r="J285" s="39"/>
      <c r="K285" s="39"/>
      <c r="L285" s="39"/>
      <c r="M285" s="39"/>
    </row>
    <row r="286" spans="1:13" x14ac:dyDescent="0.15">
      <c r="A286" s="17">
        <v>42993</v>
      </c>
      <c r="B286" s="5">
        <v>2.5594808940158753E-2</v>
      </c>
      <c r="C286" s="5">
        <v>-1.4392502949015371</v>
      </c>
      <c r="D286" s="5">
        <v>-1.0614419055315905E-3</v>
      </c>
      <c r="E286" s="5">
        <v>-5.4669703872437525E-3</v>
      </c>
      <c r="F286" s="5">
        <v>-4.6511627906976827E-2</v>
      </c>
      <c r="G286" s="5">
        <v>0.17082776682243761</v>
      </c>
      <c r="H286" s="39"/>
      <c r="I286" s="39"/>
      <c r="J286" s="39"/>
      <c r="K286" s="39"/>
      <c r="L286" s="39"/>
      <c r="M286" s="39"/>
    </row>
    <row r="287" spans="1:13" x14ac:dyDescent="0.15">
      <c r="A287" s="17">
        <v>43000</v>
      </c>
      <c r="B287" s="5">
        <v>1.0720562390158062E-2</v>
      </c>
      <c r="C287" s="5">
        <v>-4.0587784621028238</v>
      </c>
      <c r="D287" s="5">
        <v>1.2458386746148076E-2</v>
      </c>
      <c r="E287" s="5">
        <v>2.1071919377004145E-2</v>
      </c>
      <c r="F287" s="5">
        <v>0</v>
      </c>
      <c r="G287" s="5">
        <v>-2.7218942531175738E-2</v>
      </c>
      <c r="H287" s="39" t="str">
        <f t="shared" ref="H287:M287" si="33">IF(COUNTIF(H46:H49,"Low")&gt;2,"Low","High")</f>
        <v>High</v>
      </c>
      <c r="I287" s="39" t="str">
        <f t="shared" si="33"/>
        <v>High</v>
      </c>
      <c r="J287" s="39" t="str">
        <f t="shared" si="33"/>
        <v>High</v>
      </c>
      <c r="K287" s="39" t="str">
        <f t="shared" si="33"/>
        <v>High</v>
      </c>
      <c r="L287" s="39" t="str">
        <f t="shared" si="33"/>
        <v>Low</v>
      </c>
      <c r="M287" s="39" t="str">
        <f t="shared" si="33"/>
        <v>High</v>
      </c>
    </row>
    <row r="288" spans="1:13" x14ac:dyDescent="0.15">
      <c r="A288" s="17">
        <v>43007</v>
      </c>
      <c r="B288" s="5">
        <v>-3.1820552947313452E-2</v>
      </c>
      <c r="C288" s="5">
        <v>2.1009285619899583</v>
      </c>
      <c r="D288" s="5">
        <v>8.0252649011405275E-3</v>
      </c>
      <c r="E288" s="5">
        <v>-7.1781067743382776E-3</v>
      </c>
      <c r="F288" s="5">
        <v>-0.51219512195121952</v>
      </c>
      <c r="G288" s="5">
        <v>0.13198899319506019</v>
      </c>
      <c r="H288" s="39"/>
      <c r="I288" s="39"/>
      <c r="J288" s="39"/>
      <c r="K288" s="39"/>
      <c r="L288" s="39"/>
      <c r="M288" s="39"/>
    </row>
    <row r="289" spans="1:13" x14ac:dyDescent="0.15">
      <c r="A289" s="17">
        <v>43014</v>
      </c>
      <c r="B289" s="5">
        <v>2.7298850574712707E-2</v>
      </c>
      <c r="C289" s="5">
        <v>0.14769230769230779</v>
      </c>
      <c r="D289" s="5">
        <v>2.3449514294173746E-3</v>
      </c>
      <c r="E289" s="5">
        <v>1.9430637144148166E-2</v>
      </c>
      <c r="F289" s="5">
        <v>0.55000000000000004</v>
      </c>
      <c r="G289" s="5">
        <v>-0.12574177936326447</v>
      </c>
      <c r="H289" s="39"/>
      <c r="I289" s="39"/>
      <c r="J289" s="39"/>
      <c r="K289" s="39"/>
      <c r="L289" s="39"/>
      <c r="M289" s="39"/>
    </row>
    <row r="290" spans="1:13" x14ac:dyDescent="0.15">
      <c r="A290" s="17">
        <v>43021</v>
      </c>
      <c r="B290" s="5">
        <v>5.7692307692307709E-2</v>
      </c>
      <c r="C290" s="5">
        <v>-0.34048257372654156</v>
      </c>
      <c r="D290" s="5">
        <v>-1.429885123191188E-2</v>
      </c>
      <c r="E290" s="5">
        <v>-2.5265957446808485E-2</v>
      </c>
      <c r="F290" s="5">
        <v>-0.38709677419354849</v>
      </c>
      <c r="G290" s="5">
        <v>4.9332950956061383E-2</v>
      </c>
      <c r="H290" s="39"/>
      <c r="I290" s="39"/>
      <c r="J290" s="39"/>
      <c r="K290" s="39"/>
      <c r="L290" s="39"/>
      <c r="M290" s="39"/>
    </row>
    <row r="291" spans="1:13" x14ac:dyDescent="0.15">
      <c r="A291" s="17">
        <v>43035</v>
      </c>
      <c r="B291" s="5">
        <v>2.6280991735537329E-2</v>
      </c>
      <c r="C291" s="5">
        <v>0.42682926829268286</v>
      </c>
      <c r="D291" s="5">
        <v>5.9890949167615837E-3</v>
      </c>
      <c r="E291" s="5">
        <v>-9.5497953615278908E-3</v>
      </c>
      <c r="F291" s="5">
        <v>0.15789473684210531</v>
      </c>
      <c r="G291" s="5">
        <v>-0.15981484600416374</v>
      </c>
      <c r="H291" s="39" t="str">
        <f t="shared" ref="H291:M291" si="34">IF(COUNTIF(H50:H53,"Low")&gt;2,"Low","High")</f>
        <v>High</v>
      </c>
      <c r="I291" s="39" t="str">
        <f t="shared" si="34"/>
        <v>High</v>
      </c>
      <c r="J291" s="39" t="str">
        <f t="shared" si="34"/>
        <v>High</v>
      </c>
      <c r="K291" s="39" t="str">
        <f t="shared" si="34"/>
        <v>High</v>
      </c>
      <c r="L291" s="39" t="str">
        <f t="shared" si="34"/>
        <v>Low</v>
      </c>
      <c r="M291" s="39" t="str">
        <f t="shared" si="34"/>
        <v>Low</v>
      </c>
    </row>
    <row r="292" spans="1:13" x14ac:dyDescent="0.15">
      <c r="A292" s="17">
        <v>43042</v>
      </c>
      <c r="B292" s="5">
        <v>2.4319536157191068E-2</v>
      </c>
      <c r="C292" s="5">
        <v>2.5641025641025772E-2</v>
      </c>
      <c r="D292" s="5">
        <v>4.2337169353482418E-2</v>
      </c>
      <c r="E292" s="5">
        <v>2.2956841138659367E-2</v>
      </c>
      <c r="F292" s="5">
        <v>0</v>
      </c>
      <c r="G292" s="5">
        <v>-5.6147842941778436E-2</v>
      </c>
      <c r="H292" s="39"/>
      <c r="I292" s="39"/>
      <c r="J292" s="39"/>
      <c r="K292" s="39"/>
      <c r="L292" s="39"/>
      <c r="M292" s="39"/>
    </row>
    <row r="293" spans="1:13" x14ac:dyDescent="0.15">
      <c r="A293" s="17">
        <v>43049</v>
      </c>
      <c r="B293" s="5">
        <v>-1.3836477987421381E-2</v>
      </c>
      <c r="C293" s="5">
        <v>-0.93888888888888888</v>
      </c>
      <c r="D293" s="5">
        <v>-1.7217853092759916E-2</v>
      </c>
      <c r="E293" s="5">
        <v>-1.5709156193895901E-2</v>
      </c>
      <c r="F293" s="5">
        <v>-0.36363636363636376</v>
      </c>
      <c r="G293" s="5">
        <v>0.19138308523306824</v>
      </c>
      <c r="H293" s="39"/>
      <c r="I293" s="39"/>
      <c r="J293" s="39"/>
      <c r="K293" s="39"/>
      <c r="L293" s="39"/>
      <c r="M293" s="39"/>
    </row>
    <row r="294" spans="1:13" x14ac:dyDescent="0.15">
      <c r="A294" s="17">
        <v>43056</v>
      </c>
      <c r="B294" s="5">
        <v>1.6103316326530503E-2</v>
      </c>
      <c r="C294" s="5">
        <v>11.272727272727273</v>
      </c>
      <c r="D294" s="5">
        <v>1.3724782002992653E-2</v>
      </c>
      <c r="E294" s="5">
        <v>2.5079799361605204E-2</v>
      </c>
      <c r="F294" s="5">
        <v>0.21428571428571441</v>
      </c>
      <c r="G294" s="5">
        <v>-0.24145184682630827</v>
      </c>
      <c r="H294" s="39"/>
      <c r="I294" s="39"/>
      <c r="J294" s="39"/>
      <c r="K294" s="39"/>
      <c r="L294" s="39"/>
      <c r="M294" s="39"/>
    </row>
    <row r="295" spans="1:13" x14ac:dyDescent="0.15">
      <c r="A295" s="17">
        <v>43063</v>
      </c>
      <c r="B295" s="5">
        <v>-4.7073591715041108E-4</v>
      </c>
      <c r="C295" s="5">
        <v>-0.24074074074074081</v>
      </c>
      <c r="D295" s="5">
        <v>-2.5532466210432481E-2</v>
      </c>
      <c r="E295" s="5">
        <v>-4.5373665480426983E-2</v>
      </c>
      <c r="F295" s="5">
        <v>-0.11764705882352944</v>
      </c>
      <c r="G295" s="5">
        <v>0.1229370475707674</v>
      </c>
      <c r="H295" s="39" t="str">
        <f t="shared" ref="H295:M295" si="35">IF(COUNTIF(H54:H57,"Low")&gt;2,"Low","High")</f>
        <v>Low</v>
      </c>
      <c r="I295" s="39" t="str">
        <f t="shared" si="35"/>
        <v>High</v>
      </c>
      <c r="J295" s="39" t="str">
        <f t="shared" si="35"/>
        <v>Low</v>
      </c>
      <c r="K295" s="39" t="str">
        <f t="shared" si="35"/>
        <v>High</v>
      </c>
      <c r="L295" s="39" t="str">
        <f t="shared" si="35"/>
        <v>Low</v>
      </c>
      <c r="M295" s="39" t="str">
        <f t="shared" si="35"/>
        <v>High</v>
      </c>
    </row>
    <row r="296" spans="1:13" x14ac:dyDescent="0.15">
      <c r="A296" s="17">
        <v>43070</v>
      </c>
      <c r="B296" s="5">
        <v>-4.8665620094191508E-3</v>
      </c>
      <c r="C296" s="5">
        <v>-0.58536585365853655</v>
      </c>
      <c r="D296" s="5">
        <v>-4.7483606284925983E-4</v>
      </c>
      <c r="E296" s="5">
        <v>5.1258154706430581E-3</v>
      </c>
      <c r="F296" s="5">
        <v>-0.4</v>
      </c>
      <c r="G296" s="5">
        <v>-0.26101682549056582</v>
      </c>
      <c r="H296" s="39"/>
      <c r="I296" s="39"/>
      <c r="J296" s="39"/>
      <c r="K296" s="39"/>
      <c r="L296" s="39"/>
      <c r="M296" s="39"/>
    </row>
    <row r="297" spans="1:13" x14ac:dyDescent="0.15">
      <c r="A297" s="17">
        <v>43077</v>
      </c>
      <c r="B297" s="5">
        <v>-2.2085502445180483E-3</v>
      </c>
      <c r="C297" s="5">
        <v>0.62352941176470589</v>
      </c>
      <c r="D297" s="5">
        <v>1.8527403930659991E-2</v>
      </c>
      <c r="E297" s="5">
        <v>1.6689847009735637E-2</v>
      </c>
      <c r="F297" s="5">
        <v>-0.88888888888888884</v>
      </c>
      <c r="G297" s="5">
        <v>0.98023452515681675</v>
      </c>
      <c r="H297" s="39"/>
      <c r="I297" s="39"/>
      <c r="J297" s="39"/>
      <c r="K297" s="39"/>
      <c r="L297" s="39"/>
      <c r="M297" s="39"/>
    </row>
    <row r="298" spans="1:13" x14ac:dyDescent="0.15">
      <c r="A298" s="17">
        <v>43084</v>
      </c>
      <c r="B298" s="5">
        <v>2.8300395256917188E-2</v>
      </c>
      <c r="C298" s="5">
        <v>1.3768115942028984</v>
      </c>
      <c r="D298" s="5">
        <v>-1.914654452679343E-2</v>
      </c>
      <c r="E298" s="5">
        <v>-3.7391700866393096E-2</v>
      </c>
      <c r="F298" s="5">
        <v>4</v>
      </c>
      <c r="G298" s="5">
        <v>-0.2052681539008735</v>
      </c>
      <c r="H298" s="39"/>
      <c r="I298" s="39"/>
      <c r="J298" s="39"/>
      <c r="K298" s="39"/>
      <c r="L298" s="39"/>
      <c r="M298" s="39"/>
    </row>
    <row r="299" spans="1:13" x14ac:dyDescent="0.15">
      <c r="A299" s="17">
        <v>43091</v>
      </c>
      <c r="B299" s="5">
        <v>2.4292742927429334E-2</v>
      </c>
      <c r="C299" s="5">
        <v>0.15243902439024382</v>
      </c>
      <c r="D299" s="5">
        <v>3.2335682425554957E-3</v>
      </c>
      <c r="E299" s="5">
        <v>4.7370914258646479E-3</v>
      </c>
      <c r="F299" s="5">
        <v>1</v>
      </c>
      <c r="G299" s="5">
        <v>-0.19380487155676407</v>
      </c>
      <c r="H299" s="39" t="str">
        <f t="shared" ref="H299:M299" si="36">IF(COUNTIF(H58:H61,"Low")&gt;2,"Low","High")</f>
        <v>High</v>
      </c>
      <c r="I299" s="39" t="str">
        <f t="shared" si="36"/>
        <v>High</v>
      </c>
      <c r="J299" s="39" t="str">
        <f t="shared" si="36"/>
        <v>High</v>
      </c>
      <c r="K299" s="39" t="str">
        <f t="shared" si="36"/>
        <v>High</v>
      </c>
      <c r="L299" s="39" t="str">
        <f t="shared" si="36"/>
        <v>High</v>
      </c>
      <c r="M299" s="39" t="str">
        <f t="shared" si="36"/>
        <v>Low</v>
      </c>
    </row>
    <row r="300" spans="1:13" x14ac:dyDescent="0.15">
      <c r="A300" s="17">
        <v>43098</v>
      </c>
      <c r="B300" s="5">
        <v>1.7562293605523971E-2</v>
      </c>
      <c r="C300" s="5">
        <v>-0.14814814814814803</v>
      </c>
      <c r="D300" s="5">
        <v>4.6294804099083375E-2</v>
      </c>
      <c r="E300" s="5">
        <v>6.8363979255068319E-2</v>
      </c>
      <c r="F300" s="5">
        <v>0.30000000000000004</v>
      </c>
      <c r="G300" s="5">
        <v>-0.23526110652294241</v>
      </c>
      <c r="H300" s="39"/>
      <c r="I300" s="39"/>
      <c r="J300" s="39"/>
      <c r="K300" s="39"/>
      <c r="L300" s="39"/>
      <c r="M300" s="39"/>
    </row>
    <row r="301" spans="1:13" x14ac:dyDescent="0.15">
      <c r="A301" s="17">
        <v>43105</v>
      </c>
      <c r="B301" s="5">
        <v>2.9797905295766203E-2</v>
      </c>
      <c r="C301" s="5">
        <v>-0.50621118012422361</v>
      </c>
      <c r="D301" s="5">
        <v>2.490248753063562E-2</v>
      </c>
      <c r="E301" s="5">
        <v>2.8684907325684073E-2</v>
      </c>
      <c r="F301" s="5">
        <v>-7.6923076923076983E-2</v>
      </c>
      <c r="G301" s="5">
        <v>0.571186628275824</v>
      </c>
      <c r="H301" s="39"/>
      <c r="I301" s="39"/>
      <c r="J301" s="39"/>
      <c r="K301" s="39"/>
      <c r="L301" s="39"/>
      <c r="M301" s="39"/>
    </row>
    <row r="302" spans="1:13" x14ac:dyDescent="0.15">
      <c r="A302" s="17">
        <v>43112</v>
      </c>
      <c r="B302" s="5">
        <v>-1.6616530583010936E-2</v>
      </c>
      <c r="C302" s="5">
        <v>-1.408805031446541</v>
      </c>
      <c r="D302" s="5">
        <v>1.0586196836959161E-2</v>
      </c>
      <c r="E302" s="5">
        <v>-4.2900042900029245E-4</v>
      </c>
      <c r="F302" s="5">
        <v>0.25</v>
      </c>
      <c r="G302" s="5">
        <v>-2.1841314117574839E-2</v>
      </c>
      <c r="H302" s="39"/>
      <c r="I302" s="39"/>
      <c r="J302" s="39"/>
      <c r="K302" s="39"/>
      <c r="L302" s="39"/>
      <c r="M302" s="39"/>
    </row>
    <row r="303" spans="1:13" x14ac:dyDescent="0.15">
      <c r="A303" s="17">
        <v>43119</v>
      </c>
      <c r="B303" s="5">
        <v>2.3889293517844079E-2</v>
      </c>
      <c r="C303" s="5">
        <v>-3.5846153846153843</v>
      </c>
      <c r="D303" s="5">
        <v>3.9058228689647922E-3</v>
      </c>
      <c r="E303" s="5">
        <v>1.3304721030042765E-2</v>
      </c>
      <c r="F303" s="5">
        <v>-0.20000000000000007</v>
      </c>
      <c r="G303" s="5">
        <v>-3.1885734273278454E-2</v>
      </c>
      <c r="H303" s="39" t="str">
        <f t="shared" ref="H303:M303" si="37">IF(COUNTIF(H62:H65,"Low")&gt;2,"Low","High")</f>
        <v>High</v>
      </c>
      <c r="I303" s="39" t="str">
        <f t="shared" si="37"/>
        <v>Low</v>
      </c>
      <c r="J303" s="39" t="str">
        <f t="shared" si="37"/>
        <v>High</v>
      </c>
      <c r="K303" s="39" t="str">
        <f t="shared" si="37"/>
        <v>High</v>
      </c>
      <c r="L303" s="39" t="str">
        <f t="shared" si="37"/>
        <v>High</v>
      </c>
      <c r="M303" s="39" t="str">
        <f t="shared" si="37"/>
        <v>Low</v>
      </c>
    </row>
    <row r="304" spans="1:13" x14ac:dyDescent="0.15">
      <c r="A304" s="17">
        <v>43126</v>
      </c>
      <c r="B304" s="5">
        <v>-2.9307156067719498E-2</v>
      </c>
      <c r="C304" s="5">
        <v>-0.29761904761904767</v>
      </c>
      <c r="D304" s="5">
        <v>-5.846832167161975E-3</v>
      </c>
      <c r="E304" s="5">
        <v>-2.6683608640406531E-2</v>
      </c>
      <c r="F304" s="5">
        <v>0.83333333333333348</v>
      </c>
      <c r="G304" s="5">
        <v>-0.31856331377488967</v>
      </c>
      <c r="H304" s="39"/>
      <c r="I304" s="39"/>
      <c r="J304" s="39"/>
      <c r="K304" s="39"/>
      <c r="L304" s="39"/>
      <c r="M304" s="39"/>
    </row>
    <row r="305" spans="1:13" x14ac:dyDescent="0.15">
      <c r="A305" s="17">
        <v>43133</v>
      </c>
      <c r="B305" s="5">
        <v>-8.0902828667741455E-2</v>
      </c>
      <c r="C305" s="5">
        <v>-2.8559322033898304</v>
      </c>
      <c r="D305" s="5">
        <v>-3.7127931844476492E-2</v>
      </c>
      <c r="E305" s="5">
        <v>-5.7006092254134E-2</v>
      </c>
      <c r="F305" s="5">
        <v>0.45454545454545459</v>
      </c>
      <c r="G305" s="5">
        <v>0.77252748703919116</v>
      </c>
      <c r="H305" s="39"/>
      <c r="I305" s="39"/>
      <c r="J305" s="39"/>
      <c r="K305" s="39"/>
      <c r="L305" s="39"/>
      <c r="M305" s="39"/>
    </row>
    <row r="306" spans="1:13" x14ac:dyDescent="0.15">
      <c r="A306" s="17">
        <v>43140</v>
      </c>
      <c r="B306" s="5">
        <v>3.4922659862860916E-2</v>
      </c>
      <c r="C306" s="5">
        <v>-1.8949771689497716</v>
      </c>
      <c r="D306" s="5">
        <v>2.6466465190795319E-2</v>
      </c>
      <c r="E306" s="5">
        <v>6.0913705583756084E-2</v>
      </c>
      <c r="F306" s="5">
        <v>0.3125</v>
      </c>
      <c r="G306" s="5">
        <v>-0.29979769633962927</v>
      </c>
      <c r="H306" s="39"/>
      <c r="I306" s="39"/>
      <c r="J306" s="39"/>
      <c r="K306" s="39"/>
      <c r="L306" s="39"/>
      <c r="M306" s="39"/>
    </row>
    <row r="307" spans="1:13" x14ac:dyDescent="0.15">
      <c r="A307" s="17">
        <v>43147</v>
      </c>
      <c r="B307" s="5">
        <v>-3.7853949329359038E-2</v>
      </c>
      <c r="C307" s="5">
        <v>-0.95565460721649487</v>
      </c>
      <c r="D307" s="5">
        <v>0</v>
      </c>
      <c r="E307" s="5">
        <v>-2.146464646464652E-2</v>
      </c>
      <c r="F307" s="5">
        <v>-6.25E-2</v>
      </c>
      <c r="G307" s="5">
        <v>4.6875369765686292E-2</v>
      </c>
      <c r="H307" s="39" t="str">
        <f t="shared" ref="H307:M307" si="38">IF(COUNTIF(H66:H69,"Low")&gt;2,"Low","High")</f>
        <v>High</v>
      </c>
      <c r="I307" s="39" t="str">
        <f t="shared" si="38"/>
        <v>High</v>
      </c>
      <c r="J307" s="39" t="str">
        <f t="shared" si="38"/>
        <v>Low</v>
      </c>
      <c r="K307" s="39" t="str">
        <f t="shared" si="38"/>
        <v>Low</v>
      </c>
      <c r="L307" s="39" t="str">
        <f t="shared" si="38"/>
        <v>Low</v>
      </c>
      <c r="M307" s="39" t="str">
        <f t="shared" si="38"/>
        <v>High</v>
      </c>
    </row>
    <row r="308" spans="1:13" x14ac:dyDescent="0.15">
      <c r="A308" s="17">
        <v>43161</v>
      </c>
      <c r="B308" s="5">
        <v>1.4405204460966381E-2</v>
      </c>
      <c r="C308" s="5">
        <v>-2.8548928675652938</v>
      </c>
      <c r="D308" s="5">
        <v>9.9832229426259911E-3</v>
      </c>
      <c r="E308" s="5">
        <v>9.8924731182796766E-3</v>
      </c>
      <c r="F308" s="5">
        <v>0.31111111111111112</v>
      </c>
      <c r="G308" s="5">
        <v>-7.6978487502075588E-2</v>
      </c>
      <c r="H308" s="39"/>
      <c r="I308" s="39"/>
      <c r="J308" s="39"/>
      <c r="K308" s="39"/>
      <c r="L308" s="39"/>
      <c r="M308" s="39"/>
    </row>
    <row r="309" spans="1:13" x14ac:dyDescent="0.15">
      <c r="A309" s="17">
        <v>43168</v>
      </c>
      <c r="B309" s="5">
        <v>7.6347533974652215E-3</v>
      </c>
      <c r="C309" s="5">
        <v>-2.3536642255134779</v>
      </c>
      <c r="D309" s="5">
        <v>-7.3928597692597409E-3</v>
      </c>
      <c r="E309" s="5">
        <v>-2.8534923339011975E-2</v>
      </c>
      <c r="F309" s="5">
        <v>-0.28813559322033899</v>
      </c>
      <c r="G309" s="5">
        <v>0.10459623186338107</v>
      </c>
      <c r="H309" s="39"/>
      <c r="I309" s="39"/>
      <c r="J309" s="39"/>
      <c r="K309" s="39"/>
      <c r="L309" s="39"/>
      <c r="M309" s="39"/>
    </row>
    <row r="310" spans="1:13" x14ac:dyDescent="0.15">
      <c r="A310" s="17">
        <v>43175</v>
      </c>
      <c r="B310" s="5">
        <v>6.6222154871950378E-2</v>
      </c>
      <c r="C310" s="5">
        <v>13.647262205781177</v>
      </c>
      <c r="D310" s="5">
        <v>-3.9527586507450696E-3</v>
      </c>
      <c r="E310" s="5">
        <v>-1.3590530469092421E-2</v>
      </c>
      <c r="F310" s="5">
        <v>-4.7619047619047672E-2</v>
      </c>
      <c r="G310" s="5">
        <v>-0.16197111998287583</v>
      </c>
      <c r="H310" s="39"/>
      <c r="I310" s="39"/>
      <c r="J310" s="39"/>
      <c r="K310" s="39"/>
      <c r="L310" s="39"/>
      <c r="M310" s="39"/>
    </row>
    <row r="311" spans="1:13" x14ac:dyDescent="0.15">
      <c r="A311" s="17">
        <v>43182</v>
      </c>
      <c r="B311" s="5">
        <v>-4.6852748504699449E-2</v>
      </c>
      <c r="C311" s="5">
        <v>0</v>
      </c>
      <c r="D311" s="5">
        <v>0</v>
      </c>
      <c r="E311" s="5">
        <v>-1.6270888302550413E-2</v>
      </c>
      <c r="F311" s="5">
        <v>7.1428571428571397E-2</v>
      </c>
      <c r="G311" s="5">
        <v>0.17592276827397102</v>
      </c>
      <c r="H311" s="39" t="str">
        <f t="shared" ref="H311:M311" si="39">IF(COUNTIF(H70:H73,"Low")&gt;2,"Low","High")</f>
        <v>High</v>
      </c>
      <c r="I311" s="39" t="str">
        <f t="shared" si="39"/>
        <v>High</v>
      </c>
      <c r="J311" s="39" t="str">
        <f t="shared" si="39"/>
        <v>High</v>
      </c>
      <c r="K311" s="39" t="str">
        <f t="shared" si="39"/>
        <v>High</v>
      </c>
      <c r="L311" s="39" t="str">
        <f t="shared" si="39"/>
        <v>Low</v>
      </c>
      <c r="M311" s="39" t="str">
        <f t="shared" si="39"/>
        <v>Low</v>
      </c>
    </row>
    <row r="312" spans="1:13" x14ac:dyDescent="0.15">
      <c r="A312" s="17">
        <v>43196</v>
      </c>
      <c r="B312" s="5">
        <v>8.5014193933960813E-2</v>
      </c>
      <c r="C312" s="5">
        <v>8.7941176470588225</v>
      </c>
      <c r="D312" s="5">
        <v>-4.6496845999745795E-2</v>
      </c>
      <c r="E312" s="5">
        <v>-8.8958426464014417E-2</v>
      </c>
      <c r="F312" s="5">
        <v>0.42222222222222228</v>
      </c>
      <c r="G312" s="5">
        <v>2.9713359148964003E-3</v>
      </c>
      <c r="H312" s="39"/>
      <c r="I312" s="39"/>
      <c r="J312" s="39"/>
      <c r="K312" s="39"/>
      <c r="L312" s="39"/>
      <c r="M312" s="39"/>
    </row>
    <row r="313" spans="1:13" x14ac:dyDescent="0.15">
      <c r="A313" s="17">
        <v>43203</v>
      </c>
      <c r="B313" s="5">
        <v>1.500963921784626E-2</v>
      </c>
      <c r="C313" s="5">
        <v>-0.45645645645645649</v>
      </c>
      <c r="D313" s="5">
        <v>2.6434836977509812E-2</v>
      </c>
      <c r="E313" s="5">
        <v>3.0421982335623321E-2</v>
      </c>
      <c r="F313" s="5">
        <v>6.25E-2</v>
      </c>
      <c r="G313" s="5">
        <v>-0.10049912375329528</v>
      </c>
      <c r="H313" s="39"/>
      <c r="I313" s="39"/>
      <c r="J313" s="39"/>
      <c r="K313" s="39"/>
      <c r="L313" s="39"/>
      <c r="M313" s="39"/>
    </row>
    <row r="314" spans="1:13" x14ac:dyDescent="0.15">
      <c r="A314" s="17">
        <v>43210</v>
      </c>
      <c r="B314" s="5">
        <v>9.9036765703433005E-3</v>
      </c>
      <c r="C314" s="5">
        <v>-0.31767955801104975</v>
      </c>
      <c r="D314" s="5">
        <v>3.0828697607338196E-2</v>
      </c>
      <c r="E314" s="5">
        <v>1.3809523809523716E-2</v>
      </c>
      <c r="F314" s="5">
        <v>-4.4117647058823484E-2</v>
      </c>
      <c r="G314" s="5">
        <v>-3.5688725445889968E-2</v>
      </c>
      <c r="H314" s="39"/>
      <c r="I314" s="39"/>
      <c r="J314" s="39"/>
      <c r="K314" s="39"/>
      <c r="L314" s="39"/>
      <c r="M314" s="39"/>
    </row>
    <row r="315" spans="1:13" x14ac:dyDescent="0.15">
      <c r="A315" s="17">
        <v>43217</v>
      </c>
      <c r="B315" s="5">
        <v>7.522837184309461E-3</v>
      </c>
      <c r="C315" s="5">
        <v>-0.55060728744939269</v>
      </c>
      <c r="D315" s="5">
        <v>-5.2227035529157639E-3</v>
      </c>
      <c r="E315" s="5">
        <v>-7.0455612963832293E-3</v>
      </c>
      <c r="F315" s="5">
        <v>-6.1538461538461542E-2</v>
      </c>
      <c r="G315" s="5">
        <v>-7.7802021574578939E-3</v>
      </c>
      <c r="H315" s="39" t="str">
        <f t="shared" ref="H315:M315" si="40">IF(COUNTIF(H74:H77,"Low")&gt;2,"Low","High")</f>
        <v>High</v>
      </c>
      <c r="I315" s="39" t="str">
        <f t="shared" si="40"/>
        <v>High</v>
      </c>
      <c r="J315" s="39" t="str">
        <f t="shared" si="40"/>
        <v>Low</v>
      </c>
      <c r="K315" s="39" t="str">
        <f t="shared" si="40"/>
        <v>Low</v>
      </c>
      <c r="L315" s="39" t="str">
        <f t="shared" si="40"/>
        <v>Low</v>
      </c>
      <c r="M315" s="39" t="str">
        <f t="shared" si="40"/>
        <v>Low</v>
      </c>
    </row>
    <row r="316" spans="1:13" x14ac:dyDescent="0.15">
      <c r="A316" s="17">
        <v>43224</v>
      </c>
      <c r="B316" s="5">
        <v>2.9066666666666796E-2</v>
      </c>
      <c r="C316" s="5">
        <v>3.8108108108108105</v>
      </c>
      <c r="D316" s="5">
        <v>2.4368085190022315E-2</v>
      </c>
      <c r="E316" s="5">
        <v>1.7029328287606393E-2</v>
      </c>
      <c r="F316" s="5">
        <v>-0.18032786885245899</v>
      </c>
      <c r="G316" s="5">
        <v>0.16097403220942796</v>
      </c>
      <c r="H316" s="39"/>
      <c r="I316" s="39"/>
      <c r="J316" s="39"/>
      <c r="K316" s="39"/>
      <c r="L316" s="39"/>
      <c r="M316" s="39"/>
    </row>
    <row r="317" spans="1:13" x14ac:dyDescent="0.15">
      <c r="A317" s="17">
        <v>43231</v>
      </c>
      <c r="B317" s="5">
        <v>1.9823788546255328E-2</v>
      </c>
      <c r="C317" s="5">
        <v>-0.13857677902621723</v>
      </c>
      <c r="D317" s="5">
        <v>-7.811500643851943E-3</v>
      </c>
      <c r="E317" s="5">
        <v>-6.9767441860464352E-3</v>
      </c>
      <c r="F317" s="5">
        <v>-0.38</v>
      </c>
      <c r="G317" s="5">
        <v>-0.19787309206896009</v>
      </c>
      <c r="H317" s="39"/>
      <c r="I317" s="39"/>
      <c r="J317" s="39"/>
      <c r="K317" s="39"/>
      <c r="L317" s="39"/>
      <c r="M317" s="39"/>
    </row>
    <row r="318" spans="1:13" x14ac:dyDescent="0.15">
      <c r="A318" s="17">
        <v>43238</v>
      </c>
      <c r="B318" s="5">
        <v>-3.0237580993520474E-2</v>
      </c>
      <c r="C318" s="5">
        <v>-1.1565217391304348</v>
      </c>
      <c r="D318" s="5">
        <v>-8.753985921424623E-3</v>
      </c>
      <c r="E318" s="5">
        <v>-3.7470725995316645E-3</v>
      </c>
      <c r="F318" s="5">
        <v>-0.22580645161290325</v>
      </c>
      <c r="G318" s="5">
        <v>1.9355352019896799E-2</v>
      </c>
      <c r="H318" s="39"/>
      <c r="I318" s="39"/>
      <c r="J318" s="39"/>
      <c r="K318" s="39"/>
      <c r="L318" s="39"/>
      <c r="M318" s="39"/>
    </row>
    <row r="319" spans="1:13" x14ac:dyDescent="0.15">
      <c r="A319" s="17">
        <v>43245</v>
      </c>
      <c r="B319" s="5">
        <v>4.9783833355168117E-3</v>
      </c>
      <c r="C319" s="5">
        <v>6.944444444444442E-2</v>
      </c>
      <c r="D319" s="5">
        <v>-4.8687011449901618E-3</v>
      </c>
      <c r="E319" s="5">
        <v>6.11189468735307E-3</v>
      </c>
      <c r="F319" s="5">
        <v>0.12500000000000022</v>
      </c>
      <c r="G319" s="5">
        <v>-0.11192309402989487</v>
      </c>
      <c r="H319" s="39" t="str">
        <f t="shared" ref="H319:M319" si="41">IF(COUNTIF(H78:H81,"Low")&gt;2,"Low","High")</f>
        <v>High</v>
      </c>
      <c r="I319" s="39" t="str">
        <f t="shared" si="41"/>
        <v>Low</v>
      </c>
      <c r="J319" s="39" t="str">
        <f t="shared" si="41"/>
        <v>Low</v>
      </c>
      <c r="K319" s="39" t="str">
        <f t="shared" si="41"/>
        <v>High</v>
      </c>
      <c r="L319" s="39" t="str">
        <f t="shared" si="41"/>
        <v>Low</v>
      </c>
      <c r="M319" s="39" t="str">
        <f t="shared" si="41"/>
        <v>High</v>
      </c>
    </row>
    <row r="320" spans="1:13" x14ac:dyDescent="0.15">
      <c r="A320" s="17">
        <v>43252</v>
      </c>
      <c r="B320" s="5">
        <v>-4.8233607091642261E-3</v>
      </c>
      <c r="C320" s="5">
        <v>-3.8311688311688314</v>
      </c>
      <c r="D320" s="5">
        <v>-1.1945942649019381E-2</v>
      </c>
      <c r="E320" s="5">
        <v>-1.7757009345794383E-2</v>
      </c>
      <c r="F320" s="5">
        <v>0</v>
      </c>
      <c r="G320" s="5">
        <v>0.15210129199046984</v>
      </c>
      <c r="H320" s="39"/>
      <c r="I320" s="39"/>
      <c r="J320" s="39"/>
      <c r="K320" s="39"/>
      <c r="L320" s="39"/>
      <c r="M320" s="39"/>
    </row>
    <row r="321" spans="1:13" x14ac:dyDescent="0.15">
      <c r="A321" s="17">
        <v>43259</v>
      </c>
      <c r="B321" s="5">
        <v>-4.3751637411579836E-2</v>
      </c>
      <c r="C321" s="5">
        <v>-1.1055045871559632</v>
      </c>
      <c r="D321" s="5">
        <v>-1.3399943560619354E-2</v>
      </c>
      <c r="E321" s="5">
        <v>-3.0922930542340521E-2</v>
      </c>
      <c r="F321" s="5">
        <v>0.33333333333333326</v>
      </c>
      <c r="G321" s="5">
        <v>7.4524472747127701E-2</v>
      </c>
      <c r="H321" s="39"/>
      <c r="I321" s="39"/>
      <c r="J321" s="39"/>
      <c r="K321" s="39"/>
      <c r="L321" s="39"/>
      <c r="M321" s="39"/>
    </row>
    <row r="322" spans="1:13" x14ac:dyDescent="0.15">
      <c r="A322" s="17">
        <v>43266</v>
      </c>
      <c r="B322" s="5">
        <v>3.4657534246575361E-2</v>
      </c>
      <c r="C322" s="5">
        <v>-2.7391304347826084</v>
      </c>
      <c r="D322" s="5">
        <v>5.4300947920249421E-3</v>
      </c>
      <c r="E322" s="5">
        <v>2.5036818851251752E-2</v>
      </c>
      <c r="F322" s="5">
        <v>8.3333333333333259E-2</v>
      </c>
      <c r="G322" s="5">
        <v>-4.333299226294951E-2</v>
      </c>
      <c r="H322" s="39"/>
      <c r="I322" s="39"/>
      <c r="J322" s="39"/>
      <c r="K322" s="39"/>
      <c r="L322" s="39"/>
      <c r="M322" s="39"/>
    </row>
    <row r="323" spans="1:13" x14ac:dyDescent="0.15">
      <c r="A323" s="17">
        <v>43273</v>
      </c>
      <c r="B323" s="5">
        <v>5.1502714153316642E-2</v>
      </c>
      <c r="C323" s="5">
        <v>11.074999999999999</v>
      </c>
      <c r="D323" s="5">
        <v>2.0567369581451667E-2</v>
      </c>
      <c r="E323" s="5">
        <v>1.7241379310344751E-2</v>
      </c>
      <c r="F323" s="5">
        <v>-0.25641025641025639</v>
      </c>
      <c r="G323" s="5">
        <v>-2.3167208987580734E-2</v>
      </c>
      <c r="H323" s="39" t="str">
        <f t="shared" ref="H323:M323" si="42">IF(COUNTIF(H82:H85,"Low")&gt;2,"Low","High")</f>
        <v>Low</v>
      </c>
      <c r="I323" s="39" t="str">
        <f t="shared" si="42"/>
        <v>High</v>
      </c>
      <c r="J323" s="39" t="str">
        <f t="shared" si="42"/>
        <v>High</v>
      </c>
      <c r="K323" s="39" t="str">
        <f t="shared" si="42"/>
        <v>High</v>
      </c>
      <c r="L323" s="39" t="str">
        <f t="shared" si="42"/>
        <v>Low</v>
      </c>
      <c r="M323" s="39" t="str">
        <f t="shared" si="42"/>
        <v>High</v>
      </c>
    </row>
    <row r="324" spans="1:13" x14ac:dyDescent="0.15">
      <c r="A324" s="17">
        <v>43280</v>
      </c>
      <c r="B324" s="5">
        <v>-2.6819440946864725E-2</v>
      </c>
      <c r="C324" s="5">
        <v>-0.54865424430641818</v>
      </c>
      <c r="D324" s="5">
        <v>2.1529214486378345E-2</v>
      </c>
      <c r="E324" s="5">
        <v>2.6836158192090398E-2</v>
      </c>
      <c r="F324" s="5">
        <v>0.34482758620689657</v>
      </c>
      <c r="G324" s="5">
        <v>-0.28399246253862664</v>
      </c>
      <c r="H324" s="39"/>
      <c r="I324" s="39"/>
      <c r="J324" s="39"/>
      <c r="K324" s="39"/>
      <c r="L324" s="39"/>
      <c r="M324" s="39"/>
    </row>
    <row r="325" spans="1:13" x14ac:dyDescent="0.15">
      <c r="A325" s="17">
        <v>43287</v>
      </c>
      <c r="B325" s="5">
        <v>-3.0663733988873121E-2</v>
      </c>
      <c r="C325" s="5">
        <v>-0.65596330275229353</v>
      </c>
      <c r="D325" s="5">
        <v>4.4768864746846937E-4</v>
      </c>
      <c r="E325" s="5">
        <v>-9.1701054562121076E-4</v>
      </c>
      <c r="F325" s="5">
        <v>0.15384615384615397</v>
      </c>
      <c r="G325" s="5">
        <v>0.52122088225672569</v>
      </c>
      <c r="H325" s="39"/>
      <c r="I325" s="39"/>
      <c r="J325" s="39"/>
      <c r="K325" s="39"/>
      <c r="L325" s="39"/>
      <c r="M325" s="39"/>
    </row>
    <row r="326" spans="1:13" x14ac:dyDescent="0.15">
      <c r="A326" s="17">
        <v>43294</v>
      </c>
      <c r="B326" s="5">
        <v>-2.562733582487986E-2</v>
      </c>
      <c r="C326" s="5">
        <v>1.52</v>
      </c>
      <c r="D326" s="5">
        <v>-4.2025545189926738E-2</v>
      </c>
      <c r="E326" s="5">
        <v>-3.4419458467186748E-2</v>
      </c>
      <c r="F326" s="5">
        <v>-2.2222222222222143E-2</v>
      </c>
      <c r="G326" s="5">
        <v>0.13531640419056523</v>
      </c>
      <c r="H326" s="39"/>
      <c r="I326" s="39"/>
      <c r="J326" s="39"/>
      <c r="K326" s="39"/>
      <c r="L326" s="39"/>
      <c r="M326" s="39"/>
    </row>
    <row r="327" spans="1:13" x14ac:dyDescent="0.15">
      <c r="A327" s="17">
        <v>43301</v>
      </c>
      <c r="B327" s="5">
        <v>1.9041095890411031E-2</v>
      </c>
      <c r="C327" s="5">
        <v>2.7407407407407409</v>
      </c>
      <c r="D327" s="5">
        <v>1.9974909022964393E-2</v>
      </c>
      <c r="E327" s="5">
        <v>1.7110266159695797E-2</v>
      </c>
      <c r="F327" s="5">
        <v>-0.38636363636363635</v>
      </c>
      <c r="G327" s="5">
        <v>-0.30188694023977491</v>
      </c>
      <c r="H327" s="39" t="str">
        <f t="shared" ref="H327:M327" si="43">IF(COUNTIF(H86:H89,"Low")&gt;2,"Low","High")</f>
        <v>High</v>
      </c>
      <c r="I327" s="39" t="str">
        <f t="shared" si="43"/>
        <v>High</v>
      </c>
      <c r="J327" s="39" t="str">
        <f t="shared" si="43"/>
        <v>High</v>
      </c>
      <c r="K327" s="39" t="str">
        <f t="shared" si="43"/>
        <v>High</v>
      </c>
      <c r="L327" s="39" t="str">
        <f t="shared" si="43"/>
        <v>Low</v>
      </c>
      <c r="M327" s="39" t="str">
        <f t="shared" si="43"/>
        <v>High</v>
      </c>
    </row>
    <row r="328" spans="1:13" x14ac:dyDescent="0.15">
      <c r="A328" s="17">
        <v>43308</v>
      </c>
      <c r="B328" s="5">
        <v>-1.9223013845947157E-2</v>
      </c>
      <c r="C328" s="5">
        <v>-0.49363507779349369</v>
      </c>
      <c r="D328" s="5">
        <v>-7.7070030356953811E-3</v>
      </c>
      <c r="E328" s="5">
        <v>-8.5046728971962637E-2</v>
      </c>
      <c r="F328" s="5">
        <v>-0.18518518518518512</v>
      </c>
      <c r="G328" s="5">
        <v>0.18820821502106599</v>
      </c>
      <c r="H328" s="39"/>
      <c r="I328" s="39"/>
      <c r="J328" s="39"/>
      <c r="K328" s="39"/>
      <c r="L328" s="39"/>
      <c r="M328" s="39"/>
    </row>
    <row r="329" spans="1:13" x14ac:dyDescent="0.15">
      <c r="A329" s="17">
        <v>43322</v>
      </c>
      <c r="B329" s="5">
        <v>-1.5076754385964786E-2</v>
      </c>
      <c r="C329" s="5">
        <v>0.25977653631284903</v>
      </c>
      <c r="D329" s="5">
        <v>-8.7602470275379707E-3</v>
      </c>
      <c r="E329" s="5">
        <v>1.3278855975485282E-2</v>
      </c>
      <c r="F329" s="5">
        <v>-9.0909090909090939E-2</v>
      </c>
      <c r="G329" s="5">
        <v>0.22989020585949738</v>
      </c>
      <c r="H329" s="39"/>
      <c r="I329" s="39"/>
      <c r="J329" s="39"/>
      <c r="K329" s="39"/>
      <c r="L329" s="39"/>
      <c r="M329" s="39"/>
    </row>
    <row r="330" spans="1:13" x14ac:dyDescent="0.15">
      <c r="A330" s="17">
        <v>43329</v>
      </c>
      <c r="B330" s="5">
        <v>4.967993320345121E-2</v>
      </c>
      <c r="C330" s="5">
        <v>0.84922394678492252</v>
      </c>
      <c r="D330" s="5">
        <v>1.092624782716678E-2</v>
      </c>
      <c r="E330" s="5">
        <v>4.0322580645162365E-3</v>
      </c>
      <c r="F330" s="5">
        <v>-0.25</v>
      </c>
      <c r="G330" s="5">
        <v>-0.30543889449578554</v>
      </c>
      <c r="H330" s="39"/>
      <c r="I330" s="39"/>
      <c r="J330" s="39"/>
      <c r="K330" s="39"/>
      <c r="L330" s="39"/>
      <c r="M330" s="39"/>
    </row>
    <row r="331" spans="1:13" x14ac:dyDescent="0.15">
      <c r="A331" s="17">
        <v>43336</v>
      </c>
      <c r="B331" s="5">
        <v>2.6779795837200027E-2</v>
      </c>
      <c r="C331" s="5">
        <v>-0.10071942446043169</v>
      </c>
      <c r="D331" s="5">
        <v>2.8989893673017963E-2</v>
      </c>
      <c r="E331" s="5">
        <v>5.5220883534137233E-3</v>
      </c>
      <c r="F331" s="5">
        <v>-0.60000000000000009</v>
      </c>
      <c r="G331" s="5">
        <v>0.2106411502165082</v>
      </c>
      <c r="H331" s="39" t="str">
        <f t="shared" ref="H331:M331" si="44">IF(COUNTIF(H90:H93,"Low")&gt;2,"Low","High")</f>
        <v>High</v>
      </c>
      <c r="I331" s="39" t="str">
        <f t="shared" si="44"/>
        <v>High</v>
      </c>
      <c r="J331" s="39" t="str">
        <f t="shared" si="44"/>
        <v>High</v>
      </c>
      <c r="K331" s="39" t="str">
        <f t="shared" si="44"/>
        <v>High</v>
      </c>
      <c r="L331" s="39" t="str">
        <f t="shared" si="44"/>
        <v>High</v>
      </c>
      <c r="M331" s="39" t="str">
        <f t="shared" si="44"/>
        <v>High</v>
      </c>
    </row>
    <row r="332" spans="1:13" x14ac:dyDescent="0.15">
      <c r="A332" s="17">
        <v>43343</v>
      </c>
      <c r="B332" s="5">
        <v>-4.5190445448677341E-3</v>
      </c>
      <c r="C332" s="5">
        <v>-0.84799999999999998</v>
      </c>
      <c r="D332" s="5">
        <v>-1.0243621714943307E-2</v>
      </c>
      <c r="E332" s="5">
        <v>-4.2436345481777438E-2</v>
      </c>
      <c r="F332" s="5">
        <v>-0.16666666666666663</v>
      </c>
      <c r="G332" s="5">
        <v>-0.18221279163474247</v>
      </c>
      <c r="H332" s="39"/>
      <c r="I332" s="39"/>
      <c r="J332" s="39"/>
      <c r="K332" s="39"/>
      <c r="L332" s="39"/>
      <c r="M332" s="39"/>
    </row>
    <row r="333" spans="1:13" x14ac:dyDescent="0.15">
      <c r="A333" s="17">
        <v>43350</v>
      </c>
      <c r="B333" s="5">
        <v>1.2970168612191912E-2</v>
      </c>
      <c r="C333" s="5">
        <v>-7.8947368421052544E-2</v>
      </c>
      <c r="D333" s="5">
        <v>1.6555977638232022E-2</v>
      </c>
      <c r="E333" s="5">
        <v>5.2137643378519227E-2</v>
      </c>
      <c r="F333" s="5">
        <v>1.6</v>
      </c>
      <c r="G333" s="5">
        <v>0.3750862258202412</v>
      </c>
      <c r="H333" s="39"/>
      <c r="I333" s="39"/>
      <c r="J333" s="39"/>
      <c r="K333" s="39"/>
      <c r="L333" s="39"/>
      <c r="M333" s="39"/>
    </row>
    <row r="334" spans="1:13" x14ac:dyDescent="0.15">
      <c r="A334" s="17">
        <v>43357</v>
      </c>
      <c r="B334" s="5">
        <v>8.5787451984635776E-3</v>
      </c>
      <c r="C334" s="5">
        <v>-0.27619047619047621</v>
      </c>
      <c r="D334" s="5">
        <v>2.8191809376933108E-2</v>
      </c>
      <c r="E334" s="5">
        <v>4.658077304261643E-2</v>
      </c>
      <c r="F334" s="5">
        <v>1.7692307692307692</v>
      </c>
      <c r="G334" s="5">
        <v>-0.16207685838676988</v>
      </c>
      <c r="H334" s="39"/>
      <c r="I334" s="39"/>
      <c r="J334" s="39"/>
      <c r="K334" s="39"/>
      <c r="L334" s="39"/>
      <c r="M334" s="39"/>
    </row>
    <row r="335" spans="1:13" x14ac:dyDescent="0.15">
      <c r="A335" s="17">
        <v>43364</v>
      </c>
      <c r="B335" s="5">
        <v>4.9765139012314386E-2</v>
      </c>
      <c r="C335" s="5">
        <v>2.763157894736842</v>
      </c>
      <c r="D335" s="5">
        <v>2.0009889566507288E-2</v>
      </c>
      <c r="E335" s="5">
        <v>2.0833333333333259E-2</v>
      </c>
      <c r="F335" s="5">
        <v>-0.16666666666666674</v>
      </c>
      <c r="G335" s="5">
        <v>-3.6737840098323038E-2</v>
      </c>
      <c r="H335" s="39" t="str">
        <f t="shared" ref="H335:M335" si="45">IF(COUNTIF(H94:H97,"Low")&gt;2,"Low","High")</f>
        <v>High</v>
      </c>
      <c r="I335" s="39" t="str">
        <f t="shared" si="45"/>
        <v>High</v>
      </c>
      <c r="J335" s="39" t="str">
        <f t="shared" si="45"/>
        <v>Low</v>
      </c>
      <c r="K335" s="39" t="str">
        <f t="shared" si="45"/>
        <v>Low</v>
      </c>
      <c r="L335" s="39" t="str">
        <f t="shared" si="45"/>
        <v>High</v>
      </c>
      <c r="M335" s="39" t="str">
        <f t="shared" si="45"/>
        <v>High</v>
      </c>
    </row>
    <row r="336" spans="1:13" x14ac:dyDescent="0.15">
      <c r="A336" s="17">
        <v>43371</v>
      </c>
      <c r="B336" s="5">
        <v>1.7172572257830421E-2</v>
      </c>
      <c r="C336" s="5">
        <v>-0.27622377622377625</v>
      </c>
      <c r="D336" s="5">
        <v>-9.8813909895933971E-3</v>
      </c>
      <c r="E336" s="5">
        <v>-1.6697588126159513E-2</v>
      </c>
      <c r="F336" s="5">
        <v>0.19999999999999996</v>
      </c>
      <c r="G336" s="5">
        <v>0.32225971017738209</v>
      </c>
      <c r="H336" s="39"/>
      <c r="I336" s="39"/>
      <c r="J336" s="39"/>
      <c r="K336" s="39"/>
      <c r="L336" s="39"/>
      <c r="M336" s="39"/>
    </row>
    <row r="337" spans="1:13" x14ac:dyDescent="0.15">
      <c r="A337" s="17">
        <v>43378</v>
      </c>
      <c r="B337" s="5">
        <v>-4.173106646058744E-2</v>
      </c>
      <c r="C337" s="5">
        <v>-2.7391304347826089</v>
      </c>
      <c r="D337" s="5">
        <v>-1.95356807703293E-2</v>
      </c>
      <c r="E337" s="5">
        <v>-1.8867924528301883E-3</v>
      </c>
      <c r="F337" s="5">
        <v>0.19444444444444442</v>
      </c>
      <c r="G337" s="5">
        <v>0.13976680745721293</v>
      </c>
      <c r="H337" s="39"/>
      <c r="I337" s="39"/>
      <c r="J337" s="39"/>
      <c r="K337" s="39"/>
      <c r="L337" s="39"/>
      <c r="M337" s="39"/>
    </row>
    <row r="338" spans="1:13" x14ac:dyDescent="0.15">
      <c r="A338" s="17">
        <v>43385</v>
      </c>
      <c r="B338" s="5">
        <v>-7.1960297766748837E-3</v>
      </c>
      <c r="C338" s="5">
        <v>-0.61111111111111116</v>
      </c>
      <c r="D338" s="5">
        <v>-2.423200805652892E-2</v>
      </c>
      <c r="E338" s="5">
        <v>-1.3232514177693777E-2</v>
      </c>
      <c r="F338" s="5">
        <v>0.16279069767441867</v>
      </c>
      <c r="G338" s="5">
        <v>-0.2292567437715366</v>
      </c>
      <c r="H338" s="39"/>
      <c r="I338" s="39"/>
      <c r="J338" s="39"/>
      <c r="K338" s="39"/>
      <c r="L338" s="39"/>
      <c r="M338" s="39"/>
    </row>
    <row r="339" spans="1:13" x14ac:dyDescent="0.15">
      <c r="A339" s="17">
        <v>43392</v>
      </c>
      <c r="B339" s="5">
        <v>-2.8617845538615239E-2</v>
      </c>
      <c r="C339" s="5">
        <v>-0.34285714285714275</v>
      </c>
      <c r="D339" s="5">
        <v>-2.1993440777212547E-2</v>
      </c>
      <c r="E339" s="5">
        <v>-2.8256704980842873E-2</v>
      </c>
      <c r="F339" s="5">
        <v>-0.38</v>
      </c>
      <c r="G339" s="5">
        <v>1.936421676373512E-2</v>
      </c>
      <c r="H339" s="39" t="str">
        <f t="shared" ref="H339:M339" si="46">IF(COUNTIF(H98:H101,"Low")&gt;2,"Low","High")</f>
        <v>Low</v>
      </c>
      <c r="I339" s="39" t="str">
        <f t="shared" si="46"/>
        <v>High</v>
      </c>
      <c r="J339" s="39" t="str">
        <f t="shared" si="46"/>
        <v>Low</v>
      </c>
      <c r="K339" s="39" t="str">
        <f t="shared" si="46"/>
        <v>High</v>
      </c>
      <c r="L339" s="39" t="str">
        <f t="shared" si="46"/>
        <v>Low</v>
      </c>
      <c r="M339" s="39" t="str">
        <f t="shared" si="46"/>
        <v>Low</v>
      </c>
    </row>
    <row r="340" spans="1:13" x14ac:dyDescent="0.15">
      <c r="A340" s="17">
        <v>43399</v>
      </c>
      <c r="B340" s="5">
        <v>-0.10099060851666031</v>
      </c>
      <c r="C340" s="5">
        <v>7.25</v>
      </c>
      <c r="D340" s="5">
        <v>4.8076503780710045E-2</v>
      </c>
      <c r="E340" s="5">
        <v>1.5771315919171913E-2</v>
      </c>
      <c r="F340" s="5">
        <v>-0.80645161290322576</v>
      </c>
      <c r="G340" s="5">
        <v>-0.14396578167221041</v>
      </c>
      <c r="H340" s="39"/>
      <c r="I340" s="39"/>
      <c r="J340" s="39"/>
      <c r="K340" s="39"/>
      <c r="L340" s="39"/>
      <c r="M340" s="39"/>
    </row>
    <row r="341" spans="1:13" x14ac:dyDescent="0.15">
      <c r="A341" s="17">
        <v>43413</v>
      </c>
      <c r="B341" s="5">
        <v>-3.9782484258729323E-2</v>
      </c>
      <c r="C341" s="5">
        <v>-1.0144927536231885</v>
      </c>
      <c r="D341" s="5">
        <v>-1.2814805260727091E-2</v>
      </c>
      <c r="E341" s="5">
        <v>1.9408054342552328E-2</v>
      </c>
      <c r="F341" s="5">
        <v>-0.16666666666666663</v>
      </c>
      <c r="G341" s="5">
        <v>0.13570814408350862</v>
      </c>
      <c r="H341" s="39"/>
      <c r="I341" s="39"/>
      <c r="J341" s="39"/>
      <c r="K341" s="39"/>
      <c r="L341" s="39"/>
      <c r="M341" s="39"/>
    </row>
    <row r="342" spans="1:13" x14ac:dyDescent="0.15">
      <c r="A342" s="17">
        <v>43420</v>
      </c>
      <c r="B342" s="5">
        <v>-0.11788375558867359</v>
      </c>
      <c r="C342" s="5">
        <v>-149.54545454545453</v>
      </c>
      <c r="D342" s="5">
        <v>-1.2517543526912811E-2</v>
      </c>
      <c r="E342" s="5">
        <v>-2.6653974297953464E-2</v>
      </c>
      <c r="F342" s="5">
        <v>-2.6</v>
      </c>
      <c r="G342" s="5">
        <v>-7.5796938434797068E-2</v>
      </c>
      <c r="H342" s="39"/>
      <c r="I342" s="39"/>
      <c r="J342" s="39"/>
      <c r="K342" s="39"/>
      <c r="L342" s="39"/>
      <c r="M342" s="39"/>
    </row>
    <row r="343" spans="1:13" x14ac:dyDescent="0.15">
      <c r="A343" s="17">
        <v>43427</v>
      </c>
      <c r="B343" s="5">
        <v>-8.6163203243790898E-3</v>
      </c>
      <c r="C343" s="5">
        <v>-0.90697674418604657</v>
      </c>
      <c r="D343" s="5">
        <v>2.1139835337200319E-2</v>
      </c>
      <c r="E343" s="5">
        <v>0</v>
      </c>
      <c r="F343" s="5">
        <v>-1.5</v>
      </c>
      <c r="G343" s="5">
        <v>5.1302925101365249E-2</v>
      </c>
      <c r="H343" s="39" t="str">
        <f t="shared" ref="H343:M343" si="47">IF(COUNTIF(H102:H105,"Low")&gt;2,"Low","High")</f>
        <v>Low</v>
      </c>
      <c r="I343" s="39" t="str">
        <f t="shared" si="47"/>
        <v>High</v>
      </c>
      <c r="J343" s="39" t="str">
        <f t="shared" si="47"/>
        <v>High</v>
      </c>
      <c r="K343" s="39" t="str">
        <f t="shared" si="47"/>
        <v>Low</v>
      </c>
      <c r="L343" s="39" t="str">
        <f t="shared" si="47"/>
        <v>High</v>
      </c>
      <c r="M343" s="39" t="str">
        <f t="shared" si="47"/>
        <v>High</v>
      </c>
    </row>
    <row r="344" spans="1:13" x14ac:dyDescent="0.15">
      <c r="A344" s="17">
        <v>43434</v>
      </c>
      <c r="B344" s="5">
        <v>4.6353101567825572E-2</v>
      </c>
      <c r="C344" s="5">
        <v>-3.7434210526315788</v>
      </c>
      <c r="D344" s="5">
        <v>1.6213166144200652E-2</v>
      </c>
      <c r="E344" s="5">
        <v>1.2713936430317929E-2</v>
      </c>
      <c r="F344" s="5">
        <v>0.74999999999999978</v>
      </c>
      <c r="G344" s="5">
        <v>2.0450380442365468E-2</v>
      </c>
      <c r="H344" s="39"/>
      <c r="I344" s="39"/>
      <c r="J344" s="39"/>
      <c r="K344" s="39"/>
      <c r="L344" s="39"/>
      <c r="M344" s="39"/>
    </row>
    <row r="345" spans="1:13" x14ac:dyDescent="0.15">
      <c r="A345" s="17">
        <v>43441</v>
      </c>
      <c r="B345" s="5">
        <v>-1.8729641693811083E-2</v>
      </c>
      <c r="C345" s="5">
        <v>-1.0719424460431655</v>
      </c>
      <c r="D345" s="5">
        <v>-2.6981561228812678E-2</v>
      </c>
      <c r="E345" s="5">
        <v>-2.3177209077740235E-2</v>
      </c>
      <c r="F345" s="5">
        <v>-1.3714285714285714</v>
      </c>
      <c r="G345" s="5">
        <v>0.12357405356520146</v>
      </c>
      <c r="H345" s="39"/>
      <c r="I345" s="39"/>
      <c r="J345" s="39"/>
      <c r="K345" s="39"/>
      <c r="L345" s="39"/>
      <c r="M345" s="39"/>
    </row>
    <row r="346" spans="1:13" x14ac:dyDescent="0.15">
      <c r="A346" s="17">
        <v>43448</v>
      </c>
      <c r="B346" s="5">
        <v>-0.11203319502074693</v>
      </c>
      <c r="C346" s="5">
        <v>12.633333333333333</v>
      </c>
      <c r="D346" s="5">
        <v>-7.8285827813450171E-3</v>
      </c>
      <c r="E346" s="5">
        <v>-7.9584775086505188E-2</v>
      </c>
      <c r="F346" s="5">
        <v>2.4615384615384617</v>
      </c>
      <c r="G346" s="5">
        <v>-0.13856735727056535</v>
      </c>
      <c r="H346" s="39"/>
      <c r="I346" s="39"/>
      <c r="J346" s="39"/>
      <c r="K346" s="39"/>
      <c r="L346" s="39"/>
      <c r="M346" s="39"/>
    </row>
    <row r="347" spans="1:13" x14ac:dyDescent="0.15">
      <c r="A347" s="17">
        <v>43455</v>
      </c>
      <c r="B347" s="5">
        <v>7.3271028037383168E-2</v>
      </c>
      <c r="C347" s="5">
        <v>-2.657701711491443</v>
      </c>
      <c r="D347" s="5">
        <v>2.5277248771925276E-2</v>
      </c>
      <c r="E347" s="5">
        <v>5.853920515574651E-2</v>
      </c>
      <c r="F347" s="5">
        <v>-1</v>
      </c>
      <c r="G347" s="5">
        <v>-0.10140229785473709</v>
      </c>
      <c r="H347" s="39" t="str">
        <f t="shared" ref="H347:M347" si="48">IF(COUNTIF(H106:H109,"Low")&gt;2,"Low","High")</f>
        <v>High</v>
      </c>
      <c r="I347" s="39" t="str">
        <f t="shared" si="48"/>
        <v>High</v>
      </c>
      <c r="J347" s="39" t="str">
        <f t="shared" si="48"/>
        <v>High</v>
      </c>
      <c r="K347" s="39" t="str">
        <f t="shared" si="48"/>
        <v>High</v>
      </c>
      <c r="L347" s="39" t="str">
        <f t="shared" si="48"/>
        <v>Low</v>
      </c>
      <c r="M347" s="39" t="str">
        <f t="shared" si="48"/>
        <v>High</v>
      </c>
    </row>
    <row r="348" spans="1:13" x14ac:dyDescent="0.15">
      <c r="A348" s="17">
        <v>43469</v>
      </c>
      <c r="B348" s="5">
        <v>5.5207244862417237E-2</v>
      </c>
      <c r="C348" s="5">
        <v>-1.7699115044247815E-2</v>
      </c>
      <c r="D348" s="5">
        <v>1.5769790151672458E-2</v>
      </c>
      <c r="E348" s="5">
        <v>1.7757483510908001E-2</v>
      </c>
      <c r="F348" s="5">
        <v>0</v>
      </c>
      <c r="G348" s="5">
        <v>0.10004878378052084</v>
      </c>
      <c r="H348" s="39"/>
      <c r="I348" s="39"/>
      <c r="J348" s="39"/>
      <c r="K348" s="39"/>
      <c r="L348" s="39"/>
      <c r="M348" s="39"/>
    </row>
    <row r="349" spans="1:13" x14ac:dyDescent="0.15">
      <c r="A349" s="17">
        <v>43476</v>
      </c>
      <c r="B349" s="5">
        <v>3.2843703581449057E-2</v>
      </c>
      <c r="C349" s="5">
        <v>-0.53603603603603611</v>
      </c>
      <c r="D349" s="5">
        <v>1.1929063797582407E-2</v>
      </c>
      <c r="E349" s="5">
        <v>2.243270189431712E-2</v>
      </c>
      <c r="F349" s="5">
        <v>-3</v>
      </c>
      <c r="G349" s="5">
        <v>7.8954027795812953E-2</v>
      </c>
      <c r="H349" s="39"/>
      <c r="I349" s="39"/>
      <c r="J349" s="39"/>
      <c r="K349" s="39"/>
      <c r="L349" s="39"/>
      <c r="M349" s="39"/>
    </row>
    <row r="350" spans="1:13" x14ac:dyDescent="0.15">
      <c r="A350" s="17">
        <v>43483</v>
      </c>
      <c r="B350" s="5">
        <v>-1.7098114413550691E-2</v>
      </c>
      <c r="C350" s="5">
        <v>-0.89967637540453071</v>
      </c>
      <c r="D350" s="5">
        <v>9.9530645493832726E-3</v>
      </c>
      <c r="E350" s="5">
        <v>1.1214041930765362E-2</v>
      </c>
      <c r="F350" s="5">
        <v>-1.2</v>
      </c>
      <c r="G350" s="5">
        <v>-4.2749482979626219E-2</v>
      </c>
      <c r="H350" s="39"/>
      <c r="I350" s="39"/>
      <c r="J350" s="39"/>
      <c r="K350" s="39"/>
      <c r="L350" s="39"/>
      <c r="M350" s="39"/>
    </row>
    <row r="351" spans="1:13" x14ac:dyDescent="0.15">
      <c r="A351" s="17">
        <v>43490</v>
      </c>
      <c r="B351" s="5">
        <v>2.2597951552593143E-2</v>
      </c>
      <c r="C351" s="5">
        <v>3.2258064516129004E-2</v>
      </c>
      <c r="D351" s="5">
        <v>9.3946514132003944E-3</v>
      </c>
      <c r="E351" s="5">
        <v>1.8322082931533368E-2</v>
      </c>
      <c r="F351" s="5">
        <v>0</v>
      </c>
      <c r="G351" s="5">
        <v>-7.9253408692884331E-2</v>
      </c>
      <c r="H351" s="39" t="str">
        <f t="shared" ref="H351:M351" si="49">IF(COUNTIF(H110:H113,"Low")&gt;2,"Low","High")</f>
        <v>High</v>
      </c>
      <c r="I351" s="39" t="str">
        <f t="shared" si="49"/>
        <v>High</v>
      </c>
      <c r="J351" s="39" t="str">
        <f t="shared" si="49"/>
        <v>Low</v>
      </c>
      <c r="K351" s="39" t="str">
        <f t="shared" si="49"/>
        <v>High</v>
      </c>
      <c r="L351" s="39" t="str">
        <f t="shared" si="49"/>
        <v>High</v>
      </c>
      <c r="M351" s="39" t="str">
        <f t="shared" si="49"/>
        <v>Low</v>
      </c>
    </row>
    <row r="352" spans="1:13" x14ac:dyDescent="0.15">
      <c r="A352" s="17">
        <v>43497</v>
      </c>
      <c r="B352" s="5">
        <v>-1.4785373608902974E-2</v>
      </c>
      <c r="C352" s="5">
        <v>0.4375</v>
      </c>
      <c r="D352" s="5">
        <v>-7.4870127295076916E-3</v>
      </c>
      <c r="E352" s="5">
        <v>-1.7045454545454475E-2</v>
      </c>
      <c r="F352" s="5">
        <v>3.5</v>
      </c>
      <c r="G352" s="5">
        <v>0.26218617699153968</v>
      </c>
      <c r="H352" s="39"/>
      <c r="I352" s="39"/>
      <c r="J352" s="39"/>
      <c r="K352" s="39"/>
      <c r="L352" s="39"/>
      <c r="M352" s="39"/>
    </row>
    <row r="353" spans="1:13" x14ac:dyDescent="0.15">
      <c r="A353" s="17">
        <v>43504</v>
      </c>
      <c r="B353" s="5">
        <v>4.6958205583346624E-2</v>
      </c>
      <c r="C353" s="5">
        <v>8.8260869565217384</v>
      </c>
      <c r="D353" s="5">
        <v>-5.0582942440927647E-3</v>
      </c>
      <c r="E353" s="5">
        <v>-1.3969171483622533E-2</v>
      </c>
      <c r="F353" s="5">
        <v>-0.88888888888888884</v>
      </c>
      <c r="G353" s="5">
        <v>-8.0203455804175872E-2</v>
      </c>
      <c r="H353" s="39"/>
      <c r="I353" s="39"/>
      <c r="J353" s="39"/>
      <c r="K353" s="39"/>
      <c r="L353" s="39"/>
      <c r="M353" s="39"/>
    </row>
    <row r="354" spans="1:13" x14ac:dyDescent="0.15">
      <c r="A354" s="17">
        <v>43511</v>
      </c>
      <c r="B354" s="5">
        <v>3.128853267570908E-2</v>
      </c>
      <c r="C354" s="5">
        <v>-0.27433628318584069</v>
      </c>
      <c r="D354" s="5">
        <v>-6.1441835062792105E-4</v>
      </c>
      <c r="E354" s="5">
        <v>1.2701514411333825E-2</v>
      </c>
      <c r="F354" s="5">
        <v>4.9999999999999991</v>
      </c>
      <c r="G354" s="5">
        <v>-6.4953879054860386E-2</v>
      </c>
      <c r="H354" s="39"/>
      <c r="I354" s="39"/>
      <c r="J354" s="39"/>
      <c r="K354" s="39"/>
      <c r="L354" s="39"/>
      <c r="M354" s="39"/>
    </row>
    <row r="355" spans="1:13" x14ac:dyDescent="0.15">
      <c r="A355" s="17">
        <v>43518</v>
      </c>
      <c r="B355" s="5">
        <v>-2.8545807801524381E-2</v>
      </c>
      <c r="C355" s="5">
        <v>-0.4359756097560975</v>
      </c>
      <c r="D355" s="5">
        <v>-4.2674081723679258E-3</v>
      </c>
      <c r="E355" s="5">
        <v>-1.3989387361312056E-2</v>
      </c>
      <c r="F355" s="5">
        <v>1.5</v>
      </c>
      <c r="G355" s="5">
        <v>-3.3779418371947423E-2</v>
      </c>
      <c r="H355" s="39" t="str">
        <f t="shared" ref="H355:M355" si="50">IF(COUNTIF(H114:H117,"Low")&gt;2,"Low","High")</f>
        <v>High</v>
      </c>
      <c r="I355" s="39" t="str">
        <f t="shared" si="50"/>
        <v>High</v>
      </c>
      <c r="J355" s="39" t="str">
        <f t="shared" si="50"/>
        <v>Low</v>
      </c>
      <c r="K355" s="39" t="str">
        <f t="shared" si="50"/>
        <v>High</v>
      </c>
      <c r="L355" s="39" t="str">
        <f t="shared" si="50"/>
        <v>Low</v>
      </c>
      <c r="M355" s="39" t="str">
        <f t="shared" si="50"/>
        <v>Low</v>
      </c>
    </row>
    <row r="356" spans="1:13" x14ac:dyDescent="0.15">
      <c r="A356" s="17">
        <v>43525</v>
      </c>
      <c r="B356" s="5">
        <v>1.8386263485792309E-2</v>
      </c>
      <c r="C356" s="5">
        <v>0.73228346456692917</v>
      </c>
      <c r="D356" s="5">
        <v>0</v>
      </c>
      <c r="E356" s="5">
        <v>3.4705007436787172E-2</v>
      </c>
      <c r="F356" s="5">
        <v>-1</v>
      </c>
      <c r="G356" s="5">
        <v>-8.3000521699690855E-2</v>
      </c>
      <c r="H356" s="39"/>
      <c r="I356" s="39"/>
      <c r="J356" s="39"/>
      <c r="K356" s="39"/>
      <c r="L356" s="39"/>
      <c r="M356" s="39"/>
    </row>
    <row r="357" spans="1:13" x14ac:dyDescent="0.15">
      <c r="A357" s="17">
        <v>43539</v>
      </c>
      <c r="B357" s="5">
        <v>8.9525514771704451E-4</v>
      </c>
      <c r="C357" s="5">
        <v>-0.36818181818181828</v>
      </c>
      <c r="D357" s="5">
        <v>6.4480181529678049E-3</v>
      </c>
      <c r="E357" s="5">
        <v>1.4374700527071127E-3</v>
      </c>
      <c r="F357" s="5">
        <v>0</v>
      </c>
      <c r="G357" s="5">
        <v>7.0996017700668768E-2</v>
      </c>
      <c r="H357" s="39"/>
      <c r="I357" s="39"/>
      <c r="J357" s="39"/>
      <c r="K357" s="39"/>
      <c r="L357" s="39"/>
      <c r="M357" s="39"/>
    </row>
    <row r="358" spans="1:13" x14ac:dyDescent="0.15">
      <c r="A358" s="17">
        <v>43546</v>
      </c>
      <c r="B358" s="5">
        <v>1.9528920691711527E-2</v>
      </c>
      <c r="C358" s="5">
        <v>-0.1223021582733812</v>
      </c>
      <c r="D358" s="5">
        <v>1.7651542504111273E-3</v>
      </c>
      <c r="E358" s="5">
        <v>-1.4354066985645786E-2</v>
      </c>
      <c r="F358" s="5">
        <v>-0.69230769230769229</v>
      </c>
      <c r="G358" s="5">
        <v>-1.8296491552647454E-2</v>
      </c>
      <c r="H358" s="39"/>
      <c r="I358" s="39"/>
      <c r="J358" s="39"/>
      <c r="K358" s="39"/>
      <c r="L358" s="39"/>
      <c r="M358" s="39"/>
    </row>
    <row r="359" spans="1:13" x14ac:dyDescent="0.15">
      <c r="A359" s="17">
        <v>43553</v>
      </c>
      <c r="B359" s="5">
        <v>3.0560023395233227E-2</v>
      </c>
      <c r="C359" s="5">
        <v>0.10655737704918034</v>
      </c>
      <c r="D359" s="5">
        <v>1.7576388610788474E-2</v>
      </c>
      <c r="E359" s="5">
        <v>2.8640776699029091E-2</v>
      </c>
      <c r="F359" s="5">
        <v>-3.5</v>
      </c>
      <c r="G359" s="5">
        <v>-9.1051454596139392E-2</v>
      </c>
      <c r="H359" s="39" t="str">
        <f t="shared" ref="H359:M359" si="51">IF(COUNTIF(H118:H121,"Low")&gt;2,"Low","High")</f>
        <v>High</v>
      </c>
      <c r="I359" s="39" t="str">
        <f t="shared" si="51"/>
        <v>High</v>
      </c>
      <c r="J359" s="39" t="str">
        <f t="shared" si="51"/>
        <v>High</v>
      </c>
      <c r="K359" s="39" t="str">
        <f t="shared" si="51"/>
        <v>High</v>
      </c>
      <c r="L359" s="39" t="str">
        <f t="shared" si="51"/>
        <v>Low</v>
      </c>
      <c r="M359" s="39" t="str">
        <f t="shared" si="51"/>
        <v>High</v>
      </c>
    </row>
    <row r="360" spans="1:13" x14ac:dyDescent="0.15">
      <c r="A360" s="17">
        <v>43560</v>
      </c>
      <c r="B360" s="5">
        <v>1.5181611804767181E-2</v>
      </c>
      <c r="C360" s="5">
        <v>2.5925925925925908E-2</v>
      </c>
      <c r="D360" s="5">
        <v>7.3711427435763088E-3</v>
      </c>
      <c r="E360" s="5">
        <v>1.2269938650306678E-2</v>
      </c>
      <c r="F360" s="5">
        <v>-0.9</v>
      </c>
      <c r="G360" s="5">
        <v>0.22894042869599041</v>
      </c>
      <c r="H360" s="39"/>
      <c r="I360" s="39"/>
      <c r="J360" s="39"/>
      <c r="K360" s="39"/>
      <c r="L360" s="39"/>
      <c r="M360" s="39"/>
    </row>
    <row r="361" spans="1:13" x14ac:dyDescent="0.15">
      <c r="A361" s="17">
        <v>43567</v>
      </c>
      <c r="B361" s="5">
        <v>-6.110262463546845E-3</v>
      </c>
      <c r="C361" s="5">
        <v>0</v>
      </c>
      <c r="D361" s="5">
        <v>0</v>
      </c>
      <c r="E361" s="5">
        <v>-1.4265991716520876E-2</v>
      </c>
      <c r="F361" s="5">
        <v>-1.6666666666666667</v>
      </c>
      <c r="G361" s="5">
        <v>0.13512029983184148</v>
      </c>
      <c r="H361" s="39"/>
      <c r="I361" s="39"/>
      <c r="J361" s="39"/>
      <c r="K361" s="39"/>
      <c r="L361" s="39"/>
      <c r="M361" s="39"/>
    </row>
    <row r="362" spans="1:13" x14ac:dyDescent="0.15">
      <c r="A362" s="17">
        <v>43581</v>
      </c>
      <c r="B362" s="5">
        <v>-1.1038144473941469E-2</v>
      </c>
      <c r="C362" s="5">
        <v>-1.6226415094339623</v>
      </c>
      <c r="D362" s="5">
        <v>6.7207027288471721E-3</v>
      </c>
      <c r="E362" s="5">
        <v>6.5359477124180554E-3</v>
      </c>
      <c r="F362" s="5">
        <v>3.5</v>
      </c>
      <c r="G362" s="5">
        <v>1.7552677745436007E-4</v>
      </c>
      <c r="H362" s="39"/>
      <c r="I362" s="39"/>
      <c r="J362" s="39"/>
      <c r="K362" s="39"/>
      <c r="L362" s="39"/>
      <c r="M362" s="39"/>
    </row>
    <row r="363" spans="1:13" x14ac:dyDescent="0.15">
      <c r="A363" s="17">
        <v>43588</v>
      </c>
      <c r="B363" s="5">
        <v>1.9638315908448778E-2</v>
      </c>
      <c r="C363" s="5">
        <v>-4.1666666666666661</v>
      </c>
      <c r="D363" s="5">
        <v>-1.3444661849317807E-3</v>
      </c>
      <c r="E363" s="5">
        <v>-1.9480519480519431E-2</v>
      </c>
      <c r="F363" s="5">
        <v>-1.0555555555555556</v>
      </c>
      <c r="G363" s="5">
        <v>-8.2941997315965077E-3</v>
      </c>
      <c r="H363" s="39" t="str">
        <f t="shared" ref="H363:M363" si="52">IF(COUNTIF(H122:H125,"Low")&gt;2,"Low","High")</f>
        <v>Low</v>
      </c>
      <c r="I363" s="39" t="str">
        <f t="shared" si="52"/>
        <v>Low</v>
      </c>
      <c r="J363" s="39" t="str">
        <f t="shared" si="52"/>
        <v>High</v>
      </c>
      <c r="K363" s="39" t="str">
        <f t="shared" si="52"/>
        <v>High</v>
      </c>
      <c r="L363" s="39" t="str">
        <f t="shared" si="52"/>
        <v>High</v>
      </c>
      <c r="M363" s="39" t="str">
        <f t="shared" si="52"/>
        <v>Low</v>
      </c>
    </row>
    <row r="364" spans="1:13" x14ac:dyDescent="0.15">
      <c r="A364" s="17">
        <v>43602</v>
      </c>
      <c r="B364" s="5">
        <v>-0.10669253152279345</v>
      </c>
      <c r="C364" s="5">
        <v>-3.1483253588516749</v>
      </c>
      <c r="D364" s="5">
        <v>3.4083678631841918E-2</v>
      </c>
      <c r="E364" s="5">
        <v>2.3651844843897818E-2</v>
      </c>
      <c r="F364" s="5">
        <v>19</v>
      </c>
      <c r="G364" s="5">
        <v>-8.6993846905893069E-2</v>
      </c>
      <c r="H364" s="39"/>
      <c r="I364" s="39"/>
      <c r="J364" s="39"/>
      <c r="K364" s="39"/>
      <c r="L364" s="39"/>
      <c r="M364" s="39"/>
    </row>
    <row r="365" spans="1:13" x14ac:dyDescent="0.15">
      <c r="A365" s="17">
        <v>43616</v>
      </c>
      <c r="B365" s="5">
        <v>-1.9078641228478355E-2</v>
      </c>
      <c r="C365" s="5">
        <v>-0.31848552338530067</v>
      </c>
      <c r="D365" s="5">
        <v>2.4117088690706279E-2</v>
      </c>
      <c r="E365" s="5">
        <v>3.1423290203327126E-2</v>
      </c>
      <c r="F365" s="5">
        <v>1</v>
      </c>
      <c r="G365" s="5">
        <v>0.15200424063636064</v>
      </c>
      <c r="H365" s="39"/>
      <c r="I365" s="39"/>
      <c r="J365" s="39"/>
      <c r="K365" s="39"/>
      <c r="L365" s="39"/>
      <c r="M365" s="39"/>
    </row>
    <row r="366" spans="1:13" x14ac:dyDescent="0.15">
      <c r="A366" s="17">
        <v>43623</v>
      </c>
      <c r="B366" s="5">
        <v>-1.8975332068311257E-2</v>
      </c>
      <c r="C366" s="5">
        <v>-1.6666666666666665</v>
      </c>
      <c r="D366" s="5">
        <v>3.5426306322148271E-3</v>
      </c>
      <c r="E366" s="5">
        <v>2.1057347670250914E-2</v>
      </c>
      <c r="F366" s="5">
        <v>-2.5000000000000022E-2</v>
      </c>
      <c r="G366" s="5">
        <v>-9.0410564082143319E-2</v>
      </c>
      <c r="H366" s="39"/>
      <c r="I366" s="39"/>
      <c r="J366" s="39"/>
      <c r="K366" s="39"/>
      <c r="L366" s="39"/>
      <c r="M366" s="39"/>
    </row>
    <row r="367" spans="1:13" x14ac:dyDescent="0.15">
      <c r="A367" s="17">
        <v>43630</v>
      </c>
      <c r="B367" s="5">
        <v>5.3352675693101093E-2</v>
      </c>
      <c r="C367" s="5">
        <v>2.8186274509803919</v>
      </c>
      <c r="D367" s="5">
        <v>8.0130545252765639E-3</v>
      </c>
      <c r="E367" s="5">
        <v>3.8174637999122574E-2</v>
      </c>
      <c r="F367" s="5">
        <v>0.20512820512820529</v>
      </c>
      <c r="G367" s="5">
        <v>-9.1737892267886978E-2</v>
      </c>
      <c r="H367" s="39" t="str">
        <f t="shared" ref="H367:M367" si="53">IF(COUNTIF(H126:H129,"Low")&gt;2,"Low","High")</f>
        <v>High</v>
      </c>
      <c r="I367" s="39" t="str">
        <f t="shared" si="53"/>
        <v>High</v>
      </c>
      <c r="J367" s="39" t="str">
        <f t="shared" si="53"/>
        <v>High</v>
      </c>
      <c r="K367" s="39" t="str">
        <f t="shared" si="53"/>
        <v>High</v>
      </c>
      <c r="L367" s="39" t="str">
        <f t="shared" si="53"/>
        <v>Low</v>
      </c>
      <c r="M367" s="39" t="str">
        <f t="shared" si="53"/>
        <v>Low</v>
      </c>
    </row>
    <row r="368" spans="1:13" x14ac:dyDescent="0.15">
      <c r="A368" s="17">
        <v>43637</v>
      </c>
      <c r="B368" s="5">
        <v>1.7750573833205996E-2</v>
      </c>
      <c r="C368" s="5">
        <v>3.4659820282413323E-2</v>
      </c>
      <c r="D368" s="5">
        <v>1.6731673927923296E-3</v>
      </c>
      <c r="E368" s="5">
        <v>-1.2679628064243831E-3</v>
      </c>
      <c r="F368" s="5">
        <v>-0.23404255319148937</v>
      </c>
      <c r="G368" s="5">
        <v>1.0626430781072393E-2</v>
      </c>
      <c r="H368" s="39"/>
      <c r="I368" s="39"/>
      <c r="J368" s="39"/>
      <c r="K368" s="39"/>
      <c r="L368" s="39"/>
      <c r="M368" s="39"/>
    </row>
    <row r="369" spans="1:13" x14ac:dyDescent="0.15">
      <c r="A369" s="17">
        <v>43644</v>
      </c>
      <c r="B369" s="5">
        <v>-3.1123139377537301E-2</v>
      </c>
      <c r="C369" s="5">
        <v>-0.32630272952853601</v>
      </c>
      <c r="D369" s="5">
        <v>2.5127899199161252E-2</v>
      </c>
      <c r="E369" s="5">
        <v>9.3101988997039697E-3</v>
      </c>
      <c r="F369" s="5">
        <v>0.11111111111111116</v>
      </c>
      <c r="G369" s="5">
        <v>-0.12866217778739752</v>
      </c>
      <c r="H369" s="39"/>
      <c r="I369" s="39"/>
      <c r="J369" s="39"/>
      <c r="K369" s="39"/>
      <c r="L369" s="39"/>
      <c r="M369" s="39"/>
    </row>
    <row r="370" spans="1:13" x14ac:dyDescent="0.15">
      <c r="A370" s="17">
        <v>43651</v>
      </c>
      <c r="B370" s="5">
        <v>3.9726877715704489E-2</v>
      </c>
      <c r="C370" s="5">
        <v>0.68139963167587503</v>
      </c>
      <c r="D370" s="5">
        <v>-2.0374909623150583E-2</v>
      </c>
      <c r="E370" s="5">
        <v>2.9350104821803669E-3</v>
      </c>
      <c r="F370" s="5">
        <v>0</v>
      </c>
      <c r="G370" s="5">
        <v>0.17167152146226439</v>
      </c>
      <c r="H370" s="39"/>
      <c r="I370" s="39"/>
      <c r="J370" s="39"/>
      <c r="K370" s="39"/>
      <c r="L370" s="39"/>
      <c r="M370" s="39"/>
    </row>
    <row r="371" spans="1:13" x14ac:dyDescent="0.15">
      <c r="A371" s="17">
        <v>43658</v>
      </c>
      <c r="B371" s="5">
        <v>-6.4925373134328335E-2</v>
      </c>
      <c r="C371" s="5">
        <v>-0.69441401971522454</v>
      </c>
      <c r="D371" s="5">
        <v>-2.7725574060873059E-2</v>
      </c>
      <c r="E371" s="5">
        <v>-1.0869565217391353E-2</v>
      </c>
      <c r="F371" s="5">
        <v>0</v>
      </c>
      <c r="G371" s="5">
        <v>-0.20496662895837781</v>
      </c>
      <c r="H371" s="39" t="str">
        <f t="shared" ref="H371:M371" si="54">IF(COUNTIF(H130:H133,"Low")&gt;2,"Low","High")</f>
        <v>Low</v>
      </c>
      <c r="I371" s="39" t="str">
        <f t="shared" si="54"/>
        <v>High</v>
      </c>
      <c r="J371" s="39" t="str">
        <f t="shared" si="54"/>
        <v>Low</v>
      </c>
      <c r="K371" s="39" t="str">
        <f t="shared" si="54"/>
        <v>Low</v>
      </c>
      <c r="L371" s="39" t="str">
        <f t="shared" si="54"/>
        <v>Low</v>
      </c>
      <c r="M371" s="39" t="str">
        <f t="shared" si="54"/>
        <v>High</v>
      </c>
    </row>
    <row r="372" spans="1:13" x14ac:dyDescent="0.15">
      <c r="A372" s="17">
        <v>43665</v>
      </c>
      <c r="B372" s="5">
        <v>1.1811652035115694E-2</v>
      </c>
      <c r="C372" s="5">
        <v>1.1326164874551972</v>
      </c>
      <c r="D372" s="5">
        <v>5.5951151053295067E-3</v>
      </c>
      <c r="E372" s="5">
        <v>-8.4530853761621838E-4</v>
      </c>
      <c r="F372" s="5">
        <v>-1.1000000000000001</v>
      </c>
      <c r="G372" s="5">
        <v>9.7200944323923233E-2</v>
      </c>
      <c r="H372" s="39"/>
      <c r="I372" s="39"/>
      <c r="J372" s="39"/>
      <c r="K372" s="39"/>
      <c r="L372" s="39"/>
      <c r="M372" s="39"/>
    </row>
    <row r="373" spans="1:13" x14ac:dyDescent="0.15">
      <c r="A373" s="17">
        <v>43672</v>
      </c>
      <c r="B373" s="5">
        <v>-3.5021296734500718E-2</v>
      </c>
      <c r="C373" s="5">
        <v>-0.41344537815126048</v>
      </c>
      <c r="D373" s="5">
        <v>-1.501649678901773E-2</v>
      </c>
      <c r="E373" s="5">
        <v>-4.5262267343485596E-2</v>
      </c>
      <c r="F373" s="5">
        <v>3</v>
      </c>
      <c r="G373" s="5">
        <v>-9.9841543634592633E-2</v>
      </c>
      <c r="H373" s="39"/>
      <c r="I373" s="39"/>
      <c r="J373" s="39"/>
      <c r="K373" s="39"/>
      <c r="L373" s="39"/>
      <c r="M373" s="39"/>
    </row>
    <row r="374" spans="1:13" x14ac:dyDescent="0.15">
      <c r="A374" s="17">
        <v>43679</v>
      </c>
      <c r="B374" s="5">
        <v>-4.4956678110184778E-2</v>
      </c>
      <c r="C374" s="5">
        <v>-0.92550143266475648</v>
      </c>
      <c r="D374" s="5">
        <v>1.7981980634789174E-3</v>
      </c>
      <c r="E374" s="5">
        <v>-8.4182543198937365E-3</v>
      </c>
      <c r="F374" s="5">
        <v>-1.3125</v>
      </c>
      <c r="G374" s="5">
        <v>0.17810585780260713</v>
      </c>
      <c r="H374" s="39"/>
      <c r="I374" s="39"/>
      <c r="J374" s="39"/>
      <c r="K374" s="39"/>
      <c r="L374" s="39"/>
      <c r="M374" s="39"/>
    </row>
    <row r="375" spans="1:13" x14ac:dyDescent="0.15">
      <c r="A375" s="17">
        <v>43686</v>
      </c>
      <c r="B375" s="5">
        <v>3.765833618623704E-3</v>
      </c>
      <c r="C375" s="5">
        <v>15.461538461538463</v>
      </c>
      <c r="D375" s="5">
        <v>-2.4073500490724875E-2</v>
      </c>
      <c r="E375" s="5">
        <v>-4.0661304736371751E-2</v>
      </c>
      <c r="F375" s="5">
        <v>2</v>
      </c>
      <c r="G375" s="5">
        <v>-1.5384905906818735E-2</v>
      </c>
      <c r="H375" s="39" t="str">
        <f t="shared" ref="H375:M375" si="55">IF(COUNTIF(H134:H137,"Low")&gt;2,"Low","High")</f>
        <v>High</v>
      </c>
      <c r="I375" s="39" t="str">
        <f t="shared" si="55"/>
        <v>High</v>
      </c>
      <c r="J375" s="39" t="str">
        <f t="shared" si="55"/>
        <v>High</v>
      </c>
      <c r="K375" s="39" t="str">
        <f t="shared" si="55"/>
        <v>High</v>
      </c>
      <c r="L375" s="39" t="str">
        <f t="shared" si="55"/>
        <v>High</v>
      </c>
      <c r="M375" s="39" t="str">
        <f t="shared" si="55"/>
        <v>Low</v>
      </c>
    </row>
    <row r="376" spans="1:13" x14ac:dyDescent="0.15">
      <c r="A376" s="17">
        <v>43693</v>
      </c>
      <c r="B376" s="5">
        <v>5.1159618008185248E-3</v>
      </c>
      <c r="C376" s="5">
        <v>-0.63317757009345788</v>
      </c>
      <c r="D376" s="5">
        <v>1.7413582135209493E-2</v>
      </c>
      <c r="E376" s="5">
        <v>1.2575687005123459E-2</v>
      </c>
      <c r="F376" s="5">
        <v>0</v>
      </c>
      <c r="G376" s="5">
        <v>2.1315581318713805E-2</v>
      </c>
      <c r="H376" s="39"/>
      <c r="I376" s="39"/>
      <c r="J376" s="39"/>
      <c r="K376" s="39"/>
      <c r="L376" s="39"/>
      <c r="M376" s="39"/>
    </row>
    <row r="377" spans="1:13" x14ac:dyDescent="0.15">
      <c r="A377" s="17">
        <v>43700</v>
      </c>
      <c r="B377" s="5">
        <v>2.5279945707499252E-2</v>
      </c>
      <c r="C377" s="5">
        <v>0.42675159235668803</v>
      </c>
      <c r="D377" s="5">
        <v>2.9803738809504265E-2</v>
      </c>
      <c r="E377" s="5">
        <v>2.3919043238270543E-2</v>
      </c>
      <c r="F377" s="5">
        <v>0.33333333333333326</v>
      </c>
      <c r="G377" s="5">
        <v>-0.12470528417839277</v>
      </c>
      <c r="H377" s="39"/>
      <c r="I377" s="39"/>
      <c r="J377" s="39"/>
      <c r="K377" s="39"/>
      <c r="L377" s="39"/>
      <c r="M377" s="39"/>
    </row>
    <row r="378" spans="1:13" x14ac:dyDescent="0.15">
      <c r="A378" s="17">
        <v>43707</v>
      </c>
      <c r="B378" s="5">
        <v>2.2339897401952635E-2</v>
      </c>
      <c r="C378" s="5">
        <v>-0.65625</v>
      </c>
      <c r="D378" s="5">
        <v>2.0988744689858674E-2</v>
      </c>
      <c r="E378" s="5">
        <v>3.638814016172498E-2</v>
      </c>
      <c r="F378" s="5">
        <v>1.2000000000000002</v>
      </c>
      <c r="G378" s="5">
        <v>0.33388515544610309</v>
      </c>
      <c r="H378" s="39"/>
      <c r="I378" s="39"/>
      <c r="J378" s="39"/>
      <c r="K378" s="39"/>
      <c r="L378" s="39"/>
      <c r="M378" s="39"/>
    </row>
    <row r="379" spans="1:13" x14ac:dyDescent="0.15">
      <c r="A379" s="17">
        <v>43714</v>
      </c>
      <c r="B379" s="5">
        <v>-2.476529621236645E-2</v>
      </c>
      <c r="C379" s="5">
        <v>-0.32467532467532467</v>
      </c>
      <c r="D379" s="5">
        <v>-2.0768172150633646E-3</v>
      </c>
      <c r="E379" s="5">
        <v>2.3407022106632036E-2</v>
      </c>
      <c r="F379" s="5">
        <v>-0.25000000000000011</v>
      </c>
      <c r="G379" s="5">
        <v>-6.3704862887431268E-2</v>
      </c>
      <c r="H379" s="39" t="str">
        <f t="shared" ref="H379:M379" si="56">IF(COUNTIF(H138:H141,"Low")&gt;2,"Low","High")</f>
        <v>Low</v>
      </c>
      <c r="I379" s="39" t="str">
        <f t="shared" si="56"/>
        <v>High</v>
      </c>
      <c r="J379" s="39" t="str">
        <f t="shared" si="56"/>
        <v>Low</v>
      </c>
      <c r="K379" s="39" t="str">
        <f t="shared" si="56"/>
        <v>Low</v>
      </c>
      <c r="L379" s="39" t="str">
        <f t="shared" si="56"/>
        <v>Low</v>
      </c>
      <c r="M379" s="39" t="str">
        <f t="shared" si="56"/>
        <v>Low</v>
      </c>
    </row>
    <row r="380" spans="1:13" x14ac:dyDescent="0.15">
      <c r="A380" s="17">
        <v>43721</v>
      </c>
      <c r="B380" s="5">
        <v>7.5020746887966672E-2</v>
      </c>
      <c r="C380" s="5">
        <v>4.2692307692307692</v>
      </c>
      <c r="D380" s="5">
        <v>1.6727918788999041E-3</v>
      </c>
      <c r="E380" s="5">
        <v>-7.6238881829733263E-3</v>
      </c>
      <c r="F380" s="5">
        <v>-0.45454545454545447</v>
      </c>
      <c r="G380" s="5">
        <v>-2.7267071558835676E-2</v>
      </c>
      <c r="H380" s="39"/>
      <c r="I380" s="39"/>
      <c r="J380" s="39"/>
      <c r="K380" s="39"/>
      <c r="L380" s="39"/>
      <c r="M380" s="39"/>
    </row>
    <row r="381" spans="1:13" x14ac:dyDescent="0.15">
      <c r="A381" s="17">
        <v>43728</v>
      </c>
      <c r="B381" s="5">
        <v>-4.415624517523542E-2</v>
      </c>
      <c r="C381" s="5">
        <v>-1.6277372262773722</v>
      </c>
      <c r="D381" s="5">
        <v>-1.3742620002074046E-2</v>
      </c>
      <c r="E381" s="5">
        <v>-1.9206145966709331E-2</v>
      </c>
      <c r="F381" s="5">
        <v>2.1666666666666665</v>
      </c>
      <c r="G381" s="5">
        <v>-0.11947212288368558</v>
      </c>
      <c r="H381" s="39"/>
      <c r="I381" s="39"/>
      <c r="J381" s="39"/>
      <c r="K381" s="39"/>
      <c r="L381" s="39"/>
      <c r="M381" s="39"/>
    </row>
    <row r="382" spans="1:13" x14ac:dyDescent="0.15">
      <c r="A382" s="17">
        <v>43735</v>
      </c>
      <c r="B382" s="5">
        <v>-5.6210628331448853E-2</v>
      </c>
      <c r="C382" s="5">
        <v>-7.5581395348837122E-2</v>
      </c>
      <c r="D382" s="5">
        <v>-2.3723884872261514E-2</v>
      </c>
      <c r="E382" s="5">
        <v>-2.0452567449956383E-2</v>
      </c>
      <c r="F382" s="5">
        <v>-0.26315789473684215</v>
      </c>
      <c r="G382" s="5">
        <v>0.36921913769444137</v>
      </c>
      <c r="H382" s="39"/>
      <c r="I382" s="39"/>
      <c r="J382" s="39"/>
      <c r="K382" s="39"/>
      <c r="L382" s="39"/>
      <c r="M382" s="39"/>
    </row>
    <row r="383" spans="1:13" x14ac:dyDescent="0.15">
      <c r="A383" s="17">
        <v>43742</v>
      </c>
      <c r="B383" s="5">
        <v>3.8507615950710283E-2</v>
      </c>
      <c r="C383" s="5">
        <v>-3.0503144654088046</v>
      </c>
      <c r="D383" s="5">
        <v>5.7640526638316203E-3</v>
      </c>
      <c r="E383" s="5">
        <v>1.8214127054642315E-2</v>
      </c>
      <c r="F383" s="5">
        <v>-0.23809523809523814</v>
      </c>
      <c r="G383" s="5">
        <v>-0.16090851806287232</v>
      </c>
      <c r="H383" s="39" t="str">
        <f t="shared" ref="H383:M383" si="57">IF(COUNTIF(H142:H145,"Low")&gt;2,"Low","High")</f>
        <v>High</v>
      </c>
      <c r="I383" s="39" t="str">
        <f t="shared" si="57"/>
        <v>High</v>
      </c>
      <c r="J383" s="39" t="str">
        <f t="shared" si="57"/>
        <v>High</v>
      </c>
      <c r="K383" s="39" t="str">
        <f t="shared" si="57"/>
        <v>High</v>
      </c>
      <c r="L383" s="39" t="str">
        <f t="shared" si="57"/>
        <v>Low</v>
      </c>
      <c r="M383" s="39" t="str">
        <f t="shared" si="57"/>
        <v>Low</v>
      </c>
    </row>
    <row r="384" spans="1:13" x14ac:dyDescent="0.15">
      <c r="A384" s="17">
        <v>43749</v>
      </c>
      <c r="B384" s="5">
        <v>-2.2742254449571564E-2</v>
      </c>
      <c r="C384" s="5">
        <v>-0.44785276073619629</v>
      </c>
      <c r="D384" s="5">
        <v>1.6557917631375707E-2</v>
      </c>
      <c r="E384" s="5">
        <v>4.3630017452005454E-3</v>
      </c>
      <c r="F384" s="5">
        <v>0.3125</v>
      </c>
      <c r="G384" s="5">
        <v>-6.1262112888136766E-2</v>
      </c>
      <c r="H384" s="39"/>
      <c r="I384" s="39"/>
      <c r="J384" s="39"/>
      <c r="K384" s="39"/>
      <c r="L384" s="39"/>
      <c r="M384" s="39"/>
    </row>
    <row r="385" spans="1:13" x14ac:dyDescent="0.15">
      <c r="A385" s="17">
        <v>43756</v>
      </c>
      <c r="B385" s="5">
        <v>4.6037099494097955E-2</v>
      </c>
      <c r="C385" s="5">
        <v>1.5444444444444443</v>
      </c>
      <c r="D385" s="5">
        <v>4.3771863228365682E-2</v>
      </c>
      <c r="E385" s="5">
        <v>4.7350130321459627E-2</v>
      </c>
      <c r="F385" s="5">
        <v>-0.69047619047619047</v>
      </c>
      <c r="G385" s="5">
        <v>-8.2613868940551671E-2</v>
      </c>
      <c r="H385" s="39"/>
      <c r="I385" s="39"/>
      <c r="J385" s="39"/>
      <c r="K385" s="39"/>
      <c r="L385" s="39"/>
      <c r="M385" s="39"/>
    </row>
    <row r="386" spans="1:13" x14ac:dyDescent="0.15">
      <c r="A386" s="17">
        <v>43763</v>
      </c>
      <c r="B386" s="5">
        <v>-7.738191197807609E-3</v>
      </c>
      <c r="C386" s="5">
        <v>-0.6506550218340611</v>
      </c>
      <c r="D386" s="5">
        <v>1.9833577526353841E-2</v>
      </c>
      <c r="E386" s="5">
        <v>2.6545002073828261E-2</v>
      </c>
      <c r="F386" s="5">
        <v>-1.6153846153846154</v>
      </c>
      <c r="G386" s="5">
        <v>-0.21344681249678477</v>
      </c>
      <c r="H386" s="39"/>
      <c r="I386" s="39"/>
      <c r="J386" s="39"/>
      <c r="K386" s="39"/>
      <c r="L386" s="39"/>
      <c r="M386" s="39"/>
    </row>
    <row r="387" spans="1:13" x14ac:dyDescent="0.15">
      <c r="A387" s="17">
        <v>43770</v>
      </c>
      <c r="B387" s="5">
        <v>1.7221770917952961E-2</v>
      </c>
      <c r="C387" s="5">
        <v>-1.2250000000000001</v>
      </c>
      <c r="D387" s="5">
        <v>1.460210210210211E-2</v>
      </c>
      <c r="E387" s="5">
        <v>8.8888888888889461E-3</v>
      </c>
      <c r="F387" s="5">
        <v>0</v>
      </c>
      <c r="G387" s="5">
        <v>-0.19595751046838938</v>
      </c>
      <c r="H387" s="39" t="str">
        <f t="shared" ref="H387:M387" si="58">IF(COUNTIF(H146:H149,"Low")&gt;2,"Low","High")</f>
        <v>High</v>
      </c>
      <c r="I387" s="39" t="str">
        <f t="shared" si="58"/>
        <v>High</v>
      </c>
      <c r="J387" s="39" t="str">
        <f t="shared" si="58"/>
        <v>High</v>
      </c>
      <c r="K387" s="39" t="str">
        <f t="shared" si="58"/>
        <v>Low</v>
      </c>
      <c r="L387" s="39" t="str">
        <f t="shared" si="58"/>
        <v>Low</v>
      </c>
      <c r="M387" s="39" t="str">
        <f t="shared" si="58"/>
        <v>Low</v>
      </c>
    </row>
    <row r="388" spans="1:13" x14ac:dyDescent="0.15">
      <c r="A388" s="17">
        <v>43777</v>
      </c>
      <c r="B388" s="5">
        <v>1.3416387158600829E-2</v>
      </c>
      <c r="C388" s="5">
        <v>1.3611111111111112</v>
      </c>
      <c r="D388" s="5">
        <v>-1.2905330638136148E-2</v>
      </c>
      <c r="E388" s="5">
        <v>-9.6115338406086437E-3</v>
      </c>
      <c r="F388" s="5">
        <v>0</v>
      </c>
      <c r="G388" s="5">
        <v>0.42397523043300001</v>
      </c>
      <c r="H388" s="39"/>
      <c r="I388" s="39"/>
      <c r="J388" s="39"/>
      <c r="K388" s="39"/>
      <c r="L388" s="39"/>
      <c r="M388" s="39"/>
    </row>
    <row r="389" spans="1:13" x14ac:dyDescent="0.15">
      <c r="A389" s="17">
        <v>43784</v>
      </c>
      <c r="B389" s="5">
        <v>7.8802206461769941E-4</v>
      </c>
      <c r="C389" s="5">
        <v>-0.74117647058823533</v>
      </c>
      <c r="D389" s="5">
        <v>4.3818700976550051E-3</v>
      </c>
      <c r="E389" s="5">
        <v>-4.043671653861769E-3</v>
      </c>
      <c r="F389" s="5">
        <v>-3.3749999999999996</v>
      </c>
      <c r="G389" s="5">
        <v>1.1213134735983399E-2</v>
      </c>
      <c r="H389" s="39"/>
      <c r="I389" s="39"/>
      <c r="J389" s="39"/>
      <c r="K389" s="39"/>
      <c r="L389" s="39"/>
      <c r="M389" s="39"/>
    </row>
    <row r="390" spans="1:13" x14ac:dyDescent="0.15">
      <c r="A390" s="17">
        <v>43791</v>
      </c>
      <c r="B390" s="5">
        <v>5.4755944931164091E-3</v>
      </c>
      <c r="C390" s="5">
        <v>0</v>
      </c>
      <c r="D390" s="5">
        <v>0</v>
      </c>
      <c r="E390" s="5">
        <v>0</v>
      </c>
      <c r="F390" s="5">
        <v>0</v>
      </c>
      <c r="G390" s="5">
        <v>-0.30785508973904385</v>
      </c>
      <c r="H390" s="39"/>
      <c r="I390" s="39"/>
      <c r="J390" s="39"/>
      <c r="K390" s="39"/>
      <c r="L390" s="39"/>
      <c r="M390" s="39"/>
    </row>
    <row r="391" spans="1:13" x14ac:dyDescent="0.15">
      <c r="A391" s="17">
        <v>43805</v>
      </c>
      <c r="B391" s="5">
        <v>1.1202738447176008E-2</v>
      </c>
      <c r="C391" s="5">
        <v>4.1666666666666741E-2</v>
      </c>
      <c r="D391" s="5">
        <v>2.3173629795544937E-2</v>
      </c>
      <c r="E391" s="5">
        <v>4.5361667347772805E-2</v>
      </c>
      <c r="F391" s="5">
        <v>0.25</v>
      </c>
      <c r="G391" s="5">
        <v>0.79934665392376747</v>
      </c>
      <c r="H391" s="39" t="str">
        <f t="shared" ref="H391:M391" si="59">IF(COUNTIF(H150:H153,"Low")&gt;2,"Low","High")</f>
        <v>High</v>
      </c>
      <c r="I391" s="39" t="str">
        <f t="shared" si="59"/>
        <v>High</v>
      </c>
      <c r="J391" s="39" t="str">
        <f t="shared" si="59"/>
        <v>High</v>
      </c>
      <c r="K391" s="39" t="str">
        <f t="shared" si="59"/>
        <v>High</v>
      </c>
      <c r="L391" s="39" t="str">
        <f t="shared" si="59"/>
        <v>High</v>
      </c>
      <c r="M391" s="39" t="str">
        <f t="shared" si="59"/>
        <v>High</v>
      </c>
    </row>
    <row r="392" spans="1:13" x14ac:dyDescent="0.15">
      <c r="A392" s="17">
        <v>43812</v>
      </c>
      <c r="B392" s="5">
        <v>1.7079550700107804E-2</v>
      </c>
      <c r="C392" s="5">
        <v>-0.60499999999999998</v>
      </c>
      <c r="D392" s="5">
        <v>6.440568238321065E-3</v>
      </c>
      <c r="E392" s="5">
        <v>1.6419077404222104E-2</v>
      </c>
      <c r="F392" s="5">
        <v>0.24</v>
      </c>
      <c r="G392" s="5">
        <v>-4.0300951325289103E-2</v>
      </c>
      <c r="H392" s="39"/>
      <c r="I392" s="39"/>
      <c r="J392" s="39"/>
      <c r="K392" s="39"/>
      <c r="L392" s="39"/>
      <c r="M392" s="39"/>
    </row>
    <row r="393" spans="1:13" x14ac:dyDescent="0.15">
      <c r="A393" s="17">
        <v>43819</v>
      </c>
      <c r="B393" s="5">
        <v>3.1770045385779211E-2</v>
      </c>
      <c r="C393" s="5">
        <v>0.12658227848101267</v>
      </c>
      <c r="D393" s="5">
        <v>1.1452520449745096E-2</v>
      </c>
      <c r="E393" s="5">
        <v>-3.6153846153846203E-2</v>
      </c>
      <c r="F393" s="5">
        <v>0.46774193548387077</v>
      </c>
      <c r="G393" s="5">
        <v>-8.6339509966433581E-2</v>
      </c>
      <c r="H393" s="39"/>
      <c r="I393" s="39"/>
      <c r="J393" s="39"/>
      <c r="K393" s="39"/>
      <c r="L393" s="39"/>
      <c r="M393" s="39"/>
    </row>
    <row r="394" spans="1:13" x14ac:dyDescent="0.15">
      <c r="A394" s="17">
        <v>43826</v>
      </c>
      <c r="B394" s="5">
        <v>7.3313782991202281E-3</v>
      </c>
      <c r="C394" s="5">
        <v>-1</v>
      </c>
      <c r="D394" s="5">
        <v>8.4904949073421054E-3</v>
      </c>
      <c r="E394" s="5">
        <v>1.5961691939345712E-3</v>
      </c>
      <c r="F394" s="5">
        <v>-0.23076923076923073</v>
      </c>
      <c r="G394" s="5">
        <v>5.8919888530980291E-2</v>
      </c>
      <c r="H394" s="39"/>
      <c r="I394" s="39"/>
      <c r="J394" s="39"/>
      <c r="K394" s="39"/>
      <c r="L394" s="39"/>
      <c r="M394" s="39"/>
    </row>
    <row r="395" spans="1:13" x14ac:dyDescent="0.15">
      <c r="A395" s="17">
        <v>43833</v>
      </c>
      <c r="B395" s="5">
        <v>-5.2401746724890952E-2</v>
      </c>
      <c r="C395" s="5">
        <v>0</v>
      </c>
      <c r="D395" s="5">
        <v>1.5372013119358208E-2</v>
      </c>
      <c r="E395" s="5">
        <v>3.6254980079681198E-2</v>
      </c>
      <c r="F395" s="5">
        <v>-0.29999999999999993</v>
      </c>
      <c r="G395" s="5">
        <v>-1.1179306313778836E-2</v>
      </c>
      <c r="H395" s="39" t="str">
        <f t="shared" ref="H395:M395" si="60">IF(COUNTIF(H154:H157,"Low")&gt;2,"Low","High")</f>
        <v>Low</v>
      </c>
      <c r="I395" s="39" t="str">
        <f t="shared" si="60"/>
        <v>High</v>
      </c>
      <c r="J395" s="39" t="str">
        <f t="shared" si="60"/>
        <v>High</v>
      </c>
      <c r="K395" s="39" t="str">
        <f t="shared" si="60"/>
        <v>High</v>
      </c>
      <c r="L395" s="39" t="str">
        <f t="shared" si="60"/>
        <v>Low</v>
      </c>
      <c r="M395" s="39" t="str">
        <f t="shared" si="60"/>
        <v>High</v>
      </c>
    </row>
    <row r="396" spans="1:13" x14ac:dyDescent="0.15">
      <c r="A396" s="17">
        <v>43840</v>
      </c>
      <c r="B396" s="5">
        <v>3.8402457757296116E-3</v>
      </c>
      <c r="C396" s="5">
        <v>-2.5348837209302326</v>
      </c>
      <c r="D396" s="5">
        <v>2.3440451265502649E-2</v>
      </c>
      <c r="E396" s="5">
        <v>2.1530180699730783E-2</v>
      </c>
      <c r="F396" s="5">
        <v>-0.28571428571428581</v>
      </c>
      <c r="G396" s="5">
        <v>7.7052693011860462E-2</v>
      </c>
      <c r="H396" s="39"/>
      <c r="I396" s="39"/>
      <c r="J396" s="39"/>
      <c r="K396" s="39"/>
      <c r="L396" s="39"/>
      <c r="M396" s="39"/>
    </row>
    <row r="397" spans="1:13" x14ac:dyDescent="0.15">
      <c r="A397" s="17">
        <v>43847</v>
      </c>
      <c r="B397" s="5">
        <v>-7.3297628156082539E-2</v>
      </c>
      <c r="C397" s="5">
        <v>-2.9696969696969697</v>
      </c>
      <c r="D397" s="5">
        <v>-1.5852956632717019E-2</v>
      </c>
      <c r="E397" s="5">
        <v>-2.6721866767030478E-2</v>
      </c>
      <c r="F397" s="5">
        <v>-2.8571428571428581E-2</v>
      </c>
      <c r="G397" s="5">
        <v>-0.12246354273405269</v>
      </c>
      <c r="H397" s="39"/>
      <c r="I397" s="39"/>
      <c r="J397" s="39"/>
      <c r="K397" s="39"/>
      <c r="L397" s="39"/>
      <c r="M397" s="39"/>
    </row>
    <row r="398" spans="1:13" x14ac:dyDescent="0.15">
      <c r="A398" s="17">
        <v>43854</v>
      </c>
      <c r="B398" s="5">
        <v>-3.9134742404227318E-2</v>
      </c>
      <c r="C398" s="5">
        <v>-0.93846153846153846</v>
      </c>
      <c r="D398" s="5">
        <v>-2.2106032674337195E-2</v>
      </c>
      <c r="E398" s="5">
        <v>-4.8723897911832847E-2</v>
      </c>
      <c r="F398" s="5">
        <v>-0.41176470588235292</v>
      </c>
      <c r="G398" s="5">
        <v>0.23245678575069095</v>
      </c>
      <c r="H398" s="39"/>
      <c r="I398" s="39"/>
      <c r="J398" s="39"/>
      <c r="K398" s="39"/>
      <c r="L398" s="39"/>
      <c r="M398" s="39"/>
    </row>
    <row r="399" spans="1:13" x14ac:dyDescent="0.15">
      <c r="A399" s="17">
        <v>43861</v>
      </c>
      <c r="B399" s="5">
        <v>-6.341295755284404E-2</v>
      </c>
      <c r="C399" s="5">
        <v>42.75</v>
      </c>
      <c r="D399" s="5">
        <v>3.5688167324849918E-3</v>
      </c>
      <c r="E399" s="5">
        <v>0</v>
      </c>
      <c r="F399" s="5">
        <v>0.5</v>
      </c>
      <c r="G399" s="5">
        <v>-0.16048107499426345</v>
      </c>
      <c r="H399" s="39" t="str">
        <f t="shared" ref="H399:M399" si="61">IF(COUNTIF(H158:H161,"Low")&gt;2,"Low","High")</f>
        <v>High</v>
      </c>
      <c r="I399" s="39" t="str">
        <f t="shared" si="61"/>
        <v>High</v>
      </c>
      <c r="J399" s="39" t="str">
        <f t="shared" si="61"/>
        <v>High</v>
      </c>
      <c r="K399" s="39" t="str">
        <f t="shared" si="61"/>
        <v>Low</v>
      </c>
      <c r="L399" s="39" t="str">
        <f t="shared" si="61"/>
        <v>High</v>
      </c>
      <c r="M399" s="39" t="str">
        <f t="shared" si="61"/>
        <v>High</v>
      </c>
    </row>
    <row r="400" spans="1:13" x14ac:dyDescent="0.15">
      <c r="A400" s="17">
        <v>43868</v>
      </c>
      <c r="B400" s="5">
        <v>5.0275229357798157E-2</v>
      </c>
      <c r="C400" s="5">
        <v>0.8342857142857143</v>
      </c>
      <c r="D400" s="5">
        <v>2.995825276992381E-3</v>
      </c>
      <c r="E400" s="5">
        <v>7.7235772357722166E-3</v>
      </c>
      <c r="F400" s="5">
        <v>-0.4</v>
      </c>
      <c r="G400" s="5">
        <v>4.0961890488400599E-2</v>
      </c>
      <c r="H400" s="39"/>
      <c r="I400" s="39"/>
      <c r="J400" s="39"/>
      <c r="K400" s="39"/>
      <c r="L400" s="39"/>
      <c r="M400" s="39"/>
    </row>
    <row r="401" spans="1:13" x14ac:dyDescent="0.15">
      <c r="A401" s="17">
        <v>43875</v>
      </c>
      <c r="B401" s="5">
        <v>1.9566736547868668E-2</v>
      </c>
      <c r="C401" s="5">
        <v>-0.41588785046728971</v>
      </c>
      <c r="D401" s="5">
        <v>2.9545865516262815E-3</v>
      </c>
      <c r="E401" s="5">
        <v>0</v>
      </c>
      <c r="F401" s="5">
        <v>1.1666666666666665</v>
      </c>
      <c r="G401" s="5">
        <v>0.13713002912188021</v>
      </c>
      <c r="H401" s="39"/>
      <c r="I401" s="39"/>
      <c r="J401" s="39"/>
      <c r="K401" s="39"/>
      <c r="L401" s="39"/>
      <c r="M401" s="39"/>
    </row>
    <row r="402" spans="1:13" x14ac:dyDescent="0.15">
      <c r="A402" s="17">
        <v>43882</v>
      </c>
      <c r="B402" s="5">
        <v>-0.13468128855380401</v>
      </c>
      <c r="C402" s="5">
        <v>-3.1760000000000002</v>
      </c>
      <c r="D402" s="5">
        <v>-0.10333126209341192</v>
      </c>
      <c r="E402" s="5">
        <v>-0.13795885437676481</v>
      </c>
      <c r="F402" s="5">
        <v>0.12820512820512842</v>
      </c>
      <c r="G402" s="5">
        <v>-8.9098709966752399E-2</v>
      </c>
      <c r="H402" s="39"/>
      <c r="I402" s="39"/>
      <c r="J402" s="39"/>
      <c r="K402" s="39"/>
      <c r="L402" s="39"/>
      <c r="M402" s="39"/>
    </row>
    <row r="403" spans="1:13" x14ac:dyDescent="0.15">
      <c r="A403" s="17">
        <v>43889</v>
      </c>
      <c r="B403" s="5">
        <v>-9.9009900990098987E-2</v>
      </c>
      <c r="C403" s="5">
        <v>-0.64950980392156865</v>
      </c>
      <c r="D403" s="5">
        <v>-2.3543309348384889E-2</v>
      </c>
      <c r="E403" s="5">
        <v>-3.509592887225077E-2</v>
      </c>
      <c r="F403" s="5">
        <v>-0.25000000000000011</v>
      </c>
      <c r="G403" s="5">
        <v>-0.33320311602852482</v>
      </c>
      <c r="H403" s="39" t="str">
        <f t="shared" ref="H403:M403" si="62">IF(COUNTIF(H162:H165,"Low")&gt;2,"Low","High")</f>
        <v>Low</v>
      </c>
      <c r="I403" s="39" t="str">
        <f t="shared" si="62"/>
        <v>High</v>
      </c>
      <c r="J403" s="39" t="str">
        <f t="shared" si="62"/>
        <v>High</v>
      </c>
      <c r="K403" s="39" t="str">
        <f t="shared" si="62"/>
        <v>Low</v>
      </c>
      <c r="L403" s="39" t="str">
        <f t="shared" si="62"/>
        <v>High</v>
      </c>
      <c r="M403" s="39" t="str">
        <f t="shared" si="62"/>
        <v>High</v>
      </c>
    </row>
    <row r="404" spans="1:13" x14ac:dyDescent="0.15">
      <c r="A404" s="17">
        <v>43896</v>
      </c>
      <c r="B404" s="5">
        <v>-0.23142857142857143</v>
      </c>
      <c r="C404" s="5">
        <v>2.9055944055944058</v>
      </c>
      <c r="D404" s="5">
        <v>-0.14823626315034699</v>
      </c>
      <c r="E404" s="5">
        <v>-0.15906886517943752</v>
      </c>
      <c r="F404" s="5">
        <v>0.90909090909090917</v>
      </c>
      <c r="G404" s="5">
        <v>0.25052017507228919</v>
      </c>
      <c r="H404" s="39"/>
      <c r="I404" s="39"/>
      <c r="J404" s="39"/>
      <c r="K404" s="39"/>
      <c r="L404" s="39"/>
      <c r="M404" s="39"/>
    </row>
    <row r="405" spans="1:13" x14ac:dyDescent="0.15">
      <c r="A405" s="17">
        <v>43903</v>
      </c>
      <c r="B405" s="5">
        <v>-0.2219044895624821</v>
      </c>
      <c r="C405" s="5">
        <v>-0.95434198746642795</v>
      </c>
      <c r="D405" s="5">
        <v>6.5749143059428139E-3</v>
      </c>
      <c r="E405" s="5">
        <v>-0.14648212226066892</v>
      </c>
      <c r="F405" s="5">
        <v>0.33333333333333348</v>
      </c>
      <c r="G405" s="5">
        <v>0.39878840883088129</v>
      </c>
      <c r="H405" s="39"/>
      <c r="I405" s="39"/>
      <c r="J405" s="39"/>
      <c r="K405" s="39"/>
      <c r="L405" s="39"/>
      <c r="M405" s="39"/>
    </row>
    <row r="406" spans="1:13" x14ac:dyDescent="0.15">
      <c r="A406" s="17">
        <v>43910</v>
      </c>
      <c r="B406" s="5">
        <v>-7.7545020213156901E-2</v>
      </c>
      <c r="C406" s="5">
        <v>-16.117647058823529</v>
      </c>
      <c r="D406" s="5">
        <v>2.9807729423016793E-2</v>
      </c>
      <c r="E406" s="5">
        <v>9.6621621621621578E-2</v>
      </c>
      <c r="F406" s="5">
        <v>3.5714285714285587E-2</v>
      </c>
      <c r="G406" s="5">
        <v>-8.917158971879191E-2</v>
      </c>
      <c r="H406" s="39"/>
      <c r="I406" s="39"/>
      <c r="J406" s="39"/>
      <c r="K406" s="39"/>
      <c r="L406" s="39"/>
      <c r="M406" s="39"/>
    </row>
    <row r="407" spans="1:13" x14ac:dyDescent="0.15">
      <c r="A407" s="17">
        <v>43917</v>
      </c>
      <c r="B407" s="5">
        <v>0.38047808764940227</v>
      </c>
      <c r="C407" s="5">
        <v>0.96368352788586265</v>
      </c>
      <c r="D407" s="5">
        <v>7.126703899446496E-2</v>
      </c>
      <c r="E407" s="5">
        <v>9.488601355514481E-2</v>
      </c>
      <c r="F407" s="5">
        <v>0</v>
      </c>
      <c r="G407" s="5">
        <v>-2.9455673524724779E-2</v>
      </c>
      <c r="H407" s="39" t="str">
        <f t="shared" ref="H407:M407" si="63">IF(COUNTIF(H166:H169,"Low")&gt;2,"Low","High")</f>
        <v>High</v>
      </c>
      <c r="I407" s="39" t="str">
        <f t="shared" si="63"/>
        <v>High</v>
      </c>
      <c r="J407" s="39" t="str">
        <f t="shared" si="63"/>
        <v>High</v>
      </c>
      <c r="K407" s="39" t="str">
        <f t="shared" si="63"/>
        <v>High</v>
      </c>
      <c r="L407" s="39" t="str">
        <f t="shared" si="63"/>
        <v>Low</v>
      </c>
      <c r="M407" s="39" t="str">
        <f t="shared" si="63"/>
        <v>High</v>
      </c>
    </row>
    <row r="408" spans="1:13" x14ac:dyDescent="0.15">
      <c r="A408" s="17">
        <v>43924</v>
      </c>
      <c r="B408" s="5">
        <v>-0.11801436153605993</v>
      </c>
      <c r="C408" s="5">
        <v>0</v>
      </c>
      <c r="D408" s="5">
        <v>0</v>
      </c>
      <c r="E408" s="5">
        <v>-2.1299254526091715E-2</v>
      </c>
      <c r="F408" s="5">
        <v>0.16216216216216206</v>
      </c>
      <c r="G408" s="5">
        <v>8.9038971766921549E-2</v>
      </c>
      <c r="H408" s="39"/>
      <c r="I408" s="39"/>
      <c r="J408" s="39"/>
      <c r="K408" s="39"/>
      <c r="L408" s="39"/>
      <c r="M408" s="39"/>
    </row>
    <row r="409" spans="1:13" x14ac:dyDescent="0.15">
      <c r="A409" s="17">
        <v>43938</v>
      </c>
      <c r="B409" s="5">
        <v>-0.22831858407079642</v>
      </c>
      <c r="C409" s="5">
        <v>-0.19576059850374061</v>
      </c>
      <c r="D409" s="5">
        <v>1.0674682540621871E-2</v>
      </c>
      <c r="E409" s="5">
        <v>1.6322089227420733E-3</v>
      </c>
      <c r="F409" s="5">
        <v>-1.0813953488372092</v>
      </c>
      <c r="G409" s="5">
        <v>-0.48792706919901851</v>
      </c>
      <c r="H409" s="39"/>
      <c r="I409" s="39"/>
      <c r="J409" s="39"/>
      <c r="K409" s="39"/>
      <c r="L409" s="39"/>
      <c r="M409" s="39"/>
    </row>
    <row r="410" spans="1:13" x14ac:dyDescent="0.15">
      <c r="A410" s="17">
        <v>43945</v>
      </c>
      <c r="B410" s="5">
        <v>6.0920285158781784E-2</v>
      </c>
      <c r="C410" s="5">
        <v>-0.74143302180685355</v>
      </c>
      <c r="D410" s="5">
        <v>-1.803486589313108E-2</v>
      </c>
      <c r="E410" s="5">
        <v>-2.4276859504132164E-2</v>
      </c>
      <c r="F410" s="5">
        <v>0</v>
      </c>
      <c r="G410" s="5">
        <v>7.0192180053583852E-2</v>
      </c>
      <c r="H410" s="39"/>
      <c r="I410" s="39"/>
      <c r="J410" s="39"/>
      <c r="K410" s="39"/>
      <c r="L410" s="39"/>
      <c r="M410" s="39"/>
    </row>
    <row r="411" spans="1:13" x14ac:dyDescent="0.15">
      <c r="A411" s="17">
        <v>43966</v>
      </c>
      <c r="B411" s="5">
        <v>7.2693952351863045E-2</v>
      </c>
      <c r="C411" s="5">
        <v>0.94377510040160617</v>
      </c>
      <c r="D411" s="5">
        <v>4.4515808181471384E-2</v>
      </c>
      <c r="E411" s="5">
        <v>6.6172578083642186E-2</v>
      </c>
      <c r="F411" s="5">
        <v>0.875</v>
      </c>
      <c r="G411" s="5">
        <v>-0.21882214064068484</v>
      </c>
      <c r="H411" s="39" t="str">
        <f t="shared" ref="H411:M411" si="64">IF(COUNTIF(H170:H173,"Low")&gt;2,"Low","High")</f>
        <v>High</v>
      </c>
      <c r="I411" s="39" t="str">
        <f t="shared" si="64"/>
        <v>High</v>
      </c>
      <c r="J411" s="39" t="str">
        <f t="shared" si="64"/>
        <v>High</v>
      </c>
      <c r="K411" s="39" t="str">
        <f t="shared" si="64"/>
        <v>High</v>
      </c>
      <c r="L411" s="39" t="str">
        <f t="shared" si="64"/>
        <v>High</v>
      </c>
      <c r="M411" s="39" t="str">
        <f t="shared" si="64"/>
        <v>Low</v>
      </c>
    </row>
    <row r="412" spans="1:13" x14ac:dyDescent="0.15">
      <c r="A412" s="17">
        <v>43973</v>
      </c>
      <c r="B412" s="5">
        <v>5.4100227790434552E-3</v>
      </c>
      <c r="C412" s="5">
        <v>-1.0991735537190084</v>
      </c>
      <c r="D412" s="5">
        <v>9.3932929304858526E-3</v>
      </c>
      <c r="E412" s="5">
        <v>2.3833167825223489E-2</v>
      </c>
      <c r="F412" s="5">
        <v>1.2666666666666666</v>
      </c>
      <c r="G412" s="5">
        <v>-0.21339142555966262</v>
      </c>
      <c r="H412" s="39"/>
      <c r="I412" s="39"/>
      <c r="J412" s="39"/>
      <c r="K412" s="39"/>
      <c r="L412" s="39"/>
      <c r="M412" s="39"/>
    </row>
    <row r="413" spans="1:13" x14ac:dyDescent="0.15">
      <c r="A413" s="17">
        <v>43980</v>
      </c>
      <c r="B413" s="5">
        <v>0.19144718210138767</v>
      </c>
      <c r="C413" s="5">
        <v>-10.020833333333334</v>
      </c>
      <c r="D413" s="5">
        <v>2.117499076725049E-2</v>
      </c>
      <c r="E413" s="5">
        <v>3.8797284190106751E-2</v>
      </c>
      <c r="F413" s="5">
        <v>-0.17647058823529416</v>
      </c>
      <c r="G413" s="5">
        <v>0.10375203794584431</v>
      </c>
      <c r="H413" s="39"/>
      <c r="I413" s="39"/>
      <c r="J413" s="39"/>
      <c r="K413" s="39"/>
      <c r="L413" s="39"/>
      <c r="M413" s="39"/>
    </row>
    <row r="414" spans="1:13" x14ac:dyDescent="0.15">
      <c r="A414" s="17">
        <v>43987</v>
      </c>
      <c r="B414" s="5">
        <v>7.3770491803278659E-2</v>
      </c>
      <c r="C414" s="5">
        <v>2.4700000000000002</v>
      </c>
      <c r="D414" s="5">
        <v>0</v>
      </c>
      <c r="E414" s="5">
        <v>-3.3460803059273125E-3</v>
      </c>
      <c r="F414" s="5">
        <v>0.10714285714285721</v>
      </c>
      <c r="G414" s="5">
        <v>-2.8949017574536273E-2</v>
      </c>
      <c r="H414" s="39"/>
      <c r="I414" s="39"/>
      <c r="J414" s="39"/>
      <c r="K414" s="39"/>
      <c r="L414" s="39"/>
      <c r="M414" s="39"/>
    </row>
    <row r="415" spans="1:13" x14ac:dyDescent="0.15">
      <c r="A415" s="17">
        <v>44001</v>
      </c>
      <c r="B415" s="5">
        <v>-2.9818702290076327E-2</v>
      </c>
      <c r="C415" s="5">
        <v>-1.8674351585014408</v>
      </c>
      <c r="D415" s="5">
        <v>1.1128551077148607E-3</v>
      </c>
      <c r="E415" s="5">
        <v>1.534772182254196E-2</v>
      </c>
      <c r="F415" s="5">
        <v>0.25806451612903225</v>
      </c>
      <c r="G415" s="5">
        <v>-0.50030284492936028</v>
      </c>
      <c r="H415" s="39" t="str">
        <f t="shared" ref="H415:M415" si="65">IF(COUNTIF(H174:H177,"Low")&gt;2,"Low","High")</f>
        <v>High</v>
      </c>
      <c r="I415" s="39" t="str">
        <f t="shared" si="65"/>
        <v>Low</v>
      </c>
      <c r="J415" s="39" t="str">
        <f t="shared" si="65"/>
        <v>Low</v>
      </c>
      <c r="K415" s="39" t="str">
        <f t="shared" si="65"/>
        <v>High</v>
      </c>
      <c r="L415" s="39" t="str">
        <f t="shared" si="65"/>
        <v>Low</v>
      </c>
      <c r="M415" s="39" t="str">
        <f t="shared" si="65"/>
        <v>High</v>
      </c>
    </row>
    <row r="416" spans="1:13" x14ac:dyDescent="0.15">
      <c r="A416" s="17">
        <v>44008</v>
      </c>
      <c r="B416" s="5">
        <v>9.1164095371669696E-3</v>
      </c>
      <c r="C416" s="5">
        <v>-0.9943820224719101</v>
      </c>
      <c r="D416" s="5">
        <v>-2.5699049849015054E-4</v>
      </c>
      <c r="E416" s="5">
        <v>0</v>
      </c>
      <c r="F416" s="5">
        <v>-0.15999999999999992</v>
      </c>
      <c r="G416" s="5">
        <v>0.70946388753580147</v>
      </c>
      <c r="H416" s="39"/>
      <c r="I416" s="39"/>
      <c r="J416" s="39"/>
      <c r="K416" s="39"/>
      <c r="L416" s="39"/>
      <c r="M416" s="39"/>
    </row>
    <row r="417" spans="1:13" x14ac:dyDescent="0.15">
      <c r="A417" s="17">
        <v>44022</v>
      </c>
      <c r="B417" s="5">
        <v>-1.6214964095436768E-3</v>
      </c>
      <c r="C417" s="5">
        <v>-63</v>
      </c>
      <c r="D417" s="5">
        <v>-9.3361514348754282E-3</v>
      </c>
      <c r="E417" s="5">
        <v>-9.3327111525898232E-3</v>
      </c>
      <c r="F417" s="5">
        <v>0</v>
      </c>
      <c r="G417" s="5">
        <v>0.13431810043201331</v>
      </c>
      <c r="H417" s="39"/>
      <c r="I417" s="39"/>
      <c r="J417" s="39"/>
      <c r="K417" s="39"/>
      <c r="L417" s="39"/>
      <c r="M417" s="39"/>
    </row>
    <row r="418" spans="1:13" x14ac:dyDescent="0.15">
      <c r="A418" s="17">
        <v>44029</v>
      </c>
      <c r="B418" s="5">
        <v>7.4245939675174899E-3</v>
      </c>
      <c r="C418" s="5">
        <v>-1.370967741935484</v>
      </c>
      <c r="D418" s="5">
        <v>3.1833039617412462E-2</v>
      </c>
      <c r="E418" s="5">
        <v>4.8987282147903821E-2</v>
      </c>
      <c r="F418" s="5">
        <v>-0.76190476190476186</v>
      </c>
      <c r="G418" s="5">
        <v>-0.2054424500551808</v>
      </c>
      <c r="H418" s="39"/>
      <c r="I418" s="39"/>
      <c r="J418" s="39"/>
      <c r="K418" s="39"/>
      <c r="L418" s="39"/>
      <c r="M418" s="39"/>
    </row>
    <row r="419" spans="1:13" x14ac:dyDescent="0.15">
      <c r="A419" s="17">
        <v>44036</v>
      </c>
      <c r="B419" s="5">
        <v>-2.3030861354215171E-3</v>
      </c>
      <c r="C419" s="5">
        <v>-6.9565217391304346</v>
      </c>
      <c r="D419" s="5">
        <v>1.6922098968957133E-2</v>
      </c>
      <c r="E419" s="5">
        <v>-1.6614279299506096E-2</v>
      </c>
      <c r="F419" s="5">
        <v>-1.2</v>
      </c>
      <c r="G419" s="5">
        <v>0.49306364352395837</v>
      </c>
      <c r="H419" s="39" t="str">
        <f t="shared" ref="H419:M419" si="66">IF(COUNTIF(H178:H181,"Low")&gt;2,"Low","High")</f>
        <v>High</v>
      </c>
      <c r="I419" s="39" t="str">
        <f t="shared" si="66"/>
        <v>High</v>
      </c>
      <c r="J419" s="39" t="str">
        <f t="shared" si="66"/>
        <v>High</v>
      </c>
      <c r="K419" s="39" t="str">
        <f t="shared" si="66"/>
        <v>High</v>
      </c>
      <c r="L419" s="39" t="str">
        <f t="shared" si="66"/>
        <v>High</v>
      </c>
      <c r="M419" s="39" t="str">
        <f t="shared" si="66"/>
        <v>High</v>
      </c>
    </row>
    <row r="420" spans="1:13" x14ac:dyDescent="0.15">
      <c r="A420" s="17">
        <v>44043</v>
      </c>
      <c r="B420" s="5">
        <v>3.1625115420129246E-2</v>
      </c>
      <c r="C420" s="5">
        <v>-1.8321167883211678</v>
      </c>
      <c r="D420" s="5">
        <v>2.0875335300198694E-2</v>
      </c>
      <c r="E420" s="5">
        <v>2.7853881278538939E-2</v>
      </c>
      <c r="F420" s="5">
        <v>9</v>
      </c>
      <c r="G420" s="5">
        <v>-7.6975107640149587E-2</v>
      </c>
      <c r="H420" s="39"/>
      <c r="I420" s="39"/>
      <c r="J420" s="39"/>
      <c r="K420" s="39"/>
      <c r="L420" s="39"/>
      <c r="M420" s="39"/>
    </row>
    <row r="421" spans="1:13" x14ac:dyDescent="0.15">
      <c r="A421" s="17">
        <v>44050</v>
      </c>
      <c r="B421" s="5">
        <v>5.8178563437012443E-3</v>
      </c>
      <c r="C421" s="5">
        <v>-0.2807017543859649</v>
      </c>
      <c r="D421" s="5">
        <v>3.0157955826198179E-2</v>
      </c>
      <c r="E421" s="5">
        <v>4.3980453131941211E-2</v>
      </c>
      <c r="F421" s="5">
        <v>1.1000000000000001</v>
      </c>
      <c r="G421" s="5">
        <v>0.35269108902383239</v>
      </c>
      <c r="H421" s="39"/>
      <c r="I421" s="39"/>
      <c r="J421" s="39"/>
      <c r="K421" s="39"/>
      <c r="L421" s="39"/>
      <c r="M421" s="39"/>
    </row>
    <row r="422" spans="1:13" x14ac:dyDescent="0.15">
      <c r="A422" s="17">
        <v>44057</v>
      </c>
      <c r="B422" s="5">
        <v>-1.5350389321468372E-2</v>
      </c>
      <c r="C422" s="5">
        <v>-0.47560975609756095</v>
      </c>
      <c r="D422" s="5">
        <v>-2.1678712210033257E-2</v>
      </c>
      <c r="E422" s="5">
        <v>-3.8723404255319172E-2</v>
      </c>
      <c r="F422" s="5">
        <v>-0.66666666666666674</v>
      </c>
      <c r="G422" s="5">
        <v>-0.13069486526202068</v>
      </c>
      <c r="H422" s="39"/>
      <c r="I422" s="39"/>
      <c r="J422" s="39"/>
      <c r="K422" s="39"/>
      <c r="L422" s="39"/>
      <c r="M422" s="39"/>
    </row>
    <row r="423" spans="1:13" x14ac:dyDescent="0.15">
      <c r="A423" s="17">
        <v>44064</v>
      </c>
      <c r="B423" s="5">
        <v>1.8526886579304014E-2</v>
      </c>
      <c r="C423" s="5">
        <v>-3.7441860465116279</v>
      </c>
      <c r="D423" s="5">
        <v>-5.154208992492415E-3</v>
      </c>
      <c r="E423" s="5">
        <v>4.4267374944666482E-3</v>
      </c>
      <c r="F423" s="5">
        <v>-3.1428571428571428</v>
      </c>
      <c r="G423" s="5">
        <v>-0.41664531513663172</v>
      </c>
      <c r="H423" s="39" t="str">
        <f t="shared" ref="H423:M423" si="67">IF(COUNTIF(H182:H185,"Low")&gt;2,"Low","High")</f>
        <v>High</v>
      </c>
      <c r="I423" s="39" t="str">
        <f t="shared" si="67"/>
        <v>High</v>
      </c>
      <c r="J423" s="39" t="str">
        <f t="shared" si="67"/>
        <v>Low</v>
      </c>
      <c r="K423" s="39" t="str">
        <f t="shared" si="67"/>
        <v>High</v>
      </c>
      <c r="L423" s="39" t="str">
        <f t="shared" si="67"/>
        <v>Low</v>
      </c>
      <c r="M423" s="39" t="str">
        <f t="shared" si="67"/>
        <v>High</v>
      </c>
    </row>
    <row r="424" spans="1:13" x14ac:dyDescent="0.15">
      <c r="A424" s="17">
        <v>44071</v>
      </c>
      <c r="B424" s="5">
        <v>-6.0559006211180044E-2</v>
      </c>
      <c r="C424" s="5">
        <v>0.31355932203389836</v>
      </c>
      <c r="D424" s="5">
        <v>-1.9670018824429425E-2</v>
      </c>
      <c r="E424" s="5">
        <v>-2.8206258263552275E-2</v>
      </c>
      <c r="F424" s="5">
        <v>0</v>
      </c>
      <c r="G424" s="5">
        <v>0.45869365516186389</v>
      </c>
      <c r="H424" s="39"/>
      <c r="I424" s="39"/>
      <c r="J424" s="39"/>
      <c r="K424" s="39"/>
      <c r="L424" s="39"/>
      <c r="M424" s="39"/>
    </row>
    <row r="425" spans="1:13" x14ac:dyDescent="0.15">
      <c r="A425" s="17">
        <v>44078</v>
      </c>
      <c r="B425" s="5">
        <v>-5.7378984651711873E-2</v>
      </c>
      <c r="C425" s="5">
        <v>-0.21935483870967742</v>
      </c>
      <c r="D425" s="5">
        <v>-3.7788160394310877E-3</v>
      </c>
      <c r="E425" s="5">
        <v>-1.5419501133786873E-2</v>
      </c>
      <c r="F425" s="5">
        <v>-1.4666666666666666</v>
      </c>
      <c r="G425" s="5">
        <v>0.23636136238232974</v>
      </c>
      <c r="H425" s="39"/>
      <c r="I425" s="39"/>
      <c r="J425" s="39"/>
      <c r="K425" s="39"/>
      <c r="L425" s="39"/>
      <c r="M425" s="39"/>
    </row>
    <row r="426" spans="1:13" x14ac:dyDescent="0.15">
      <c r="A426" s="17">
        <v>44085</v>
      </c>
      <c r="B426" s="5">
        <v>7.8156312625250468E-2</v>
      </c>
      <c r="C426" s="5">
        <v>-4.9586776859504136</v>
      </c>
      <c r="D426" s="5">
        <v>1.4183081315645607E-2</v>
      </c>
      <c r="E426" s="5">
        <v>7.369875633348677E-3</v>
      </c>
      <c r="F426" s="5">
        <v>0</v>
      </c>
      <c r="G426" s="5">
        <v>-3.1505321445701728E-4</v>
      </c>
      <c r="H426" s="39"/>
      <c r="I426" s="39"/>
      <c r="J426" s="39"/>
      <c r="K426" s="39"/>
      <c r="L426" s="39"/>
      <c r="M426" s="39"/>
    </row>
    <row r="427" spans="1:13" x14ac:dyDescent="0.15">
      <c r="A427" s="17">
        <v>44092</v>
      </c>
      <c r="B427" s="5">
        <v>-2.9042750929368033E-2</v>
      </c>
      <c r="C427" s="5">
        <v>-0.75574112734864296</v>
      </c>
      <c r="D427" s="5">
        <v>-1.8619210716209533E-2</v>
      </c>
      <c r="E427" s="5">
        <v>-4.6181984453589453E-2</v>
      </c>
      <c r="F427" s="5">
        <v>-1.2857142857142858</v>
      </c>
      <c r="G427" s="5">
        <v>-0.12825527266265224</v>
      </c>
      <c r="H427" s="39" t="str">
        <f t="shared" ref="H427:M427" si="68">IF(COUNTIF(H186:H189,"Low")&gt;2,"Low","High")</f>
        <v>Low</v>
      </c>
      <c r="I427" s="39" t="str">
        <f t="shared" si="68"/>
        <v>High</v>
      </c>
      <c r="J427" s="39" t="str">
        <f t="shared" si="68"/>
        <v>Low</v>
      </c>
      <c r="K427" s="39" t="str">
        <f t="shared" si="68"/>
        <v>Low</v>
      </c>
      <c r="L427" s="39" t="str">
        <f t="shared" si="68"/>
        <v>Low</v>
      </c>
      <c r="M427" s="39" t="str">
        <f t="shared" si="68"/>
        <v>High</v>
      </c>
    </row>
    <row r="428" spans="1:13" x14ac:dyDescent="0.15">
      <c r="A428" s="17">
        <v>44099</v>
      </c>
      <c r="B428" s="5">
        <v>-6.9155300311079193E-2</v>
      </c>
      <c r="C428" s="5">
        <v>-0.29914529914529919</v>
      </c>
      <c r="D428" s="5">
        <v>-1.5330550981590196E-2</v>
      </c>
      <c r="E428" s="5">
        <v>-7.6701821668264669E-3</v>
      </c>
      <c r="F428" s="5">
        <v>-2</v>
      </c>
      <c r="G428" s="5">
        <v>-0.16341464868075273</v>
      </c>
      <c r="H428" s="39"/>
      <c r="I428" s="39"/>
      <c r="J428" s="39"/>
      <c r="K428" s="39"/>
      <c r="L428" s="39"/>
      <c r="M428" s="39"/>
    </row>
    <row r="429" spans="1:13" x14ac:dyDescent="0.15">
      <c r="A429" s="17">
        <v>44106</v>
      </c>
      <c r="B429" s="5">
        <v>0.1007712082262211</v>
      </c>
      <c r="C429" s="5">
        <v>4.963414634146341</v>
      </c>
      <c r="D429" s="5">
        <v>-6.4261223802946077E-3</v>
      </c>
      <c r="E429" s="5">
        <v>2.3671497584541124E-2</v>
      </c>
      <c r="F429" s="5">
        <v>2.4999999999999996</v>
      </c>
      <c r="G429" s="5">
        <v>0.39165432979630221</v>
      </c>
      <c r="H429" s="39"/>
      <c r="I429" s="39"/>
      <c r="J429" s="39"/>
      <c r="K429" s="39"/>
      <c r="L429" s="39"/>
      <c r="M429" s="39"/>
    </row>
    <row r="430" spans="1:13" x14ac:dyDescent="0.15">
      <c r="A430" s="17">
        <v>44113</v>
      </c>
      <c r="B430" s="5">
        <v>7.0060719290054863E-4</v>
      </c>
      <c r="C430" s="5">
        <v>-0.44989775051124747</v>
      </c>
      <c r="D430" s="5">
        <v>-1.2190861969803457E-2</v>
      </c>
      <c r="E430" s="5">
        <v>-2.17083529966966E-2</v>
      </c>
      <c r="F430" s="5">
        <v>-2.4285714285714288</v>
      </c>
      <c r="G430" s="5">
        <v>6.4527838207053101E-2</v>
      </c>
      <c r="H430" s="39"/>
      <c r="I430" s="39"/>
      <c r="J430" s="39"/>
      <c r="K430" s="39"/>
      <c r="L430" s="39"/>
      <c r="M430" s="39"/>
    </row>
    <row r="431" spans="1:13" x14ac:dyDescent="0.15">
      <c r="A431" s="17">
        <v>44120</v>
      </c>
      <c r="B431" s="5">
        <v>-2.9404900816802804E-2</v>
      </c>
      <c r="C431" s="5">
        <v>-0.44609665427509293</v>
      </c>
      <c r="D431" s="5">
        <v>6.1295784307422441E-3</v>
      </c>
      <c r="E431" s="5">
        <v>3.4249879401833105E-2</v>
      </c>
      <c r="F431" s="5">
        <v>-0.30000000000000004</v>
      </c>
      <c r="G431" s="5">
        <v>-0.25124514885039406</v>
      </c>
      <c r="H431" s="39" t="str">
        <f t="shared" ref="H431:M431" si="69">IF(COUNTIF(H190:H193,"Low")&gt;2,"Low","High")</f>
        <v>High</v>
      </c>
      <c r="I431" s="39" t="str">
        <f t="shared" si="69"/>
        <v>Low</v>
      </c>
      <c r="J431" s="39" t="str">
        <f t="shared" si="69"/>
        <v>High</v>
      </c>
      <c r="K431" s="39" t="str">
        <f t="shared" si="69"/>
        <v>High</v>
      </c>
      <c r="L431" s="39" t="str">
        <f t="shared" si="69"/>
        <v>Low</v>
      </c>
      <c r="M431" s="39" t="str">
        <f t="shared" si="69"/>
        <v>High</v>
      </c>
    </row>
    <row r="432" spans="1:13" x14ac:dyDescent="0.15">
      <c r="A432" s="17">
        <v>44127</v>
      </c>
      <c r="B432" s="5">
        <v>-9.9543159413320481E-2</v>
      </c>
      <c r="C432" s="5">
        <v>-2.2953020134228188</v>
      </c>
      <c r="D432" s="5">
        <v>-4.4772251215961845E-2</v>
      </c>
      <c r="E432" s="5">
        <v>-9.2583955223880743E-2</v>
      </c>
      <c r="F432" s="5">
        <v>1</v>
      </c>
      <c r="G432" s="5">
        <v>-0.27509061474342311</v>
      </c>
      <c r="H432" s="39"/>
      <c r="I432" s="39"/>
      <c r="J432" s="39"/>
      <c r="K432" s="39"/>
      <c r="L432" s="39"/>
      <c r="M432" s="39"/>
    </row>
    <row r="433" spans="1:13" x14ac:dyDescent="0.15">
      <c r="A433" s="17">
        <v>44134</v>
      </c>
      <c r="B433" s="5">
        <v>5.7409879839786404E-2</v>
      </c>
      <c r="C433" s="5">
        <v>-2.6373056994818653</v>
      </c>
      <c r="D433" s="5">
        <v>7.6202617269818029E-2</v>
      </c>
      <c r="E433" s="5">
        <v>0.10203032639424325</v>
      </c>
      <c r="F433" s="5">
        <v>-0.64285714285714279</v>
      </c>
      <c r="G433" s="5">
        <v>0.48599880115219318</v>
      </c>
      <c r="H433" s="39"/>
      <c r="I433" s="39"/>
      <c r="J433" s="39"/>
      <c r="K433" s="39"/>
      <c r="L433" s="39"/>
      <c r="M433" s="39"/>
    </row>
    <row r="434" spans="1:13" x14ac:dyDescent="0.15">
      <c r="A434" s="17">
        <v>44141</v>
      </c>
      <c r="B434" s="5">
        <v>7.6515151515151647E-2</v>
      </c>
      <c r="C434" s="5">
        <v>-1.6740506329113924</v>
      </c>
      <c r="D434" s="5">
        <v>4.4757254059579532E-2</v>
      </c>
      <c r="E434" s="5">
        <v>4.664179104477606E-2</v>
      </c>
      <c r="F434" s="5">
        <v>0</v>
      </c>
      <c r="G434" s="5">
        <v>0.18003491830165608</v>
      </c>
      <c r="H434" s="39"/>
      <c r="I434" s="39"/>
      <c r="J434" s="39"/>
      <c r="K434" s="39"/>
      <c r="L434" s="39"/>
      <c r="M434" s="39"/>
    </row>
    <row r="435" spans="1:13" x14ac:dyDescent="0.15">
      <c r="A435" s="17">
        <v>44148</v>
      </c>
      <c r="B435" s="5">
        <v>6.1224489795918435E-2</v>
      </c>
      <c r="C435" s="5">
        <v>-1.0938967136150235</v>
      </c>
      <c r="D435" s="5">
        <v>8.5349164688850454E-3</v>
      </c>
      <c r="E435" s="5">
        <v>1.559714795008893E-2</v>
      </c>
      <c r="F435" s="5">
        <v>0.39999999999999991</v>
      </c>
      <c r="G435" s="5">
        <v>-0.18327564460939505</v>
      </c>
      <c r="H435" s="39" t="str">
        <f t="shared" ref="H435:M435" si="70">IF(COUNTIF(H194:H197,"Low")&gt;2,"Low","High")</f>
        <v>High</v>
      </c>
      <c r="I435" s="39" t="str">
        <f t="shared" si="70"/>
        <v>High</v>
      </c>
      <c r="J435" s="39" t="str">
        <f t="shared" si="70"/>
        <v>High</v>
      </c>
      <c r="K435" s="39" t="str">
        <f t="shared" si="70"/>
        <v>High</v>
      </c>
      <c r="L435" s="39" t="str">
        <f t="shared" si="70"/>
        <v>High</v>
      </c>
      <c r="M435" s="39" t="str">
        <f t="shared" si="70"/>
        <v>High</v>
      </c>
    </row>
    <row r="436" spans="1:13" x14ac:dyDescent="0.15">
      <c r="A436" s="17">
        <v>44155</v>
      </c>
      <c r="B436" s="5">
        <v>6.6976127320955037E-2</v>
      </c>
      <c r="C436" s="5">
        <v>7.9499999999999993</v>
      </c>
      <c r="D436" s="5">
        <v>3.0035659971681783E-2</v>
      </c>
      <c r="E436" s="5">
        <v>2.4133391838525808E-2</v>
      </c>
      <c r="F436" s="5">
        <v>-1.1428571428571428</v>
      </c>
      <c r="G436" s="5">
        <v>-0.52745793193492618</v>
      </c>
      <c r="H436" s="39"/>
      <c r="I436" s="39"/>
      <c r="J436" s="39"/>
      <c r="K436" s="39"/>
      <c r="L436" s="39"/>
      <c r="M436" s="39"/>
    </row>
    <row r="437" spans="1:13" x14ac:dyDescent="0.15">
      <c r="A437" s="17">
        <v>44162</v>
      </c>
      <c r="B437" s="5">
        <v>1.5744769007665083E-2</v>
      </c>
      <c r="C437" s="5">
        <v>-0.88268156424581012</v>
      </c>
      <c r="D437" s="5">
        <v>1.3377117619356671E-2</v>
      </c>
      <c r="E437" s="5">
        <v>3.5989717223650297E-2</v>
      </c>
      <c r="F437" s="5">
        <v>12</v>
      </c>
      <c r="G437" s="5">
        <v>1.1674211883655401</v>
      </c>
      <c r="H437" s="39"/>
      <c r="I437" s="39"/>
      <c r="J437" s="39"/>
      <c r="K437" s="39"/>
      <c r="L437" s="39"/>
      <c r="M437" s="39"/>
    </row>
    <row r="438" spans="1:13" x14ac:dyDescent="0.15">
      <c r="A438" s="17">
        <v>44169</v>
      </c>
      <c r="B438" s="5">
        <v>2.1211503161329803E-2</v>
      </c>
      <c r="C438" s="5">
        <v>1.5238095238095242</v>
      </c>
      <c r="D438" s="5">
        <v>2.8843980004521708E-2</v>
      </c>
      <c r="E438" s="5">
        <v>3.8047973531844637E-2</v>
      </c>
      <c r="F438" s="5">
        <v>0</v>
      </c>
      <c r="G438" s="5">
        <v>7.0343636212653937E-2</v>
      </c>
      <c r="H438" s="39"/>
      <c r="I438" s="39"/>
      <c r="J438" s="39"/>
      <c r="K438" s="39"/>
      <c r="L438" s="39"/>
      <c r="M438" s="39"/>
    </row>
    <row r="439" spans="1:13" x14ac:dyDescent="0.15">
      <c r="A439" s="17">
        <v>44176</v>
      </c>
      <c r="B439" s="5">
        <v>4.5935690033952481E-2</v>
      </c>
      <c r="C439" s="5">
        <v>2.3584905660377355</v>
      </c>
      <c r="D439" s="5">
        <v>-8.6370544897418355E-4</v>
      </c>
      <c r="E439" s="5">
        <v>-1.5936254980081221E-3</v>
      </c>
      <c r="F439" s="5">
        <v>1</v>
      </c>
      <c r="G439" s="5">
        <v>0.16723069058085738</v>
      </c>
      <c r="H439" s="39" t="str">
        <f t="shared" ref="H439:M439" si="71">IF(COUNTIF(H198:H201,"Low")&gt;2,"Low","High")</f>
        <v>High</v>
      </c>
      <c r="I439" s="39" t="str">
        <f t="shared" si="71"/>
        <v>High</v>
      </c>
      <c r="J439" s="39" t="str">
        <f t="shared" si="71"/>
        <v>Low</v>
      </c>
      <c r="K439" s="39" t="str">
        <f t="shared" si="71"/>
        <v>Low</v>
      </c>
      <c r="L439" s="39" t="str">
        <f t="shared" si="71"/>
        <v>Low</v>
      </c>
      <c r="M439" s="39" t="str">
        <f t="shared" si="71"/>
        <v>High</v>
      </c>
    </row>
    <row r="440" spans="1:13" x14ac:dyDescent="0.15">
      <c r="A440" s="17">
        <v>44183</v>
      </c>
      <c r="B440" s="5">
        <v>8.9713843774168689E-2</v>
      </c>
      <c r="C440" s="5">
        <v>0</v>
      </c>
      <c r="D440" s="5">
        <v>0</v>
      </c>
      <c r="E440" s="5">
        <v>6.7908902691511397E-2</v>
      </c>
      <c r="F440" s="5">
        <v>0</v>
      </c>
      <c r="G440" s="5">
        <v>-7.4838578731454719E-2</v>
      </c>
      <c r="H440" s="39"/>
      <c r="I440" s="39"/>
      <c r="J440" s="39"/>
      <c r="K440" s="39"/>
      <c r="L440" s="39"/>
      <c r="M440" s="39"/>
    </row>
    <row r="441" spans="1:13" x14ac:dyDescent="0.15">
      <c r="A441" s="17">
        <v>44204</v>
      </c>
      <c r="B441" s="5">
        <v>-2.4130589070262554E-2</v>
      </c>
      <c r="C441" s="5">
        <v>-1.101522842639594</v>
      </c>
      <c r="D441" s="5">
        <v>-1.1201741335294946E-3</v>
      </c>
      <c r="E441" s="5">
        <v>-3.489724699495933E-3</v>
      </c>
      <c r="F441" s="5">
        <v>-0.5714285714285714</v>
      </c>
      <c r="G441" s="5">
        <v>6.558618033040764E-2</v>
      </c>
      <c r="H441" s="39"/>
      <c r="I441" s="39"/>
      <c r="J441" s="39"/>
      <c r="K441" s="39"/>
      <c r="L441" s="39"/>
      <c r="M441" s="39"/>
    </row>
    <row r="442" spans="1:13" x14ac:dyDescent="0.15">
      <c r="A442" s="17">
        <v>44211</v>
      </c>
      <c r="B442" s="5">
        <v>3.8181818181819427E-3</v>
      </c>
      <c r="C442" s="5">
        <v>3.1999999999999993</v>
      </c>
      <c r="D442" s="5">
        <v>-1.9713412248800966E-2</v>
      </c>
      <c r="E442" s="5">
        <v>-4.0077821011673009E-2</v>
      </c>
      <c r="F442" s="5">
        <v>-1</v>
      </c>
      <c r="G442" s="5">
        <v>-0.15494853220101901</v>
      </c>
      <c r="H442" s="39"/>
      <c r="I442" s="39"/>
      <c r="J442" s="39"/>
      <c r="K442" s="39"/>
      <c r="L442" s="39"/>
      <c r="M442" s="39"/>
    </row>
    <row r="443" spans="1:13" x14ac:dyDescent="0.15">
      <c r="A443" s="17">
        <v>44218</v>
      </c>
      <c r="B443" s="5">
        <v>1.2316609309907633E-2</v>
      </c>
      <c r="C443" s="5">
        <v>-1.6071428571428572</v>
      </c>
      <c r="D443" s="5">
        <v>-3.1286580823667198E-2</v>
      </c>
      <c r="E443" s="5">
        <v>-4.1345764085934489E-2</v>
      </c>
      <c r="F443" s="5">
        <v>0</v>
      </c>
      <c r="G443" s="5">
        <v>3.4483507954985448E-4</v>
      </c>
      <c r="H443" s="39" t="str">
        <f t="shared" ref="H443:M443" si="72">IF(COUNTIF(H202:H205,"Low")&gt;2,"Low","High")</f>
        <v>High</v>
      </c>
      <c r="I443" s="39" t="str">
        <f t="shared" si="72"/>
        <v>High</v>
      </c>
      <c r="J443" s="39" t="str">
        <f t="shared" si="72"/>
        <v>High</v>
      </c>
      <c r="K443" s="39" t="str">
        <f t="shared" si="72"/>
        <v>High</v>
      </c>
      <c r="L443" s="39" t="str">
        <f t="shared" si="72"/>
        <v>High</v>
      </c>
      <c r="M443" s="39" t="str">
        <f t="shared" si="72"/>
        <v>High</v>
      </c>
    </row>
    <row r="444" spans="1:13" x14ac:dyDescent="0.15">
      <c r="A444" s="17">
        <v>44225</v>
      </c>
      <c r="B444" s="5">
        <v>6.6738235820361425E-2</v>
      </c>
      <c r="C444" s="5">
        <v>6.3921568627450975</v>
      </c>
      <c r="D444" s="5">
        <v>3.5290563550477883E-2</v>
      </c>
      <c r="E444" s="5">
        <v>5.412262156448211E-2</v>
      </c>
      <c r="F444" s="5">
        <v>0.25</v>
      </c>
      <c r="G444" s="5">
        <v>0.14548290185257962</v>
      </c>
      <c r="H444" s="39"/>
      <c r="I444" s="39"/>
      <c r="J444" s="39"/>
      <c r="K444" s="39"/>
      <c r="L444" s="39"/>
      <c r="M444" s="39"/>
    </row>
    <row r="445" spans="1:13" x14ac:dyDescent="0.15">
      <c r="A445" s="17">
        <v>44232</v>
      </c>
      <c r="B445" s="5">
        <v>5.1828245555182839E-2</v>
      </c>
      <c r="C445" s="5">
        <v>-0.41909814323607431</v>
      </c>
      <c r="D445" s="5">
        <v>1.0124589932001715E-2</v>
      </c>
      <c r="E445" s="5">
        <v>1.9253910950661979E-2</v>
      </c>
      <c r="F445" s="5">
        <v>1.4</v>
      </c>
      <c r="G445" s="5">
        <v>0.15507735347746587</v>
      </c>
      <c r="H445" s="39"/>
      <c r="I445" s="39"/>
      <c r="J445" s="39"/>
      <c r="K445" s="39"/>
      <c r="L445" s="39"/>
      <c r="M445" s="39"/>
    </row>
    <row r="446" spans="1:13" x14ac:dyDescent="0.15">
      <c r="A446" s="17">
        <v>44239</v>
      </c>
      <c r="B446" s="5">
        <v>2.0730346037314273E-3</v>
      </c>
      <c r="C446" s="5">
        <v>0.31050228310502281</v>
      </c>
      <c r="D446" s="5">
        <v>8.9288840645680434E-3</v>
      </c>
      <c r="E446" s="5">
        <v>3.1483667847302943E-3</v>
      </c>
      <c r="F446" s="5">
        <v>0</v>
      </c>
      <c r="G446" s="5">
        <v>-0.23025037395852643</v>
      </c>
      <c r="H446" s="39"/>
      <c r="I446" s="39"/>
      <c r="J446" s="39"/>
      <c r="K446" s="39"/>
      <c r="L446" s="39"/>
      <c r="M446" s="39"/>
    </row>
    <row r="447" spans="1:13" x14ac:dyDescent="0.15">
      <c r="A447" s="17">
        <v>44246</v>
      </c>
      <c r="B447" s="5">
        <v>4.9809038828771302E-2</v>
      </c>
      <c r="C447" s="5">
        <v>-0.15679442508710806</v>
      </c>
      <c r="D447" s="5">
        <v>-3.211401864834218E-2</v>
      </c>
      <c r="E447" s="5">
        <v>-4.0015692428403304E-2</v>
      </c>
      <c r="F447" s="5">
        <v>0</v>
      </c>
      <c r="G447" s="5">
        <v>-0.16056651348639661</v>
      </c>
      <c r="H447" s="39" t="str">
        <f t="shared" ref="H447:M447" si="73">IF(COUNTIF(H206:H209,"Low")&gt;2,"Low","High")</f>
        <v>High</v>
      </c>
      <c r="I447" s="39" t="str">
        <f t="shared" si="73"/>
        <v>High</v>
      </c>
      <c r="J447" s="39" t="str">
        <f t="shared" si="73"/>
        <v>High</v>
      </c>
      <c r="K447" s="39" t="str">
        <f t="shared" si="73"/>
        <v>High</v>
      </c>
      <c r="L447" s="39" t="str">
        <f t="shared" si="73"/>
        <v>Low</v>
      </c>
      <c r="M447" s="39" t="str">
        <f t="shared" si="73"/>
        <v>Low</v>
      </c>
    </row>
    <row r="448" spans="1:13" x14ac:dyDescent="0.15">
      <c r="A448" s="17">
        <v>44253</v>
      </c>
      <c r="B448" s="5">
        <v>5.6389267849022318E-2</v>
      </c>
      <c r="C448" s="5">
        <v>0.73140495867768607</v>
      </c>
      <c r="D448" s="5">
        <v>2.0166495350560698E-2</v>
      </c>
      <c r="E448" s="5">
        <v>4.3727012668573817E-2</v>
      </c>
      <c r="F448" s="5">
        <v>0.27777777777777768</v>
      </c>
      <c r="G448" s="5">
        <v>-7.9462809137384571E-2</v>
      </c>
      <c r="H448" s="39"/>
      <c r="I448" s="39"/>
      <c r="J448" s="39"/>
      <c r="K448" s="39"/>
      <c r="L448" s="39"/>
      <c r="M448" s="39"/>
    </row>
    <row r="449" spans="1:13" x14ac:dyDescent="0.15">
      <c r="A449" s="17">
        <v>44260</v>
      </c>
      <c r="B449" s="5">
        <v>-6.6006600660064585E-3</v>
      </c>
      <c r="C449" s="5">
        <v>-0.15513126491646789</v>
      </c>
      <c r="D449" s="5">
        <v>3.6720921581779198E-2</v>
      </c>
      <c r="E449" s="5">
        <v>4.8551292090837972E-2</v>
      </c>
      <c r="F449" s="5">
        <v>6.5217391304347894E-2</v>
      </c>
      <c r="G449" s="5">
        <v>0.57285704709366292</v>
      </c>
      <c r="H449" s="39"/>
      <c r="I449" s="39"/>
      <c r="J449" s="39"/>
      <c r="K449" s="39"/>
      <c r="L449" s="39"/>
      <c r="M449" s="39"/>
    </row>
    <row r="450" spans="1:13" x14ac:dyDescent="0.15">
      <c r="A450" s="17">
        <v>44267</v>
      </c>
      <c r="B450" s="5">
        <v>-6.8900765564061994E-2</v>
      </c>
      <c r="C450" s="5">
        <v>-2.2033898305084745</v>
      </c>
      <c r="D450" s="5">
        <v>-1.8149456137872555E-2</v>
      </c>
      <c r="E450" s="5">
        <v>-3.3233756534727377E-2</v>
      </c>
      <c r="F450" s="5">
        <v>-0.26530612244897966</v>
      </c>
      <c r="G450" s="5">
        <v>2.3599990894461742E-2</v>
      </c>
      <c r="H450" s="39"/>
      <c r="I450" s="39"/>
      <c r="J450" s="39"/>
      <c r="K450" s="39"/>
      <c r="L450" s="39"/>
      <c r="M450" s="39"/>
    </row>
    <row r="451" spans="1:13" x14ac:dyDescent="0.15">
      <c r="A451" s="17">
        <v>44274</v>
      </c>
      <c r="B451" s="5">
        <v>-2.0167545764814276E-3</v>
      </c>
      <c r="C451" s="5">
        <v>-0.96478873239436624</v>
      </c>
      <c r="D451" s="5">
        <v>4.1924920725355808E-3</v>
      </c>
      <c r="E451" s="5">
        <v>-1.1587485515643148E-2</v>
      </c>
      <c r="F451" s="5">
        <v>0.16666666666666674</v>
      </c>
      <c r="G451" s="5">
        <v>-0.25415744490874215</v>
      </c>
      <c r="H451" s="39" t="str">
        <f t="shared" ref="H451:M451" si="74">IF(COUNTIF(H210:H213,"Low")&gt;2,"Low","High")</f>
        <v>Low</v>
      </c>
      <c r="I451" s="39" t="str">
        <f t="shared" si="74"/>
        <v>High</v>
      </c>
      <c r="J451" s="39" t="str">
        <f t="shared" si="74"/>
        <v>High</v>
      </c>
      <c r="K451" s="39" t="str">
        <f t="shared" si="74"/>
        <v>High</v>
      </c>
      <c r="L451" s="39" t="str">
        <f t="shared" si="74"/>
        <v>High</v>
      </c>
      <c r="M451" s="39" t="str">
        <f t="shared" si="74"/>
        <v>High</v>
      </c>
    </row>
    <row r="452" spans="1:13" x14ac:dyDescent="0.15">
      <c r="A452" s="17">
        <v>44281</v>
      </c>
      <c r="B452" s="5">
        <v>-2.4748646558391485E-2</v>
      </c>
      <c r="C452" s="5">
        <v>0</v>
      </c>
      <c r="D452" s="5">
        <v>0</v>
      </c>
      <c r="E452" s="5">
        <v>-2.34375E-2</v>
      </c>
      <c r="F452" s="5">
        <v>0.23809523809523814</v>
      </c>
      <c r="G452" s="5">
        <v>0.33068977042551495</v>
      </c>
      <c r="H452" s="39"/>
      <c r="I452" s="39"/>
      <c r="J452" s="39"/>
      <c r="K452" s="39"/>
      <c r="L452" s="39"/>
      <c r="M452" s="39"/>
    </row>
    <row r="453" spans="1:13" x14ac:dyDescent="0.15">
      <c r="A453" s="17">
        <v>44295</v>
      </c>
      <c r="B453" s="5">
        <v>5.8207771609833481E-2</v>
      </c>
      <c r="C453" s="5">
        <v>2.5837563451776648</v>
      </c>
      <c r="D453" s="5">
        <v>3.2245849863598464E-2</v>
      </c>
      <c r="E453" s="5">
        <v>5.2400000000000002E-2</v>
      </c>
      <c r="F453" s="5">
        <v>-1.9230769230769384E-2</v>
      </c>
      <c r="G453" s="5">
        <v>0.11862837552326733</v>
      </c>
      <c r="H453" s="39"/>
      <c r="I453" s="39"/>
      <c r="J453" s="39"/>
      <c r="K453" s="39"/>
      <c r="L453" s="39"/>
      <c r="M453" s="39"/>
    </row>
    <row r="454" spans="1:13" x14ac:dyDescent="0.15">
      <c r="A454" s="17">
        <v>44302</v>
      </c>
      <c r="B454" s="5">
        <v>-8.9928057553956275E-3</v>
      </c>
      <c r="C454" s="5">
        <v>-0.69546742209631729</v>
      </c>
      <c r="D454" s="5">
        <v>-3.5293071442066282E-4</v>
      </c>
      <c r="E454" s="5">
        <v>1.330292664386179E-2</v>
      </c>
      <c r="F454" s="5">
        <v>-1.9607843137254832E-2</v>
      </c>
      <c r="G454" s="5">
        <v>-0.21629284093084478</v>
      </c>
      <c r="H454" s="39"/>
      <c r="I454" s="39"/>
      <c r="J454" s="39"/>
      <c r="K454" s="39"/>
      <c r="L454" s="39"/>
      <c r="M454" s="39"/>
    </row>
    <row r="455" spans="1:13" x14ac:dyDescent="0.15">
      <c r="A455" s="17">
        <v>44309</v>
      </c>
      <c r="B455" s="5">
        <v>1.7241379310344751E-2</v>
      </c>
      <c r="C455" s="5">
        <v>0.46046511627906983</v>
      </c>
      <c r="D455" s="5">
        <v>-1.4781064003091315E-2</v>
      </c>
      <c r="E455" s="5">
        <v>-2.6631657914478635E-2</v>
      </c>
      <c r="F455" s="5">
        <v>8.0000000000000071E-2</v>
      </c>
      <c r="G455" s="5">
        <v>-7.1437323116267493E-2</v>
      </c>
      <c r="H455" s="39" t="str">
        <f t="shared" ref="H455:M455" si="75">IF(COUNTIF(H214:H217,"Low")&gt;2,"Low","High")</f>
        <v>High</v>
      </c>
      <c r="I455" s="39" t="str">
        <f t="shared" si="75"/>
        <v>High</v>
      </c>
      <c r="J455" s="39" t="str">
        <f t="shared" si="75"/>
        <v>High</v>
      </c>
      <c r="K455" s="39" t="str">
        <f t="shared" si="75"/>
        <v>High</v>
      </c>
      <c r="L455" s="39" t="str">
        <f t="shared" si="75"/>
        <v>Low</v>
      </c>
      <c r="M455" s="39" t="str">
        <f t="shared" si="75"/>
        <v>High</v>
      </c>
    </row>
    <row r="456" spans="1:13" x14ac:dyDescent="0.15">
      <c r="A456" s="17">
        <v>44316</v>
      </c>
      <c r="B456" s="5">
        <v>1.5016354445435587E-2</v>
      </c>
      <c r="C456" s="5">
        <v>-0.14012738853503182</v>
      </c>
      <c r="D456" s="5">
        <v>3.9133747178329514E-2</v>
      </c>
      <c r="E456" s="5">
        <v>5.8574181117533763E-2</v>
      </c>
      <c r="F456" s="5">
        <v>-0.33333333333333337</v>
      </c>
      <c r="G456" s="5">
        <v>0.12593123862379763</v>
      </c>
      <c r="H456" s="39"/>
      <c r="I456" s="39"/>
      <c r="J456" s="39"/>
      <c r="K456" s="39"/>
      <c r="L456" s="39"/>
      <c r="M456" s="39"/>
    </row>
    <row r="457" spans="1:13" x14ac:dyDescent="0.15">
      <c r="A457" s="17">
        <v>44323</v>
      </c>
      <c r="B457" s="5">
        <v>8.2027244763440699E-3</v>
      </c>
      <c r="C457" s="5">
        <v>-0.6518518518518519</v>
      </c>
      <c r="D457" s="5">
        <v>-1.2243767463457456E-2</v>
      </c>
      <c r="E457" s="5">
        <v>-8.0087368037858875E-3</v>
      </c>
      <c r="F457" s="5">
        <v>-2.777777777777779E-2</v>
      </c>
      <c r="G457" s="5">
        <v>0.1596756141949347</v>
      </c>
      <c r="H457" s="39"/>
      <c r="I457" s="39"/>
      <c r="J457" s="39"/>
      <c r="K457" s="39"/>
      <c r="L457" s="39"/>
      <c r="M457" s="39"/>
    </row>
    <row r="458" spans="1:13" x14ac:dyDescent="0.15">
      <c r="A458" s="17">
        <v>44330</v>
      </c>
      <c r="B458" s="5">
        <v>-3.0509952055789546E-2</v>
      </c>
      <c r="C458" s="5">
        <v>-1.946808510638298</v>
      </c>
      <c r="D458" s="5">
        <v>6.2898614471080805E-3</v>
      </c>
      <c r="E458" s="5">
        <v>5.3211009174312096E-3</v>
      </c>
      <c r="F458" s="5">
        <v>0.17142857142857126</v>
      </c>
      <c r="G458" s="5">
        <v>-0.17519687731870626</v>
      </c>
      <c r="H458" s="39"/>
      <c r="I458" s="39"/>
      <c r="J458" s="39"/>
      <c r="K458" s="39"/>
      <c r="L458" s="39"/>
      <c r="M458" s="39"/>
    </row>
    <row r="459" spans="1:13" x14ac:dyDescent="0.15">
      <c r="A459" s="17">
        <v>44337</v>
      </c>
      <c r="B459" s="5">
        <v>4.3758429491982609E-2</v>
      </c>
      <c r="C459" s="5">
        <v>-4.6853932584269664</v>
      </c>
      <c r="D459" s="5">
        <v>1.9142298277821546E-2</v>
      </c>
      <c r="E459" s="5">
        <v>2.682971345135976E-2</v>
      </c>
      <c r="F459" s="5">
        <v>-0.21951219512195108</v>
      </c>
      <c r="G459" s="5">
        <v>0.24609664825537547</v>
      </c>
      <c r="H459" s="39" t="str">
        <f t="shared" ref="H459:M459" si="76">IF(COUNTIF(H218:H221,"Low")&gt;2,"Low","High")</f>
        <v>High</v>
      </c>
      <c r="I459" s="39" t="str">
        <f t="shared" si="76"/>
        <v>High</v>
      </c>
      <c r="J459" s="39" t="str">
        <f t="shared" si="76"/>
        <v>High</v>
      </c>
      <c r="K459" s="39" t="str">
        <f t="shared" si="76"/>
        <v>High</v>
      </c>
      <c r="L459" s="39" t="str">
        <f t="shared" si="76"/>
        <v>Low</v>
      </c>
      <c r="M459" s="39" t="str">
        <f t="shared" si="76"/>
        <v>High</v>
      </c>
    </row>
    <row r="460" spans="1:13" x14ac:dyDescent="0.15">
      <c r="A460" s="17">
        <v>44344</v>
      </c>
      <c r="B460" s="5">
        <v>3.1155778894472075E-2</v>
      </c>
      <c r="C460" s="5">
        <v>0.59146341463414642</v>
      </c>
      <c r="D460" s="5">
        <v>2.0608221307850005E-2</v>
      </c>
      <c r="E460" s="5">
        <v>2.9150373266974672E-2</v>
      </c>
      <c r="F460" s="5">
        <v>-0.1875</v>
      </c>
      <c r="G460" s="5">
        <v>-0.17435116731601275</v>
      </c>
      <c r="H460" s="39"/>
      <c r="I460" s="39"/>
      <c r="J460" s="39"/>
      <c r="K460" s="39"/>
      <c r="L460" s="39"/>
      <c r="M460" s="39"/>
    </row>
    <row r="461" spans="1:13" x14ac:dyDescent="0.15">
      <c r="A461" s="17">
        <v>44351</v>
      </c>
      <c r="B461" s="5">
        <v>1.1138958507379781E-2</v>
      </c>
      <c r="C461" s="5">
        <v>-0.29118773946360144</v>
      </c>
      <c r="D461" s="5">
        <v>8.956172536330298E-3</v>
      </c>
      <c r="E461" s="5">
        <v>1.899827288428324E-2</v>
      </c>
      <c r="F461" s="5">
        <v>0.26923076923076916</v>
      </c>
      <c r="G461" s="5">
        <v>0.41670339135074896</v>
      </c>
      <c r="H461" s="39"/>
      <c r="I461" s="39"/>
      <c r="J461" s="39"/>
      <c r="K461" s="39"/>
      <c r="L461" s="39"/>
      <c r="M461" s="39"/>
    </row>
    <row r="462" spans="1:13" x14ac:dyDescent="0.15">
      <c r="A462" s="17">
        <v>44358</v>
      </c>
      <c r="B462" s="5">
        <v>8.2621867254200065E-3</v>
      </c>
      <c r="C462" s="5">
        <v>-0.24864864864864877</v>
      </c>
      <c r="D462" s="5">
        <v>-1.0042873542572939E-2</v>
      </c>
      <c r="E462" s="5">
        <v>-2.3389830508474652E-2</v>
      </c>
      <c r="F462" s="5">
        <v>0</v>
      </c>
      <c r="G462" s="5">
        <v>-6.8414070850575381E-2</v>
      </c>
      <c r="H462" s="39"/>
      <c r="I462" s="39"/>
      <c r="J462" s="39"/>
      <c r="K462" s="39"/>
      <c r="L462" s="39"/>
      <c r="M462" s="39"/>
    </row>
    <row r="463" spans="1:13" x14ac:dyDescent="0.15">
      <c r="A463" s="17">
        <v>44365</v>
      </c>
      <c r="B463" s="5">
        <v>3.8104343075662461E-2</v>
      </c>
      <c r="C463" s="5">
        <v>0.3633093525179858</v>
      </c>
      <c r="D463" s="5">
        <v>7.5967341143061695E-3</v>
      </c>
      <c r="E463" s="5">
        <v>1.8396390142311647E-2</v>
      </c>
      <c r="F463" s="5">
        <v>6.0606060606060552E-2</v>
      </c>
      <c r="G463" s="5">
        <v>-0.5187378485726053</v>
      </c>
      <c r="H463" s="39" t="str">
        <f t="shared" ref="H463:M463" si="77">IF(COUNTIF(H222:H225,"Low")&gt;2,"Low","High")</f>
        <v>Low</v>
      </c>
      <c r="I463" s="39" t="str">
        <f t="shared" si="77"/>
        <v>High</v>
      </c>
      <c r="J463" s="39" t="str">
        <f t="shared" si="77"/>
        <v>High</v>
      </c>
      <c r="K463" s="39" t="str">
        <f t="shared" si="77"/>
        <v>Low</v>
      </c>
      <c r="L463" s="39" t="str">
        <f t="shared" si="77"/>
        <v>High</v>
      </c>
      <c r="M463" s="39" t="str">
        <f t="shared" si="77"/>
        <v>High</v>
      </c>
    </row>
    <row r="464" spans="1:13" x14ac:dyDescent="0.15">
      <c r="A464" s="17">
        <v>44372</v>
      </c>
      <c r="B464" s="5">
        <v>-5.2624654650712532E-4</v>
      </c>
      <c r="C464" s="5">
        <v>-0.23218997361477567</v>
      </c>
      <c r="D464" s="5">
        <v>8.7634139212493523E-3</v>
      </c>
      <c r="E464" s="5">
        <v>-6.8166325835039565E-4</v>
      </c>
      <c r="F464" s="5">
        <v>0.22857142857142843</v>
      </c>
      <c r="G464" s="5">
        <v>0.26006395575701835</v>
      </c>
      <c r="H464" s="39"/>
      <c r="I464" s="39"/>
      <c r="J464" s="39"/>
      <c r="K464" s="39"/>
      <c r="L464" s="39"/>
      <c r="M464" s="39"/>
    </row>
    <row r="465" spans="1:13" x14ac:dyDescent="0.15">
      <c r="A465" s="17">
        <v>44379</v>
      </c>
      <c r="B465" s="5">
        <v>-5.1336053705409723E-3</v>
      </c>
      <c r="C465" s="5">
        <v>-0.2371134020618556</v>
      </c>
      <c r="D465" s="5">
        <v>-2.61549844518838E-3</v>
      </c>
      <c r="E465" s="5">
        <v>-1.6712141882674003E-2</v>
      </c>
      <c r="F465" s="5">
        <v>0.23255813953488369</v>
      </c>
      <c r="G465" s="5">
        <v>0.28202575091432758</v>
      </c>
      <c r="H465" s="39"/>
      <c r="I465" s="39"/>
      <c r="J465" s="39"/>
      <c r="K465" s="39"/>
      <c r="L465" s="39"/>
      <c r="M465" s="39"/>
    </row>
    <row r="466" spans="1:13" x14ac:dyDescent="0.15">
      <c r="A466" s="17">
        <v>44386</v>
      </c>
      <c r="B466" s="5">
        <v>-3.0166710770044958E-2</v>
      </c>
      <c r="C466" s="5">
        <v>-1.3513513513513598E-2</v>
      </c>
      <c r="D466" s="5">
        <v>-2.2089014891150116E-2</v>
      </c>
      <c r="E466" s="5">
        <v>-1.7689906347554518E-2</v>
      </c>
      <c r="F466" s="5">
        <v>9.4339622641509413E-2</v>
      </c>
      <c r="G466" s="5">
        <v>1.6404287454819144E-2</v>
      </c>
      <c r="H466" s="39"/>
      <c r="I466" s="39"/>
      <c r="J466" s="39"/>
      <c r="K466" s="39"/>
      <c r="L466" s="39"/>
      <c r="M466" s="39"/>
    </row>
    <row r="467" spans="1:13" x14ac:dyDescent="0.15">
      <c r="A467" s="17">
        <v>44393</v>
      </c>
      <c r="B467" s="5">
        <v>1.2141882673942783E-2</v>
      </c>
      <c r="C467" s="5">
        <v>0.8447488584474887</v>
      </c>
      <c r="D467" s="5">
        <v>-9.4452475365701671E-3</v>
      </c>
      <c r="E467" s="5">
        <v>-4.9435028248587809E-3</v>
      </c>
      <c r="F467" s="5">
        <v>-0.13793103448275856</v>
      </c>
      <c r="G467" s="5">
        <v>-0.30712818936500585</v>
      </c>
      <c r="H467" s="39" t="str">
        <f t="shared" ref="H467:M467" si="78">IF(COUNTIF(H226:H229,"Low")&gt;2,"Low","High")</f>
        <v>High</v>
      </c>
      <c r="I467" s="39" t="str">
        <f t="shared" si="78"/>
        <v>High</v>
      </c>
      <c r="J467" s="39" t="str">
        <f t="shared" si="78"/>
        <v>High</v>
      </c>
      <c r="K467" s="39" t="str">
        <f t="shared" si="78"/>
        <v>High</v>
      </c>
      <c r="L467" s="39" t="str">
        <f t="shared" si="78"/>
        <v>Low</v>
      </c>
      <c r="M467" s="39" t="str">
        <f t="shared" si="78"/>
        <v>High</v>
      </c>
    </row>
    <row r="468" spans="1:13" x14ac:dyDescent="0.15">
      <c r="A468" s="17">
        <v>44400</v>
      </c>
      <c r="B468" s="5">
        <v>2.8844857797546863E-2</v>
      </c>
      <c r="C468" s="5">
        <v>0.83910891089108897</v>
      </c>
      <c r="D468" s="5">
        <v>9.9182228601113476E-3</v>
      </c>
      <c r="E468" s="5">
        <v>2.0936834634492474E-2</v>
      </c>
      <c r="F468" s="5">
        <v>-4.0000000000000036E-2</v>
      </c>
      <c r="G468" s="5">
        <v>7.5806655841493154E-2</v>
      </c>
      <c r="H468" s="39"/>
      <c r="I468" s="39"/>
      <c r="J468" s="39"/>
      <c r="K468" s="39"/>
      <c r="L468" s="39"/>
      <c r="M468" s="39"/>
    </row>
    <row r="469" spans="1:13" x14ac:dyDescent="0.15">
      <c r="A469" s="17">
        <v>44407</v>
      </c>
      <c r="B469" s="5">
        <v>-7.6509891261627216E-2</v>
      </c>
      <c r="C469" s="5">
        <v>-0.62449528936742937</v>
      </c>
      <c r="D469" s="5">
        <v>8.9564585664363427E-3</v>
      </c>
      <c r="E469" s="5">
        <v>4.5185957594715553E-3</v>
      </c>
      <c r="F469" s="5">
        <v>-0.1875</v>
      </c>
      <c r="G469" s="5">
        <v>0.39191389726641157</v>
      </c>
      <c r="H469" s="39"/>
      <c r="I469" s="39"/>
      <c r="J469" s="39"/>
      <c r="K469" s="39"/>
      <c r="L469" s="39"/>
      <c r="M469" s="39"/>
    </row>
    <row r="470" spans="1:13" x14ac:dyDescent="0.15">
      <c r="A470" s="17">
        <v>44414</v>
      </c>
      <c r="B470" s="5">
        <v>-3.4047382607461651E-3</v>
      </c>
      <c r="C470" s="5">
        <v>0.62724014336917566</v>
      </c>
      <c r="D470" s="5">
        <v>1.7774927996299983E-2</v>
      </c>
      <c r="E470" s="5">
        <v>1.2802768166090051E-2</v>
      </c>
      <c r="F470" s="5">
        <v>0.15384615384615397</v>
      </c>
      <c r="G470" s="5">
        <v>-8.8771280806000386E-2</v>
      </c>
      <c r="H470" s="39"/>
      <c r="I470" s="39"/>
      <c r="J470" s="39"/>
      <c r="K470" s="39"/>
      <c r="L470" s="39"/>
      <c r="M470" s="39"/>
    </row>
    <row r="471" spans="1:13" x14ac:dyDescent="0.15">
      <c r="A471" s="17">
        <v>44421</v>
      </c>
      <c r="B471" s="5">
        <v>-7.4733096085409234E-2</v>
      </c>
      <c r="C471" s="5">
        <v>-0.88546255506607929</v>
      </c>
      <c r="D471" s="5">
        <v>-1.0405370513813628E-2</v>
      </c>
      <c r="E471" s="5">
        <v>-2.9723266142808402E-2</v>
      </c>
      <c r="F471" s="5">
        <v>8.8888888888889017E-2</v>
      </c>
      <c r="G471" s="5">
        <v>0.1422901122757918</v>
      </c>
      <c r="H471" s="39" t="str">
        <f t="shared" ref="H471:M471" si="79">IF(COUNTIF(H230:H233,"Low")&gt;2,"Low","High")</f>
        <v>High</v>
      </c>
      <c r="I471" s="39" t="str">
        <f t="shared" si="79"/>
        <v>High</v>
      </c>
      <c r="J471" s="39" t="str">
        <f t="shared" si="79"/>
        <v>High</v>
      </c>
      <c r="K471" s="39" t="str">
        <f t="shared" si="79"/>
        <v>High</v>
      </c>
      <c r="L471" s="39" t="str">
        <f t="shared" si="79"/>
        <v>Low</v>
      </c>
      <c r="M471" s="39" t="str">
        <f t="shared" si="79"/>
        <v>High</v>
      </c>
    </row>
    <row r="472" spans="1:13" x14ac:dyDescent="0.15">
      <c r="A472" s="17">
        <v>44428</v>
      </c>
      <c r="B472" s="5">
        <v>0.11923076923076925</v>
      </c>
      <c r="C472" s="5">
        <v>18.288461538461537</v>
      </c>
      <c r="D472" s="5">
        <v>1.4266704933858732E-2</v>
      </c>
      <c r="E472" s="5">
        <v>2.5352112676056526E-2</v>
      </c>
      <c r="F472" s="5">
        <v>-0.22448979591836749</v>
      </c>
      <c r="G472" s="5">
        <v>-0.4082142379698277</v>
      </c>
      <c r="H472" s="39"/>
      <c r="I472" s="39"/>
      <c r="J472" s="39"/>
      <c r="K472" s="39"/>
      <c r="L472" s="39"/>
      <c r="M472" s="39"/>
    </row>
    <row r="473" spans="1:13" x14ac:dyDescent="0.15">
      <c r="A473" s="17">
        <v>44435</v>
      </c>
      <c r="B473" s="5">
        <v>-3.711340206185465E-3</v>
      </c>
      <c r="C473" s="5">
        <v>-0.27916251246261203</v>
      </c>
      <c r="D473" s="5">
        <v>2.940798172548087E-2</v>
      </c>
      <c r="E473" s="5">
        <v>3.6401098901098772E-2</v>
      </c>
      <c r="F473" s="5">
        <v>-0.18421052631578938</v>
      </c>
      <c r="G473" s="5">
        <v>0.27188660040926615</v>
      </c>
      <c r="H473" s="39"/>
      <c r="I473" s="39"/>
      <c r="J473" s="39"/>
      <c r="K473" s="39"/>
      <c r="L473" s="39"/>
      <c r="M473" s="39"/>
    </row>
    <row r="474" spans="1:13" x14ac:dyDescent="0.15">
      <c r="A474" s="17">
        <v>44442</v>
      </c>
      <c r="B474" s="5">
        <v>6.4845474613686171E-3</v>
      </c>
      <c r="C474" s="5">
        <v>-0.31811894882434311</v>
      </c>
      <c r="D474" s="5">
        <v>2.3989804333157672E-4</v>
      </c>
      <c r="E474" s="5">
        <v>-1.2259774685221991E-2</v>
      </c>
      <c r="F474" s="5">
        <v>-0.35483870967741937</v>
      </c>
      <c r="G474" s="5">
        <v>0.60581736294816957</v>
      </c>
      <c r="H474" s="39"/>
      <c r="I474" s="39"/>
      <c r="J474" s="39"/>
      <c r="K474" s="39"/>
      <c r="L474" s="39"/>
      <c r="M474" s="39"/>
    </row>
    <row r="475" spans="1:13" x14ac:dyDescent="0.15">
      <c r="A475" s="17">
        <v>44449</v>
      </c>
      <c r="B475" s="5">
        <v>3.4818368745716199E-2</v>
      </c>
      <c r="C475" s="5">
        <v>0.4989858012170385</v>
      </c>
      <c r="D475" s="5">
        <v>8.1220988042951525E-3</v>
      </c>
      <c r="E475" s="5">
        <v>7.0446159007044873E-3</v>
      </c>
      <c r="F475" s="5">
        <v>1.5</v>
      </c>
      <c r="G475" s="5">
        <v>-0.22602437988642998</v>
      </c>
      <c r="H475" s="39" t="str">
        <f t="shared" ref="H475:M475" si="80">IF(COUNTIF(H234:H237,"Low")&gt;2,"Low","High")</f>
        <v>High</v>
      </c>
      <c r="I475" s="39" t="str">
        <f t="shared" si="80"/>
        <v>High</v>
      </c>
      <c r="J475" s="39" t="str">
        <f t="shared" si="80"/>
        <v>High</v>
      </c>
      <c r="K475" s="39" t="str">
        <f t="shared" si="80"/>
        <v>High</v>
      </c>
      <c r="L475" s="39" t="str">
        <f t="shared" si="80"/>
        <v>Low</v>
      </c>
      <c r="M475" s="39" t="str">
        <f t="shared" si="80"/>
        <v>High</v>
      </c>
    </row>
    <row r="476" spans="1:13" x14ac:dyDescent="0.15">
      <c r="A476" s="17">
        <v>44456</v>
      </c>
      <c r="B476" s="5">
        <v>3.4176712147304222E-2</v>
      </c>
      <c r="C476" s="5">
        <v>0.121786197564276</v>
      </c>
      <c r="D476" s="5">
        <v>7.5833236270095306E-4</v>
      </c>
      <c r="E476" s="5">
        <v>3.6642238507660352E-3</v>
      </c>
      <c r="F476" s="5">
        <v>-1.9999999999999907E-2</v>
      </c>
      <c r="G476" s="5">
        <v>6.9797580133379444E-2</v>
      </c>
      <c r="H476" s="39"/>
      <c r="I476" s="39"/>
      <c r="J476" s="39"/>
      <c r="K476" s="39"/>
      <c r="L476" s="39"/>
      <c r="M476" s="39"/>
    </row>
    <row r="477" spans="1:13" x14ac:dyDescent="0.15">
      <c r="A477" s="17">
        <v>44463</v>
      </c>
      <c r="B477" s="5">
        <v>1.4986550531574272E-2</v>
      </c>
      <c r="C477" s="5">
        <v>-8.4439083232810574E-2</v>
      </c>
      <c r="D477" s="5">
        <v>1.2074597038801649E-2</v>
      </c>
      <c r="E477" s="5">
        <v>9.6249585131098492E-3</v>
      </c>
      <c r="F477" s="5">
        <v>-0.16326530612244916</v>
      </c>
      <c r="G477" s="5">
        <v>0.1368022427391471</v>
      </c>
      <c r="H477" s="39"/>
      <c r="I477" s="39"/>
      <c r="J477" s="39"/>
      <c r="K477" s="39"/>
      <c r="L477" s="39"/>
      <c r="M477" s="39"/>
    </row>
    <row r="478" spans="1:13" x14ac:dyDescent="0.15">
      <c r="A478" s="17">
        <v>44470</v>
      </c>
      <c r="B478" s="5">
        <v>4.2150429076224238E-2</v>
      </c>
      <c r="C478" s="5">
        <v>0.15810276679841895</v>
      </c>
      <c r="D478" s="5">
        <v>3.6948952652196443E-2</v>
      </c>
      <c r="E478" s="5">
        <v>5.1610782380012932E-2</v>
      </c>
      <c r="F478" s="5">
        <v>4.8780487804878092E-2</v>
      </c>
      <c r="G478" s="5">
        <v>-0.1334276238371267</v>
      </c>
      <c r="H478" s="39"/>
      <c r="I478" s="39"/>
      <c r="J478" s="39"/>
      <c r="K478" s="39"/>
      <c r="L478" s="39"/>
      <c r="M478" s="39"/>
    </row>
    <row r="479" spans="1:13" x14ac:dyDescent="0.15">
      <c r="A479" s="17">
        <v>44477</v>
      </c>
      <c r="B479" s="5">
        <v>2.8336158876241191E-2</v>
      </c>
      <c r="C479" s="5">
        <v>0.10238907849829348</v>
      </c>
      <c r="D479" s="5">
        <v>5.6205757432750136E-3</v>
      </c>
      <c r="E479" s="5">
        <v>2.0318849640512671E-2</v>
      </c>
      <c r="F479" s="5">
        <v>0</v>
      </c>
      <c r="G479" s="5">
        <v>0.20604073729449701</v>
      </c>
      <c r="H479" s="39" t="str">
        <f t="shared" ref="H479:M479" si="81">IF(COUNTIF(H238:H241,"Low")&gt;2,"Low","High")</f>
        <v>High</v>
      </c>
      <c r="I479" s="39" t="str">
        <f t="shared" si="81"/>
        <v>High</v>
      </c>
      <c r="J479" s="39" t="str">
        <f t="shared" si="81"/>
        <v>High</v>
      </c>
      <c r="K479" s="39" t="str">
        <f t="shared" si="81"/>
        <v>Low</v>
      </c>
      <c r="L479" s="39" t="str">
        <f t="shared" si="81"/>
        <v>Low</v>
      </c>
      <c r="M479" s="39" t="str">
        <f t="shared" si="81"/>
        <v>High</v>
      </c>
    </row>
    <row r="480" spans="1:13" x14ac:dyDescent="0.15">
      <c r="A480" s="17">
        <v>44484</v>
      </c>
      <c r="B480" s="5">
        <v>1.0009420631182264E-2</v>
      </c>
      <c r="C480" s="5">
        <v>-0.2683178534571723</v>
      </c>
      <c r="D480" s="5">
        <v>-1.521885016260649E-2</v>
      </c>
      <c r="E480" s="5">
        <v>9.1911764705887578E-4</v>
      </c>
      <c r="F480" s="5">
        <v>-0.16279069767441856</v>
      </c>
      <c r="G480" s="5">
        <v>-0.11917404981914537</v>
      </c>
      <c r="H480" s="39"/>
      <c r="I480" s="39"/>
      <c r="J480" s="39"/>
      <c r="K480" s="39"/>
      <c r="L480" s="39"/>
      <c r="M480" s="39"/>
    </row>
    <row r="481" spans="1:13" x14ac:dyDescent="0.15">
      <c r="A481" s="17">
        <v>44491</v>
      </c>
      <c r="B481" s="5">
        <v>-1.6206132680424368E-2</v>
      </c>
      <c r="C481" s="5">
        <v>-0.44569816643159377</v>
      </c>
      <c r="D481" s="5">
        <v>-1.1189051122717397E-2</v>
      </c>
      <c r="E481" s="5">
        <v>-2.0508111417202324E-2</v>
      </c>
      <c r="F481" s="5">
        <v>-0.22222222222222232</v>
      </c>
      <c r="G481" s="5">
        <v>-0.30553802367495153</v>
      </c>
      <c r="H481" s="39"/>
      <c r="I481" s="39"/>
      <c r="J481" s="39"/>
      <c r="K481" s="39"/>
      <c r="L481" s="39"/>
      <c r="M481" s="39"/>
    </row>
    <row r="482" spans="1:13" x14ac:dyDescent="0.15">
      <c r="A482" s="17">
        <v>44498</v>
      </c>
      <c r="B482" s="5">
        <v>-2.1687603697558622E-2</v>
      </c>
      <c r="C482" s="5">
        <v>-0.52671755725190839</v>
      </c>
      <c r="D482" s="5">
        <v>5.966265060241005E-3</v>
      </c>
      <c r="E482" s="5">
        <v>-2.1875000000000089E-3</v>
      </c>
      <c r="F482" s="5">
        <v>0.14285714285714302</v>
      </c>
      <c r="G482" s="5">
        <v>0.45688220932205614</v>
      </c>
      <c r="H482" s="39"/>
      <c r="I482" s="39"/>
      <c r="J482" s="39"/>
      <c r="K482" s="39"/>
      <c r="L482" s="39"/>
      <c r="M482" s="39"/>
    </row>
    <row r="483" spans="1:13" x14ac:dyDescent="0.15">
      <c r="A483" s="17">
        <v>44505</v>
      </c>
      <c r="B483" s="5">
        <v>-7.2683222289521288E-3</v>
      </c>
      <c r="C483" s="5">
        <v>-5.9139784946236618E-2</v>
      </c>
      <c r="D483" s="5">
        <v>-1.2719294043250451E-2</v>
      </c>
      <c r="E483" s="5">
        <v>-2.0670216097713801E-2</v>
      </c>
      <c r="F483" s="5">
        <v>-9.3750000000000111E-2</v>
      </c>
      <c r="G483" s="5">
        <v>-0.21878686095073174</v>
      </c>
      <c r="H483" s="39" t="str">
        <f t="shared" ref="H483:M483" si="82">IF(COUNTIF(H242:H245,"Low")&gt;2,"Low","High")</f>
        <v>Low</v>
      </c>
      <c r="I483" s="39" t="str">
        <f t="shared" si="82"/>
        <v>High</v>
      </c>
      <c r="J483" s="39" t="str">
        <f t="shared" si="82"/>
        <v>Low</v>
      </c>
      <c r="K483" s="39" t="str">
        <f t="shared" si="82"/>
        <v>Low</v>
      </c>
      <c r="L483" s="39" t="str">
        <f t="shared" si="82"/>
        <v>Low</v>
      </c>
      <c r="M483" s="39" t="str">
        <f t="shared" si="82"/>
        <v>High</v>
      </c>
    </row>
    <row r="484" spans="1:13" x14ac:dyDescent="0.15">
      <c r="A484" s="17">
        <v>44512</v>
      </c>
      <c r="B484" s="5">
        <v>-4.0146430750457651E-2</v>
      </c>
      <c r="C484" s="5">
        <v>-0.98285714285714287</v>
      </c>
      <c r="D484" s="5">
        <v>-2.5521270556038145E-2</v>
      </c>
      <c r="E484" s="5">
        <v>-4.3172369683402545E-2</v>
      </c>
      <c r="F484" s="5">
        <v>0.13793103448275867</v>
      </c>
      <c r="G484" s="5">
        <v>0.11793600999234322</v>
      </c>
      <c r="H484" s="39"/>
      <c r="I484" s="39"/>
      <c r="J484" s="39"/>
      <c r="K484" s="39"/>
      <c r="L484" s="39"/>
      <c r="M484" s="39"/>
    </row>
    <row r="485" spans="1:13" x14ac:dyDescent="0.15">
      <c r="A485" s="17">
        <v>44519</v>
      </c>
      <c r="B485" s="5">
        <v>-7.33536740401729E-2</v>
      </c>
      <c r="C485" s="5">
        <v>-68.333333333333343</v>
      </c>
      <c r="D485" s="5">
        <v>-5.1161841119191642E-2</v>
      </c>
      <c r="E485" s="5">
        <v>-7.5200534759358284E-2</v>
      </c>
      <c r="F485" s="5">
        <v>-0.15151515151515149</v>
      </c>
      <c r="G485" s="5">
        <v>-0.36185127932269179</v>
      </c>
      <c r="H485" s="39"/>
      <c r="I485" s="39"/>
      <c r="J485" s="39"/>
      <c r="K485" s="39"/>
      <c r="L485" s="39"/>
      <c r="M485" s="39"/>
    </row>
    <row r="486" spans="1:13" x14ac:dyDescent="0.15">
      <c r="A486" s="17">
        <v>44526</v>
      </c>
      <c r="B486" s="5">
        <v>-3.7728083413362645E-2</v>
      </c>
      <c r="C486" s="5">
        <v>-3.222772277227723</v>
      </c>
      <c r="D486" s="5">
        <v>2.6785761142803066E-2</v>
      </c>
      <c r="E486" s="5">
        <v>4.1741958800144419E-2</v>
      </c>
      <c r="F486" s="5">
        <v>0</v>
      </c>
      <c r="G486" s="5">
        <v>0.92052412478490875</v>
      </c>
      <c r="H486" s="39"/>
      <c r="I486" s="39"/>
      <c r="J486" s="39"/>
      <c r="K486" s="39"/>
      <c r="L486" s="39"/>
      <c r="M486" s="39"/>
    </row>
    <row r="487" spans="1:13" x14ac:dyDescent="0.15">
      <c r="A487" s="17">
        <v>44533</v>
      </c>
      <c r="B487" s="5">
        <v>7.3139435414884435E-2</v>
      </c>
      <c r="C487" s="5">
        <v>0.38975501113585742</v>
      </c>
      <c r="D487" s="5">
        <v>-3.9056390650795025E-2</v>
      </c>
      <c r="E487" s="5">
        <v>-2.6539462272333059E-2</v>
      </c>
      <c r="F487" s="5">
        <v>0</v>
      </c>
      <c r="G487" s="5">
        <v>-5.3619996842472539E-2</v>
      </c>
      <c r="H487" s="39" t="str">
        <f t="shared" ref="H487:M487" si="83">IF(COUNTIF(H246:H249,"Low")&gt;2,"Low","High")</f>
        <v>High</v>
      </c>
      <c r="I487" s="39" t="str">
        <f t="shared" si="83"/>
        <v>High</v>
      </c>
      <c r="J487" s="39" t="str">
        <f t="shared" si="83"/>
        <v>High</v>
      </c>
      <c r="K487" s="39" t="str">
        <f t="shared" si="83"/>
        <v>High</v>
      </c>
      <c r="L487" s="39" t="str">
        <f t="shared" si="83"/>
        <v>High</v>
      </c>
      <c r="M487" s="39" t="str">
        <f t="shared" si="83"/>
        <v>High</v>
      </c>
    </row>
    <row r="488" spans="1:13" x14ac:dyDescent="0.15">
      <c r="A488" s="17">
        <v>44540</v>
      </c>
      <c r="B488" s="5">
        <v>-3.1885213232363374E-2</v>
      </c>
      <c r="C488" s="5">
        <v>6.0897435897435903E-2</v>
      </c>
      <c r="D488" s="5">
        <v>-9.8291859806448612E-3</v>
      </c>
      <c r="E488" s="5">
        <v>-2.1739130434782594E-2</v>
      </c>
      <c r="F488" s="5">
        <v>-0.1785714285714286</v>
      </c>
      <c r="G488" s="5">
        <v>-0.25261086755876472</v>
      </c>
      <c r="H488" s="39"/>
      <c r="I488" s="39"/>
      <c r="J488" s="39"/>
      <c r="K488" s="39"/>
      <c r="L488" s="39"/>
      <c r="M488" s="39"/>
    </row>
    <row r="489" spans="1:13" x14ac:dyDescent="0.15">
      <c r="A489" s="17">
        <v>44547</v>
      </c>
      <c r="H489" s="39"/>
      <c r="I489" s="39"/>
      <c r="J489" s="39"/>
      <c r="K489" s="39"/>
      <c r="L489" s="39"/>
      <c r="M489" s="39"/>
    </row>
    <row r="490" spans="1:13" x14ac:dyDescent="0.15">
      <c r="A490" s="25"/>
      <c r="B490" s="25"/>
      <c r="C490" s="25"/>
      <c r="D490" s="25"/>
      <c r="E490" s="25"/>
      <c r="F490" s="25"/>
      <c r="G490" s="25"/>
      <c r="H490" s="40"/>
      <c r="I490" s="40"/>
      <c r="J490" s="40"/>
      <c r="K490" s="40"/>
      <c r="L490" s="40"/>
      <c r="M490" s="40"/>
    </row>
  </sheetData>
  <mergeCells count="362">
    <mergeCell ref="M475:M478"/>
    <mergeCell ref="M479:M482"/>
    <mergeCell ref="M483:M486"/>
    <mergeCell ref="M487:M490"/>
    <mergeCell ref="B249:G249"/>
    <mergeCell ref="M451:M454"/>
    <mergeCell ref="M455:M458"/>
    <mergeCell ref="M459:M462"/>
    <mergeCell ref="M463:M466"/>
    <mergeCell ref="M467:M470"/>
    <mergeCell ref="M471:M474"/>
    <mergeCell ref="M427:M430"/>
    <mergeCell ref="M431:M434"/>
    <mergeCell ref="M435:M438"/>
    <mergeCell ref="M439:M442"/>
    <mergeCell ref="M443:M446"/>
    <mergeCell ref="M447:M450"/>
    <mergeCell ref="M403:M406"/>
    <mergeCell ref="M407:M410"/>
    <mergeCell ref="M411:M414"/>
    <mergeCell ref="M415:M418"/>
    <mergeCell ref="M419:M422"/>
    <mergeCell ref="M423:M426"/>
    <mergeCell ref="M379:M382"/>
    <mergeCell ref="M383:M386"/>
    <mergeCell ref="M387:M390"/>
    <mergeCell ref="M391:M394"/>
    <mergeCell ref="M395:M398"/>
    <mergeCell ref="M399:M402"/>
    <mergeCell ref="M355:M358"/>
    <mergeCell ref="M359:M362"/>
    <mergeCell ref="M363:M366"/>
    <mergeCell ref="M367:M370"/>
    <mergeCell ref="M371:M374"/>
    <mergeCell ref="M375:M378"/>
    <mergeCell ref="K475:K478"/>
    <mergeCell ref="K479:K482"/>
    <mergeCell ref="K483:K486"/>
    <mergeCell ref="K423:K426"/>
    <mergeCell ref="K379:K382"/>
    <mergeCell ref="K383:K386"/>
    <mergeCell ref="K387:K390"/>
    <mergeCell ref="K391:K394"/>
    <mergeCell ref="K395:K398"/>
    <mergeCell ref="K399:K402"/>
    <mergeCell ref="K447:K450"/>
    <mergeCell ref="K403:K406"/>
    <mergeCell ref="K407:K410"/>
    <mergeCell ref="K411:K414"/>
    <mergeCell ref="K415:K418"/>
    <mergeCell ref="K419:K422"/>
    <mergeCell ref="K359:K362"/>
    <mergeCell ref="K363:K366"/>
    <mergeCell ref="K307:K310"/>
    <mergeCell ref="K311:K314"/>
    <mergeCell ref="K315:K318"/>
    <mergeCell ref="K319:K322"/>
    <mergeCell ref="K323:K326"/>
    <mergeCell ref="K327:K330"/>
    <mergeCell ref="K283:K286"/>
    <mergeCell ref="K287:K290"/>
    <mergeCell ref="K291:K294"/>
    <mergeCell ref="K295:K298"/>
    <mergeCell ref="K299:K302"/>
    <mergeCell ref="K303:K306"/>
    <mergeCell ref="K347:K350"/>
    <mergeCell ref="K351:K354"/>
    <mergeCell ref="M295:M298"/>
    <mergeCell ref="M299:M302"/>
    <mergeCell ref="M303:M306"/>
    <mergeCell ref="K355:K358"/>
    <mergeCell ref="L307:L310"/>
    <mergeCell ref="L311:L314"/>
    <mergeCell ref="L315:L318"/>
    <mergeCell ref="M347:M350"/>
    <mergeCell ref="M351:M354"/>
    <mergeCell ref="M307:M310"/>
    <mergeCell ref="M311:M314"/>
    <mergeCell ref="M315:M318"/>
    <mergeCell ref="M319:M322"/>
    <mergeCell ref="M323:M326"/>
    <mergeCell ref="M327:M330"/>
    <mergeCell ref="M331:M334"/>
    <mergeCell ref="M335:M338"/>
    <mergeCell ref="M339:M342"/>
    <mergeCell ref="M343:M346"/>
    <mergeCell ref="L355:L358"/>
    <mergeCell ref="L319:L322"/>
    <mergeCell ref="L323:L326"/>
    <mergeCell ref="L327:L330"/>
    <mergeCell ref="L359:L362"/>
    <mergeCell ref="L363:L366"/>
    <mergeCell ref="L367:L370"/>
    <mergeCell ref="L371:L374"/>
    <mergeCell ref="L331:L334"/>
    <mergeCell ref="L335:L338"/>
    <mergeCell ref="K487:K490"/>
    <mergeCell ref="M259:M262"/>
    <mergeCell ref="M263:M266"/>
    <mergeCell ref="M267:M270"/>
    <mergeCell ref="M271:M274"/>
    <mergeCell ref="M275:M278"/>
    <mergeCell ref="M279:M282"/>
    <mergeCell ref="K451:K454"/>
    <mergeCell ref="K455:K458"/>
    <mergeCell ref="K459:K462"/>
    <mergeCell ref="K463:K466"/>
    <mergeCell ref="K467:K470"/>
    <mergeCell ref="K471:K474"/>
    <mergeCell ref="K427:K430"/>
    <mergeCell ref="K431:K434"/>
    <mergeCell ref="K435:K438"/>
    <mergeCell ref="K439:K442"/>
    <mergeCell ref="K443:K446"/>
    <mergeCell ref="L423:L426"/>
    <mergeCell ref="L379:L382"/>
    <mergeCell ref="L383:L386"/>
    <mergeCell ref="L391:L394"/>
    <mergeCell ref="L395:L398"/>
    <mergeCell ref="L399:L402"/>
    <mergeCell ref="L447:L450"/>
    <mergeCell ref="L403:L406"/>
    <mergeCell ref="L407:L410"/>
    <mergeCell ref="L411:L414"/>
    <mergeCell ref="L415:L418"/>
    <mergeCell ref="L419:L422"/>
    <mergeCell ref="L487:L490"/>
    <mergeCell ref="K259:K262"/>
    <mergeCell ref="K263:K266"/>
    <mergeCell ref="K267:K270"/>
    <mergeCell ref="K271:K274"/>
    <mergeCell ref="K275:K278"/>
    <mergeCell ref="K279:K282"/>
    <mergeCell ref="L451:L454"/>
    <mergeCell ref="L455:L458"/>
    <mergeCell ref="L459:L462"/>
    <mergeCell ref="L463:L466"/>
    <mergeCell ref="L467:L470"/>
    <mergeCell ref="L471:L474"/>
    <mergeCell ref="L427:L430"/>
    <mergeCell ref="L431:L434"/>
    <mergeCell ref="L435:L438"/>
    <mergeCell ref="L439:L442"/>
    <mergeCell ref="L443:L446"/>
    <mergeCell ref="L299:L302"/>
    <mergeCell ref="L303:L306"/>
    <mergeCell ref="L387:L390"/>
    <mergeCell ref="L475:L478"/>
    <mergeCell ref="L479:L482"/>
    <mergeCell ref="L483:L486"/>
    <mergeCell ref="J475:J478"/>
    <mergeCell ref="J479:J482"/>
    <mergeCell ref="J483:J486"/>
    <mergeCell ref="J423:J426"/>
    <mergeCell ref="J379:J382"/>
    <mergeCell ref="J383:J386"/>
    <mergeCell ref="J387:J390"/>
    <mergeCell ref="J391:J394"/>
    <mergeCell ref="J395:J398"/>
    <mergeCell ref="J399:J402"/>
    <mergeCell ref="J355:J358"/>
    <mergeCell ref="J359:J362"/>
    <mergeCell ref="J363:J366"/>
    <mergeCell ref="J367:J370"/>
    <mergeCell ref="J371:J374"/>
    <mergeCell ref="J375:J378"/>
    <mergeCell ref="J331:J334"/>
    <mergeCell ref="J335:J338"/>
    <mergeCell ref="L339:L342"/>
    <mergeCell ref="L343:L346"/>
    <mergeCell ref="L347:L350"/>
    <mergeCell ref="L351:L354"/>
    <mergeCell ref="J343:J346"/>
    <mergeCell ref="J347:J350"/>
    <mergeCell ref="J351:J354"/>
    <mergeCell ref="J339:J342"/>
    <mergeCell ref="K367:K370"/>
    <mergeCell ref="K371:K374"/>
    <mergeCell ref="K375:K378"/>
    <mergeCell ref="K331:K334"/>
    <mergeCell ref="K335:K338"/>
    <mergeCell ref="L375:L378"/>
    <mergeCell ref="K339:K342"/>
    <mergeCell ref="K343:K346"/>
    <mergeCell ref="J487:J490"/>
    <mergeCell ref="L259:L262"/>
    <mergeCell ref="L263:L266"/>
    <mergeCell ref="L267:L270"/>
    <mergeCell ref="L271:L274"/>
    <mergeCell ref="L275:L278"/>
    <mergeCell ref="L279:L282"/>
    <mergeCell ref="J451:J454"/>
    <mergeCell ref="J455:J458"/>
    <mergeCell ref="J459:J462"/>
    <mergeCell ref="J463:J466"/>
    <mergeCell ref="J467:J470"/>
    <mergeCell ref="J471:J474"/>
    <mergeCell ref="J427:J430"/>
    <mergeCell ref="J431:J434"/>
    <mergeCell ref="J435:J438"/>
    <mergeCell ref="J439:J442"/>
    <mergeCell ref="J443:J446"/>
    <mergeCell ref="J447:J450"/>
    <mergeCell ref="J403:J406"/>
    <mergeCell ref="J407:J410"/>
    <mergeCell ref="J411:J414"/>
    <mergeCell ref="J415:J418"/>
    <mergeCell ref="J419:J422"/>
    <mergeCell ref="J307:J310"/>
    <mergeCell ref="J311:J314"/>
    <mergeCell ref="J315:J318"/>
    <mergeCell ref="J319:J322"/>
    <mergeCell ref="J323:J326"/>
    <mergeCell ref="J327:J330"/>
    <mergeCell ref="J299:J302"/>
    <mergeCell ref="J303:J306"/>
    <mergeCell ref="J259:J262"/>
    <mergeCell ref="J263:J266"/>
    <mergeCell ref="J267:J270"/>
    <mergeCell ref="J271:J274"/>
    <mergeCell ref="J275:J278"/>
    <mergeCell ref="J279:J282"/>
    <mergeCell ref="I467:I470"/>
    <mergeCell ref="I471:I474"/>
    <mergeCell ref="I475:I478"/>
    <mergeCell ref="I479:I482"/>
    <mergeCell ref="I483:I486"/>
    <mergeCell ref="I487:I490"/>
    <mergeCell ref="I443:I446"/>
    <mergeCell ref="I447:I450"/>
    <mergeCell ref="I451:I454"/>
    <mergeCell ref="I455:I458"/>
    <mergeCell ref="I459:I462"/>
    <mergeCell ref="I463:I466"/>
    <mergeCell ref="I419:I422"/>
    <mergeCell ref="I423:I426"/>
    <mergeCell ref="I427:I430"/>
    <mergeCell ref="I431:I434"/>
    <mergeCell ref="I435:I438"/>
    <mergeCell ref="I439:I442"/>
    <mergeCell ref="I395:I398"/>
    <mergeCell ref="I399:I402"/>
    <mergeCell ref="I403:I406"/>
    <mergeCell ref="I407:I410"/>
    <mergeCell ref="I411:I414"/>
    <mergeCell ref="I415:I418"/>
    <mergeCell ref="I371:I374"/>
    <mergeCell ref="I375:I378"/>
    <mergeCell ref="I379:I382"/>
    <mergeCell ref="I383:I386"/>
    <mergeCell ref="I387:I390"/>
    <mergeCell ref="I391:I394"/>
    <mergeCell ref="I347:I350"/>
    <mergeCell ref="I351:I354"/>
    <mergeCell ref="I355:I358"/>
    <mergeCell ref="I359:I362"/>
    <mergeCell ref="I363:I366"/>
    <mergeCell ref="I367:I370"/>
    <mergeCell ref="I323:I326"/>
    <mergeCell ref="I327:I330"/>
    <mergeCell ref="I331:I334"/>
    <mergeCell ref="I335:I338"/>
    <mergeCell ref="I339:I342"/>
    <mergeCell ref="I343:I346"/>
    <mergeCell ref="I299:I302"/>
    <mergeCell ref="I303:I306"/>
    <mergeCell ref="I307:I310"/>
    <mergeCell ref="I311:I314"/>
    <mergeCell ref="I315:I318"/>
    <mergeCell ref="I319:I322"/>
    <mergeCell ref="I275:I278"/>
    <mergeCell ref="I279:I282"/>
    <mergeCell ref="I283:I286"/>
    <mergeCell ref="I287:I290"/>
    <mergeCell ref="I291:I294"/>
    <mergeCell ref="I295:I298"/>
    <mergeCell ref="L251:L254"/>
    <mergeCell ref="M251:M254"/>
    <mergeCell ref="I255:I258"/>
    <mergeCell ref="J255:J258"/>
    <mergeCell ref="K255:K258"/>
    <mergeCell ref="L255:L258"/>
    <mergeCell ref="M255:M258"/>
    <mergeCell ref="J283:J286"/>
    <mergeCell ref="J287:J290"/>
    <mergeCell ref="J291:J294"/>
    <mergeCell ref="J295:J298"/>
    <mergeCell ref="L283:L286"/>
    <mergeCell ref="L287:L290"/>
    <mergeCell ref="L291:L294"/>
    <mergeCell ref="L295:L298"/>
    <mergeCell ref="M283:M286"/>
    <mergeCell ref="M287:M290"/>
    <mergeCell ref="M291:M294"/>
    <mergeCell ref="H487:H490"/>
    <mergeCell ref="I251:I254"/>
    <mergeCell ref="J251:J254"/>
    <mergeCell ref="K251:K254"/>
    <mergeCell ref="I259:I262"/>
    <mergeCell ref="I263:I266"/>
    <mergeCell ref="I267:I270"/>
    <mergeCell ref="I271:I274"/>
    <mergeCell ref="H463:H466"/>
    <mergeCell ref="H467:H470"/>
    <mergeCell ref="H471:H474"/>
    <mergeCell ref="H475:H478"/>
    <mergeCell ref="H479:H482"/>
    <mergeCell ref="H483:H486"/>
    <mergeCell ref="H439:H442"/>
    <mergeCell ref="H443:H446"/>
    <mergeCell ref="H447:H450"/>
    <mergeCell ref="H451:H454"/>
    <mergeCell ref="H455:H458"/>
    <mergeCell ref="H459:H462"/>
    <mergeCell ref="H415:H418"/>
    <mergeCell ref="H419:H422"/>
    <mergeCell ref="H423:H426"/>
    <mergeCell ref="H427:H430"/>
    <mergeCell ref="H431:H434"/>
    <mergeCell ref="H435:H438"/>
    <mergeCell ref="H391:H394"/>
    <mergeCell ref="H395:H398"/>
    <mergeCell ref="H399:H402"/>
    <mergeCell ref="H403:H406"/>
    <mergeCell ref="H407:H410"/>
    <mergeCell ref="H411:H414"/>
    <mergeCell ref="H367:H370"/>
    <mergeCell ref="H371:H374"/>
    <mergeCell ref="H375:H378"/>
    <mergeCell ref="H379:H382"/>
    <mergeCell ref="H383:H386"/>
    <mergeCell ref="H387:H390"/>
    <mergeCell ref="H343:H346"/>
    <mergeCell ref="H347:H350"/>
    <mergeCell ref="H351:H354"/>
    <mergeCell ref="H355:H358"/>
    <mergeCell ref="H359:H362"/>
    <mergeCell ref="H363:H366"/>
    <mergeCell ref="H319:H322"/>
    <mergeCell ref="H323:H326"/>
    <mergeCell ref="H327:H330"/>
    <mergeCell ref="H331:H334"/>
    <mergeCell ref="H335:H338"/>
    <mergeCell ref="H339:H342"/>
    <mergeCell ref="H307:H310"/>
    <mergeCell ref="H311:H314"/>
    <mergeCell ref="H315:H318"/>
    <mergeCell ref="H271:H274"/>
    <mergeCell ref="H275:H278"/>
    <mergeCell ref="H279:H282"/>
    <mergeCell ref="H283:H286"/>
    <mergeCell ref="H287:H290"/>
    <mergeCell ref="H291:H294"/>
    <mergeCell ref="B7:G7"/>
    <mergeCell ref="H251:H254"/>
    <mergeCell ref="H255:H258"/>
    <mergeCell ref="H259:H262"/>
    <mergeCell ref="H263:H266"/>
    <mergeCell ref="H267:H270"/>
    <mergeCell ref="H295:H298"/>
    <mergeCell ref="H299:H302"/>
    <mergeCell ref="H303:H306"/>
  </mergeCells>
  <conditionalFormatting sqref="B10:B24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{29B42D53-3B98-424E-A662-985E09D7FCF4}</x14:id>
        </ext>
      </extLst>
    </cfRule>
  </conditionalFormatting>
  <conditionalFormatting sqref="B251:B48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{6828E164-6E11-456B-8990-0444B78FCC12}</x14:id>
        </ext>
      </extLst>
    </cfRule>
  </conditionalFormatting>
  <conditionalFormatting sqref="C10:C24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{B4EA9D5E-292B-4E72-9A11-517B2ACC7E3A}</x14:id>
        </ext>
      </extLst>
    </cfRule>
  </conditionalFormatting>
  <conditionalFormatting sqref="C251:C48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{898D4371-8AD9-4D21-81CA-872F3624695E}</x14:id>
        </ext>
      </extLst>
    </cfRule>
  </conditionalFormatting>
  <conditionalFormatting sqref="D10:D24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{6AB00169-A613-4A7D-8E22-F315D378EA02}</x14:id>
        </ext>
      </extLst>
    </cfRule>
  </conditionalFormatting>
  <conditionalFormatting sqref="D251:D48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{9A202C11-C895-434B-B1DD-B395B8A923B7}</x14:id>
        </ext>
      </extLst>
    </cfRule>
  </conditionalFormatting>
  <conditionalFormatting sqref="E10:E24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{EF3BE1E3-0494-4640-8257-8FB10B49607B}</x14:id>
        </ext>
      </extLst>
    </cfRule>
  </conditionalFormatting>
  <conditionalFormatting sqref="E251:E48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{153EEA5C-0CBC-4A0A-ABE4-B4A4EDCC37EE}</x14:id>
        </ext>
      </extLst>
    </cfRule>
  </conditionalFormatting>
  <conditionalFormatting sqref="F10:F24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{19644683-4B02-400E-BE3B-563A3F36AF84}</x14:id>
        </ext>
      </extLst>
    </cfRule>
  </conditionalFormatting>
  <conditionalFormatting sqref="F251:F48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{9B14ABB3-A722-49B3-A9F8-785DD08C4C3C}</x14:id>
        </ext>
      </extLst>
    </cfRule>
  </conditionalFormatting>
  <conditionalFormatting sqref="G10:G24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{08DEF5D9-E633-43FE-97C8-168E6B0E5025}</x14:id>
        </ext>
      </extLst>
    </cfRule>
  </conditionalFormatting>
  <conditionalFormatting sqref="G251:G48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{C74CF32C-2345-4CCD-90E7-EF6828409703}</x14:id>
        </ext>
      </extLst>
    </cfRule>
  </conditionalFormatting>
  <conditionalFormatting sqref="H10:M247">
    <cfRule type="containsText" dxfId="3" priority="9" operator="containsText" text="High">
      <formula>NOT(ISERROR(SEARCH("High",H10)))</formula>
    </cfRule>
    <cfRule type="containsText" dxfId="2" priority="10" operator="containsText" text="Low">
      <formula>NOT(ISERROR(SEARCH("Low",H10)))</formula>
    </cfRule>
  </conditionalFormatting>
  <conditionalFormatting sqref="H251:M490">
    <cfRule type="containsText" dxfId="1" priority="1" operator="containsText" text="Low">
      <formula>NOT(ISERROR(SEARCH("Low",H251)))</formula>
    </cfRule>
    <cfRule type="containsText" dxfId="0" priority="2" operator="containsText" text="High">
      <formula>NOT(ISERROR(SEARCH("High",H251)))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B42D53-3B98-424E-A662-985E09D7F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B10:B247</xm:sqref>
        </x14:conditionalFormatting>
        <x14:conditionalFormatting xmlns:xm="http://schemas.microsoft.com/office/excel/2006/main">
          <x14:cfRule type="dataBar" id="{6828E164-6E11-456B-8990-0444B78FCC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B251:B488</xm:sqref>
        </x14:conditionalFormatting>
        <x14:conditionalFormatting xmlns:xm="http://schemas.microsoft.com/office/excel/2006/main">
          <x14:cfRule type="dataBar" id="{B4EA9D5E-292B-4E72-9A11-517B2ACC7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C10:C247</xm:sqref>
        </x14:conditionalFormatting>
        <x14:conditionalFormatting xmlns:xm="http://schemas.microsoft.com/office/excel/2006/main">
          <x14:cfRule type="dataBar" id="{898D4371-8AD9-4D21-81CA-872F36246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C251:C488</xm:sqref>
        </x14:conditionalFormatting>
        <x14:conditionalFormatting xmlns:xm="http://schemas.microsoft.com/office/excel/2006/main">
          <x14:cfRule type="dataBar" id="{6AB00169-A613-4A7D-8E22-F315D378EA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D10:D247</xm:sqref>
        </x14:conditionalFormatting>
        <x14:conditionalFormatting xmlns:xm="http://schemas.microsoft.com/office/excel/2006/main">
          <x14:cfRule type="dataBar" id="{9A202C11-C895-434B-B1DD-B395B8A92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D251:D488</xm:sqref>
        </x14:conditionalFormatting>
        <x14:conditionalFormatting xmlns:xm="http://schemas.microsoft.com/office/excel/2006/main">
          <x14:cfRule type="dataBar" id="{EF3BE1E3-0494-4640-8257-8FB10B4960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E10:E247</xm:sqref>
        </x14:conditionalFormatting>
        <x14:conditionalFormatting xmlns:xm="http://schemas.microsoft.com/office/excel/2006/main">
          <x14:cfRule type="dataBar" id="{153EEA5C-0CBC-4A0A-ABE4-B4A4EDCC37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E251:E488</xm:sqref>
        </x14:conditionalFormatting>
        <x14:conditionalFormatting xmlns:xm="http://schemas.microsoft.com/office/excel/2006/main">
          <x14:cfRule type="dataBar" id="{19644683-4B02-400E-BE3B-563A3F36AF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F10:F247</xm:sqref>
        </x14:conditionalFormatting>
        <x14:conditionalFormatting xmlns:xm="http://schemas.microsoft.com/office/excel/2006/main">
          <x14:cfRule type="dataBar" id="{9B14ABB3-A722-49B3-A9F8-785DD08C4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F251:F488</xm:sqref>
        </x14:conditionalFormatting>
        <x14:conditionalFormatting xmlns:xm="http://schemas.microsoft.com/office/excel/2006/main">
          <x14:cfRule type="dataBar" id="{08DEF5D9-E633-43FE-97C8-168E6B0E5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G10:G247</xm:sqref>
        </x14:conditionalFormatting>
        <x14:conditionalFormatting xmlns:xm="http://schemas.microsoft.com/office/excel/2006/main">
          <x14:cfRule type="dataBar" id="{C74CF32C-2345-4CCD-90E7-EF6828409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G251:G488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plots_reg</vt:lpstr>
      <vt:lpstr>plots_analysis</vt:lpstr>
      <vt:lpstr>Regression</vt:lpstr>
      <vt:lpstr>Loadings_timeseries</vt:lpstr>
      <vt:lpstr>Expanded_regression</vt:lpstr>
      <vt:lpstr>Filtered_data_expand_reg</vt:lpstr>
      <vt:lpstr>Matrix_analysis</vt:lpstr>
      <vt:lpstr>plots_reg!Print_Area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Louraoui</dc:creator>
  <cp:lastModifiedBy>youssef louraoui</cp:lastModifiedBy>
  <dcterms:created xsi:type="dcterms:W3CDTF">2022-10-07T15:55:32Z</dcterms:created>
  <dcterms:modified xsi:type="dcterms:W3CDTF">2025-11-26T15:22:25Z</dcterms:modified>
</cp:coreProperties>
</file>