
<file path=[Content_Types].xml><?xml version="1.0" encoding="utf-8"?>
<Types xmlns="http://schemas.openxmlformats.org/package/2006/content-type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3.xml" ContentType="application/vnd.openxmlformats-officedocument.spreadsheetml.chart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queryTables/queryTable3.xml" ContentType="application/vnd.openxmlformats-officedocument.spreadsheetml.queryTable+xml"/>
  <Override PartName="/xl/comments2.xml" ContentType="application/vnd.openxmlformats-officedocument.spreadsheetml.comments+xml"/>
  <Override PartName="/xl/threadedComments/threadedComment2.xml" ContentType="application/vnd.ms-excel.threadedcomments+xml"/>
  <Override PartName="/xl/charts/chart3.xml" ContentType="application/vnd.openxmlformats-officedocument.drawingml.chart+xml"/>
  <Override PartName="/xl/theme/themeOverride3.xml" ContentType="application/vnd.openxmlformats-officedocument.themeOverride+xml"/>
  <Override PartName="/xl/charts/chart4.xml" ContentType="application/vnd.openxmlformats-officedocument.drawingml.chart+xml"/>
  <Override PartName="/xl/theme/themeOverride4.xml" ContentType="application/vnd.openxmlformats-officedocument.themeOverride+xml"/>
  <Override PartName="/xl/drawings/drawing4.xml" ContentType="application/vnd.openxmlformats-officedocument.drawing+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queryTables/queryTable4.xml" ContentType="application/vnd.openxmlformats-officedocument.spreadsheetml.queryTable+xml"/>
  <Override PartName="/xl/comments4.xml" ContentType="application/vnd.openxmlformats-officedocument.spreadsheetml.comments+xml"/>
  <Override PartName="/xl/threadedComments/threadedComment4.xml" ContentType="application/vnd.ms-excel.threadedcomments+xml"/>
  <Override PartName="/xl/drawings/drawing8.xml" ContentType="application/vnd.openxmlformats-officedocument.drawing+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harts/chart17.xml" ContentType="application/vnd.openxmlformats-officedocument.drawingml.chart+xml"/>
  <Override PartName="/xl/theme/themeOverride6.xml" ContentType="application/vnd.openxmlformats-officedocument.themeOverride+xml"/>
  <Override PartName="/xl/queryTables/queryTable5.xml" ContentType="application/vnd.openxmlformats-officedocument.spreadsheetml.queryTable+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workbookPr/>
  <mc:AlternateContent xmlns:mc="http://schemas.openxmlformats.org/markup-compatibility/2006">
    <mc:Choice Requires="x15">
      <x15ac:absPath xmlns:x15ac="http://schemas.microsoft.com/office/spreadsheetml/2010/11/ac" url="/Volumes/GoogleDrive/My Drive/Research /SSRN Research - Articles /MONIA rate - BAM/Latest version - MONIA research/"/>
    </mc:Choice>
  </mc:AlternateContent>
  <xr:revisionPtr revIDLastSave="0" documentId="13_ncr:1_{D52F79EF-2278-9D48-9265-521B529C7C20}" xr6:coauthVersionLast="47" xr6:coauthVersionMax="47" xr10:uidLastSave="{00000000-0000-0000-0000-000000000000}"/>
  <bookViews>
    <workbookView xWindow="0" yWindow="460" windowWidth="28800" windowHeight="17540" xr2:uid="{00000000-000D-0000-FFFF-FFFF00000000}"/>
  </bookViews>
  <sheets>
    <sheet name="Presentation" sheetId="25" r:id="rId1"/>
    <sheet name="Model MONIA forward" sheetId="8" r:id="rId2"/>
    <sheet name="Simulation MONIA forward" sheetId="27" r:id="rId3"/>
    <sheet name="MONIA curve" sheetId="30" r:id="rId4"/>
    <sheet name="Forward curve" sheetId="29" r:id="rId5"/>
    <sheet name="MONIA-SOFR average Index model " sheetId="22" r:id="rId6"/>
    <sheet name="Example SOFR" sheetId="23" r:id="rId7"/>
    <sheet name="Données MONIA BKAM" sheetId="24" r:id="rId8"/>
    <sheet name="Données TMIB actualisées" sheetId="28" r:id="rId9"/>
    <sheet name="IR_graph" sheetId="31" r:id="rId10"/>
    <sheet name="Données TMIB" sheetId="16" r:id="rId11"/>
  </sheets>
  <externalReferences>
    <externalReference r:id="rId12"/>
  </externalReferences>
  <definedNames>
    <definedName name="_xlnm._FilterDatabase" localSheetId="7" hidden="1">'Données MONIA BKAM'!$A$1:$D$1</definedName>
    <definedName name="_xlnm._FilterDatabase" localSheetId="10" hidden="1">'Données TMIB'!$A$1:$I$1</definedName>
    <definedName name="_xlnm._FilterDatabase" localSheetId="8" hidden="1">'Données TMIB actualisées'!$A$1:$D$1003</definedName>
    <definedName name="_xlnm._FilterDatabase" localSheetId="1" hidden="1">'Model MONIA forward'!$A$1:$J$1</definedName>
    <definedName name="_xlnm._FilterDatabase" localSheetId="5" hidden="1">'MONIA-SOFR average Index model '!$B$1:$P$1</definedName>
    <definedName name="_xlnm._FilterDatabase" localSheetId="2" hidden="1">'Simulation MONIA forward'!$A$1:$O$1</definedName>
    <definedName name="MONIA_dataset" localSheetId="7">'Données MONIA BKAM'!$A$1:$D$109</definedName>
    <definedName name="MONIA_dataset" localSheetId="10">'Données TMIB'!$A$1:$D$111</definedName>
    <definedName name="MONIA_dataset" localSheetId="1">'Model MONIA forward'!$A$1:$D$109</definedName>
    <definedName name="MONIA_dataset" localSheetId="2">'Simulation MONIA forward'!$A$1:$D$109</definedName>
    <definedName name="solver_adj" localSheetId="5" hidden="1">'MONIA-SOFR average Index model '!$Z$12:$Z$17</definedName>
    <definedName name="solver_cvg" localSheetId="5" hidden="1">0.0001</definedName>
    <definedName name="solver_drv" localSheetId="5" hidden="1">1</definedName>
    <definedName name="solver_eng" localSheetId="5" hidden="1">1</definedName>
    <definedName name="solver_itr" localSheetId="5" hidden="1">2147483647</definedName>
    <definedName name="solver_lin" localSheetId="5" hidden="1">2</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opt" localSheetId="5" hidden="1">'MONIA-SOFR average Index model '!$V$24</definedName>
    <definedName name="solver_pre" localSheetId="5" hidden="1">0.000001</definedName>
    <definedName name="solver_rbv" localSheetId="5" hidden="1">1</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2</definedName>
    <definedName name="solver_val" localSheetId="5" hidden="1">0</definedName>
    <definedName name="solver_ver" localSheetId="5" hidden="1">2</definedName>
    <definedName name="Taux_interbancaire" localSheetId="1">'Model MONIA forward'!$Q$21:$S$26</definedName>
    <definedName name="βeta2" localSheetId="5">'MONIA-SOFR average Index model '!$K$1</definedName>
    <definedName name="βeta3" localSheetId="5">'MONIA-SOFR average Index model '!$K$2</definedName>
    <definedName name="βeta4" localSheetId="5">'MONIA-SOFR average Index model '!$K$3</definedName>
    <definedName name="λ1" localSheetId="5">'MONIA-SOFR average Index model '!$K$4</definedName>
    <definedName name="λ2" localSheetId="5">'MONIA-SOFR average Index model '!$K$5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3" i="8" l="1"/>
  <c r="T24" i="8"/>
  <c r="T25" i="8"/>
  <c r="T26" i="8"/>
  <c r="T22" i="8"/>
  <c r="L2" i="27"/>
  <c r="U22" i="8" a="1"/>
  <c r="T12" i="27" a="1"/>
  <c r="S12" i="8" a="1"/>
  <c r="T12" i="27" l="1"/>
  <c r="U22" i="8"/>
  <c r="S12" i="8"/>
  <c r="H242" i="8"/>
  <c r="B243" i="8"/>
  <c r="G122" i="8"/>
  <c r="H31" i="8" l="1"/>
  <c r="H490" i="16"/>
  <c r="H491" i="16"/>
  <c r="H492" i="16"/>
  <c r="H493" i="16"/>
  <c r="H494" i="16"/>
  <c r="H495" i="16"/>
  <c r="H496" i="16"/>
  <c r="H497" i="16"/>
  <c r="H498" i="16"/>
  <c r="H499" i="16"/>
  <c r="H500" i="16"/>
  <c r="H501" i="16"/>
  <c r="H502" i="16"/>
  <c r="H503" i="16"/>
  <c r="H504" i="16"/>
  <c r="H505" i="16"/>
  <c r="H506" i="16"/>
  <c r="H507" i="16"/>
  <c r="H508" i="16"/>
  <c r="H509" i="16"/>
  <c r="H510" i="16"/>
  <c r="H511" i="16"/>
  <c r="H512" i="16"/>
  <c r="H513" i="16"/>
  <c r="H514" i="16"/>
  <c r="H515" i="16"/>
  <c r="H516" i="16"/>
  <c r="H517" i="16"/>
  <c r="H518" i="16"/>
  <c r="H519" i="16"/>
  <c r="H520" i="16"/>
  <c r="H521" i="16"/>
  <c r="H522" i="16"/>
  <c r="H523" i="16"/>
  <c r="H524" i="16"/>
  <c r="H525" i="16"/>
  <c r="H526" i="16"/>
  <c r="H527" i="16"/>
  <c r="H528" i="16"/>
  <c r="H529" i="16"/>
  <c r="H530" i="16"/>
  <c r="H531" i="16"/>
  <c r="H532" i="16"/>
  <c r="H533" i="16"/>
  <c r="H534" i="16"/>
  <c r="H535" i="16"/>
  <c r="H536" i="16"/>
  <c r="H537" i="16"/>
  <c r="H538" i="16"/>
  <c r="H539" i="16"/>
  <c r="H540" i="16"/>
  <c r="H541" i="16"/>
  <c r="H542" i="16"/>
  <c r="H543" i="16"/>
  <c r="H544" i="16"/>
  <c r="H545" i="16"/>
  <c r="H546" i="16"/>
  <c r="H547" i="16"/>
  <c r="H548" i="16"/>
  <c r="H549" i="16"/>
  <c r="H550" i="16"/>
  <c r="H551" i="16"/>
  <c r="H552" i="16"/>
  <c r="H553" i="16"/>
  <c r="H554" i="16"/>
  <c r="H555" i="16"/>
  <c r="H556" i="16"/>
  <c r="H557" i="16"/>
  <c r="H558" i="16"/>
  <c r="H559" i="16"/>
  <c r="H560" i="16"/>
  <c r="H561" i="16"/>
  <c r="H562" i="16"/>
  <c r="H563" i="16"/>
  <c r="H564" i="16"/>
  <c r="H565" i="16"/>
  <c r="H566" i="16"/>
  <c r="H567" i="16"/>
  <c r="H568" i="16"/>
  <c r="H569" i="16"/>
  <c r="H570" i="16"/>
  <c r="H571" i="16"/>
  <c r="H572" i="16"/>
  <c r="H573" i="16"/>
  <c r="H574" i="16"/>
  <c r="H575" i="16"/>
  <c r="H576" i="16"/>
  <c r="H577" i="16"/>
  <c r="H578" i="16"/>
  <c r="H579" i="16"/>
  <c r="H580" i="16"/>
  <c r="H581" i="16"/>
  <c r="H582" i="16"/>
  <c r="H583" i="16"/>
  <c r="H584" i="16"/>
  <c r="H585" i="16"/>
  <c r="H586" i="16"/>
  <c r="H587" i="16"/>
  <c r="H588" i="16"/>
  <c r="H589" i="16"/>
  <c r="H590" i="16"/>
  <c r="H591" i="16"/>
  <c r="H592" i="16"/>
  <c r="H593" i="16"/>
  <c r="H594" i="16"/>
  <c r="H595" i="16"/>
  <c r="H596" i="16"/>
  <c r="H597" i="16"/>
  <c r="H598" i="16"/>
  <c r="H599" i="16"/>
  <c r="H600" i="16"/>
  <c r="H601" i="16"/>
  <c r="H602" i="16"/>
  <c r="H603" i="16"/>
  <c r="H604" i="16"/>
  <c r="H605" i="16"/>
  <c r="H606" i="16"/>
  <c r="H607" i="16"/>
  <c r="H608" i="16"/>
  <c r="H609" i="16"/>
  <c r="H610" i="16"/>
  <c r="H611" i="16"/>
  <c r="H612" i="16"/>
  <c r="H613" i="16"/>
  <c r="H614" i="16"/>
  <c r="H615" i="16"/>
  <c r="H616" i="16"/>
  <c r="H617" i="16"/>
  <c r="H618" i="16"/>
  <c r="H619" i="16"/>
  <c r="H620" i="16"/>
  <c r="H621" i="16"/>
  <c r="H622" i="16"/>
  <c r="H623" i="16"/>
  <c r="H624" i="16"/>
  <c r="H625" i="16"/>
  <c r="H626" i="16"/>
  <c r="H627" i="16"/>
  <c r="H628" i="16"/>
  <c r="H629" i="16"/>
  <c r="H630" i="16"/>
  <c r="H631" i="16"/>
  <c r="H632" i="16"/>
  <c r="H633" i="16"/>
  <c r="H634" i="16"/>
  <c r="H635" i="16"/>
  <c r="H636" i="16"/>
  <c r="H637" i="16"/>
  <c r="H638" i="16"/>
  <c r="H639" i="16"/>
  <c r="H640" i="16"/>
  <c r="H641" i="16"/>
  <c r="H642" i="16"/>
  <c r="H643" i="16"/>
  <c r="H644" i="16"/>
  <c r="H645" i="16"/>
  <c r="H646" i="16"/>
  <c r="H647" i="16"/>
  <c r="H648" i="16"/>
  <c r="H649" i="16"/>
  <c r="H650" i="16"/>
  <c r="H651" i="16"/>
  <c r="H652" i="16"/>
  <c r="H653" i="16"/>
  <c r="H654" i="16"/>
  <c r="H655" i="16"/>
  <c r="H656" i="16"/>
  <c r="H657" i="16"/>
  <c r="H658" i="16"/>
  <c r="H659" i="16"/>
  <c r="H660" i="16"/>
  <c r="H661" i="16"/>
  <c r="H662" i="16"/>
  <c r="H663" i="16"/>
  <c r="H664" i="16"/>
  <c r="H665" i="16"/>
  <c r="H666" i="16"/>
  <c r="H667" i="16"/>
  <c r="H668" i="16"/>
  <c r="H669" i="16"/>
  <c r="H670" i="16"/>
  <c r="H671" i="16"/>
  <c r="H672" i="16"/>
  <c r="H673" i="16"/>
  <c r="H674" i="16"/>
  <c r="H675" i="16"/>
  <c r="H676" i="16"/>
  <c r="H677" i="16"/>
  <c r="H678" i="16"/>
  <c r="H679" i="16"/>
  <c r="H680" i="16"/>
  <c r="H681" i="16"/>
  <c r="H682" i="16"/>
  <c r="H683" i="16"/>
  <c r="H684" i="16"/>
  <c r="H685" i="16"/>
  <c r="H686" i="16"/>
  <c r="H687" i="16"/>
  <c r="H688" i="16"/>
  <c r="H689" i="16"/>
  <c r="H690" i="16"/>
  <c r="H691" i="16"/>
  <c r="H692" i="16"/>
  <c r="H693" i="16"/>
  <c r="H694" i="16"/>
  <c r="H695" i="16"/>
  <c r="H696" i="16"/>
  <c r="H697" i="16"/>
  <c r="H698" i="16"/>
  <c r="H699" i="16"/>
  <c r="H700" i="16"/>
  <c r="H701" i="16"/>
  <c r="H702" i="16"/>
  <c r="H703" i="16"/>
  <c r="H704" i="16"/>
  <c r="H705" i="16"/>
  <c r="H706" i="16"/>
  <c r="H707" i="16"/>
  <c r="H708" i="16"/>
  <c r="H709" i="16"/>
  <c r="H710" i="16"/>
  <c r="H711" i="16"/>
  <c r="H712" i="16"/>
  <c r="H713" i="16"/>
  <c r="H714" i="16"/>
  <c r="H715" i="16"/>
  <c r="H716" i="16"/>
  <c r="H717" i="16"/>
  <c r="H718" i="16"/>
  <c r="H719" i="16"/>
  <c r="H720" i="16"/>
  <c r="H721" i="16"/>
  <c r="H722" i="16"/>
  <c r="H723" i="16"/>
  <c r="H724" i="16"/>
  <c r="H725" i="16"/>
  <c r="H726" i="16"/>
  <c r="H727" i="16"/>
  <c r="H728" i="16"/>
  <c r="H729" i="16"/>
  <c r="H730" i="16"/>
  <c r="H731" i="16"/>
  <c r="H732" i="16"/>
  <c r="H733" i="16"/>
  <c r="H734" i="16"/>
  <c r="H735" i="16"/>
  <c r="H736" i="16"/>
  <c r="H737" i="16"/>
  <c r="H738" i="16"/>
  <c r="H739" i="16"/>
  <c r="H740" i="16"/>
  <c r="H741" i="16"/>
  <c r="H742" i="16"/>
  <c r="H743" i="16"/>
  <c r="H744" i="16"/>
  <c r="H745" i="16"/>
  <c r="H746" i="16"/>
  <c r="H747" i="16"/>
  <c r="H748" i="16"/>
  <c r="H749" i="16"/>
  <c r="H750" i="16"/>
  <c r="H751" i="16"/>
  <c r="H752" i="16"/>
  <c r="H753" i="16"/>
  <c r="H754" i="16"/>
  <c r="H755" i="16"/>
  <c r="H756" i="16"/>
  <c r="H757" i="16"/>
  <c r="H758" i="16"/>
  <c r="H759" i="16"/>
  <c r="H760" i="16"/>
  <c r="H761" i="16"/>
  <c r="H762" i="16"/>
  <c r="H763" i="16"/>
  <c r="H764" i="16"/>
  <c r="H765" i="16"/>
  <c r="H766" i="16"/>
  <c r="H767" i="16"/>
  <c r="H768" i="16"/>
  <c r="H769" i="16"/>
  <c r="H770" i="16"/>
  <c r="H771" i="16"/>
  <c r="H772" i="16"/>
  <c r="H773" i="16"/>
  <c r="H774" i="16"/>
  <c r="H775" i="16"/>
  <c r="H776" i="16"/>
  <c r="H777" i="16"/>
  <c r="H778" i="16"/>
  <c r="H779" i="16"/>
  <c r="H780" i="16"/>
  <c r="H781" i="16"/>
  <c r="H782" i="16"/>
  <c r="H783" i="16"/>
  <c r="H784" i="16"/>
  <c r="H785" i="16"/>
  <c r="H786" i="16"/>
  <c r="H787" i="16"/>
  <c r="H788" i="16"/>
  <c r="H789" i="16"/>
  <c r="H790" i="16"/>
  <c r="H791" i="16"/>
  <c r="H792" i="16"/>
  <c r="H793" i="16"/>
  <c r="H794" i="16"/>
  <c r="H795" i="16"/>
  <c r="H796" i="16"/>
  <c r="H797" i="16"/>
  <c r="H798" i="16"/>
  <c r="H799" i="16"/>
  <c r="H800" i="16"/>
  <c r="H801" i="16"/>
  <c r="H802" i="16"/>
  <c r="H803" i="16"/>
  <c r="H804" i="16"/>
  <c r="H805" i="16"/>
  <c r="H806" i="16"/>
  <c r="H807" i="16"/>
  <c r="H808" i="16"/>
  <c r="H809" i="16"/>
  <c r="H810" i="16"/>
  <c r="H811" i="16"/>
  <c r="H812" i="16"/>
  <c r="H813" i="16"/>
  <c r="H814" i="16"/>
  <c r="H815" i="16"/>
  <c r="H816" i="16"/>
  <c r="H817" i="16"/>
  <c r="H818" i="16"/>
  <c r="H819" i="16"/>
  <c r="H820" i="16"/>
  <c r="H821" i="16"/>
  <c r="H822" i="16"/>
  <c r="H823" i="16"/>
  <c r="H824" i="16"/>
  <c r="H825" i="16"/>
  <c r="H826" i="16"/>
  <c r="H827" i="16"/>
  <c r="H828" i="16"/>
  <c r="H829" i="16"/>
  <c r="H830" i="16"/>
  <c r="H831" i="16"/>
  <c r="H832" i="16"/>
  <c r="H833" i="16"/>
  <c r="H834" i="16"/>
  <c r="H835" i="16"/>
  <c r="H836" i="16"/>
  <c r="H837" i="16"/>
  <c r="H838" i="16"/>
  <c r="H839" i="16"/>
  <c r="H840" i="16"/>
  <c r="H841" i="16"/>
  <c r="H842" i="16"/>
  <c r="H843" i="16"/>
  <c r="H844" i="16"/>
  <c r="H845" i="16"/>
  <c r="H846" i="16"/>
  <c r="H847" i="16"/>
  <c r="H848" i="16"/>
  <c r="H849" i="16"/>
  <c r="H850" i="16"/>
  <c r="H851" i="16"/>
  <c r="H852" i="16"/>
  <c r="H853" i="16"/>
  <c r="H854" i="16"/>
  <c r="H855" i="16"/>
  <c r="H856" i="16"/>
  <c r="H857" i="16"/>
  <c r="H858" i="16"/>
  <c r="H859" i="16"/>
  <c r="H860" i="16"/>
  <c r="H861" i="16"/>
  <c r="H862" i="16"/>
  <c r="H863" i="16"/>
  <c r="H864" i="16"/>
  <c r="H865" i="16"/>
  <c r="H866" i="16"/>
  <c r="H867" i="16"/>
  <c r="H868" i="16"/>
  <c r="H869" i="16"/>
  <c r="H870" i="16"/>
  <c r="H871" i="16"/>
  <c r="H872" i="16"/>
  <c r="H873" i="16"/>
  <c r="H874" i="16"/>
  <c r="H875" i="16"/>
  <c r="H876" i="16"/>
  <c r="H877" i="16"/>
  <c r="H878" i="16"/>
  <c r="H879" i="16"/>
  <c r="H880" i="16"/>
  <c r="H881" i="16"/>
  <c r="H882" i="16"/>
  <c r="H883" i="16"/>
  <c r="H884" i="16"/>
  <c r="H885" i="16"/>
  <c r="H886" i="16"/>
  <c r="H887" i="16"/>
  <c r="H888" i="16"/>
  <c r="H889" i="16"/>
  <c r="H890" i="16"/>
  <c r="H891" i="16"/>
  <c r="H892" i="16"/>
  <c r="H893" i="16"/>
  <c r="H894" i="16"/>
  <c r="H895" i="16"/>
  <c r="H896" i="16"/>
  <c r="H897" i="16"/>
  <c r="H898" i="16"/>
  <c r="H899" i="16"/>
  <c r="H900" i="16"/>
  <c r="H901" i="16"/>
  <c r="H902" i="16"/>
  <c r="H903" i="16"/>
  <c r="H904" i="16"/>
  <c r="H905" i="16"/>
  <c r="H906" i="16"/>
  <c r="H907" i="16"/>
  <c r="H908" i="16"/>
  <c r="H909" i="16"/>
  <c r="H910" i="16"/>
  <c r="H911" i="16"/>
  <c r="H912" i="16"/>
  <c r="H913" i="16"/>
  <c r="H914" i="16"/>
  <c r="H915" i="16"/>
  <c r="H916" i="16"/>
  <c r="H917" i="16"/>
  <c r="H918" i="16"/>
  <c r="H919" i="16"/>
  <c r="H920" i="16"/>
  <c r="H921" i="16"/>
  <c r="H922" i="16"/>
  <c r="H923" i="16"/>
  <c r="H924" i="16"/>
  <c r="H925" i="16"/>
  <c r="H926" i="16"/>
  <c r="H927" i="16"/>
  <c r="H928" i="16"/>
  <c r="H929" i="16"/>
  <c r="H930" i="16"/>
  <c r="H931" i="16"/>
  <c r="H932" i="16"/>
  <c r="H933" i="16"/>
  <c r="H934" i="16"/>
  <c r="H935" i="16"/>
  <c r="H936" i="16"/>
  <c r="H937" i="16"/>
  <c r="H938" i="16"/>
  <c r="H939" i="16"/>
  <c r="H940" i="16"/>
  <c r="H941" i="16"/>
  <c r="H942" i="16"/>
  <c r="H943" i="16"/>
  <c r="H944" i="16"/>
  <c r="H945" i="16"/>
  <c r="H946" i="16"/>
  <c r="H947" i="16"/>
  <c r="H948" i="16"/>
  <c r="H949" i="16"/>
  <c r="H950" i="16"/>
  <c r="H951" i="16"/>
  <c r="H952" i="16"/>
  <c r="H953" i="16"/>
  <c r="H954" i="16"/>
  <c r="H955" i="16"/>
  <c r="H956" i="16"/>
  <c r="H957" i="16"/>
  <c r="H958" i="16"/>
  <c r="H959" i="16"/>
  <c r="H960" i="16"/>
  <c r="H961" i="16"/>
  <c r="H962" i="16"/>
  <c r="H963" i="16"/>
  <c r="H964" i="16"/>
  <c r="H965" i="16"/>
  <c r="H966" i="16"/>
  <c r="H967" i="16"/>
  <c r="H968" i="16"/>
  <c r="H969" i="16"/>
  <c r="H970" i="16"/>
  <c r="H971" i="16"/>
  <c r="H972" i="16"/>
  <c r="H973" i="16"/>
  <c r="H974" i="16"/>
  <c r="H975" i="16"/>
  <c r="H976" i="16"/>
  <c r="H977" i="16"/>
  <c r="H978" i="16"/>
  <c r="H979" i="16"/>
  <c r="H980" i="16"/>
  <c r="H981" i="16"/>
  <c r="H982" i="16"/>
  <c r="H983" i="16"/>
  <c r="H984" i="16"/>
  <c r="H985" i="16"/>
  <c r="H986" i="16"/>
  <c r="H987" i="16"/>
  <c r="H988" i="16"/>
  <c r="H989" i="16"/>
  <c r="H990" i="16"/>
  <c r="H991" i="16"/>
  <c r="H992" i="16"/>
  <c r="H993" i="16"/>
  <c r="H994" i="16"/>
  <c r="H995" i="16"/>
  <c r="H996" i="16"/>
  <c r="H997" i="16"/>
  <c r="H998" i="16"/>
  <c r="H999" i="16"/>
  <c r="H1000" i="16"/>
  <c r="H1001" i="16"/>
  <c r="I490" i="16"/>
  <c r="I491" i="16"/>
  <c r="I492" i="16"/>
  <c r="I493" i="16"/>
  <c r="I494" i="16"/>
  <c r="I495" i="16"/>
  <c r="I496" i="16"/>
  <c r="I497" i="16"/>
  <c r="I498" i="16"/>
  <c r="I499" i="16"/>
  <c r="I500" i="16"/>
  <c r="I501" i="16"/>
  <c r="I502" i="16"/>
  <c r="I503" i="16"/>
  <c r="I504" i="16"/>
  <c r="I505" i="16"/>
  <c r="I506" i="16"/>
  <c r="I507" i="16"/>
  <c r="I508" i="16"/>
  <c r="I509" i="16"/>
  <c r="I510" i="16"/>
  <c r="I511" i="16"/>
  <c r="I512" i="16"/>
  <c r="I513" i="16"/>
  <c r="I514" i="16"/>
  <c r="I515" i="16"/>
  <c r="I516" i="16"/>
  <c r="I517" i="16"/>
  <c r="I518" i="16"/>
  <c r="I519" i="16"/>
  <c r="I520" i="16"/>
  <c r="I521" i="16"/>
  <c r="I522" i="16"/>
  <c r="I523" i="16"/>
  <c r="I524" i="16"/>
  <c r="I525" i="16"/>
  <c r="I526" i="16"/>
  <c r="I527" i="16"/>
  <c r="I528" i="16"/>
  <c r="I529" i="16"/>
  <c r="I530" i="16"/>
  <c r="I531" i="16"/>
  <c r="I532" i="16"/>
  <c r="I533" i="16"/>
  <c r="I534" i="16"/>
  <c r="I535" i="16"/>
  <c r="I536" i="16"/>
  <c r="I537" i="16"/>
  <c r="I538" i="16"/>
  <c r="I539" i="16"/>
  <c r="I540" i="16"/>
  <c r="I541" i="16"/>
  <c r="I542" i="16"/>
  <c r="I543" i="16"/>
  <c r="I544" i="16"/>
  <c r="I545" i="16"/>
  <c r="I546" i="16"/>
  <c r="I547" i="16"/>
  <c r="I548" i="16"/>
  <c r="I549" i="16"/>
  <c r="I550" i="16"/>
  <c r="I551" i="16"/>
  <c r="I552" i="16"/>
  <c r="I553" i="16"/>
  <c r="I554" i="16"/>
  <c r="I555" i="16"/>
  <c r="I556" i="16"/>
  <c r="I557" i="16"/>
  <c r="I558" i="16"/>
  <c r="I559" i="16"/>
  <c r="I560" i="16"/>
  <c r="I561" i="16"/>
  <c r="I562" i="16"/>
  <c r="I563" i="16"/>
  <c r="I564" i="16"/>
  <c r="I565" i="16"/>
  <c r="I566" i="16"/>
  <c r="I567" i="16"/>
  <c r="I568" i="16"/>
  <c r="I569" i="16"/>
  <c r="I570" i="16"/>
  <c r="I571" i="16"/>
  <c r="I572" i="16"/>
  <c r="I573" i="16"/>
  <c r="I574" i="16"/>
  <c r="I575" i="16"/>
  <c r="I576" i="16"/>
  <c r="I577" i="16"/>
  <c r="I578" i="16"/>
  <c r="I579" i="16"/>
  <c r="I580" i="16"/>
  <c r="I581" i="16"/>
  <c r="I582" i="16"/>
  <c r="I583" i="16"/>
  <c r="I584" i="16"/>
  <c r="I585" i="16"/>
  <c r="I586" i="16"/>
  <c r="I587" i="16"/>
  <c r="I588" i="16"/>
  <c r="I589" i="16"/>
  <c r="I590" i="16"/>
  <c r="I591" i="16"/>
  <c r="I592" i="16"/>
  <c r="I593" i="16"/>
  <c r="I594" i="16"/>
  <c r="I595" i="16"/>
  <c r="I596" i="16"/>
  <c r="I597" i="16"/>
  <c r="I598" i="16"/>
  <c r="I599" i="16"/>
  <c r="I600" i="16"/>
  <c r="I601" i="16"/>
  <c r="I602" i="16"/>
  <c r="I603" i="16"/>
  <c r="I604" i="16"/>
  <c r="I605" i="16"/>
  <c r="I606" i="16"/>
  <c r="I607" i="16"/>
  <c r="I608" i="16"/>
  <c r="I609" i="16"/>
  <c r="I610" i="16"/>
  <c r="I611" i="16"/>
  <c r="I612" i="16"/>
  <c r="I613" i="16"/>
  <c r="I614" i="16"/>
  <c r="I615" i="16"/>
  <c r="I616" i="16"/>
  <c r="I617" i="16"/>
  <c r="I618" i="16"/>
  <c r="I619" i="16"/>
  <c r="I620" i="16"/>
  <c r="I621" i="16"/>
  <c r="I622" i="16"/>
  <c r="I623" i="16"/>
  <c r="I624" i="16"/>
  <c r="I625" i="16"/>
  <c r="I626" i="16"/>
  <c r="I627" i="16"/>
  <c r="I628" i="16"/>
  <c r="I629" i="16"/>
  <c r="I630" i="16"/>
  <c r="I631" i="16"/>
  <c r="I632" i="16"/>
  <c r="I633" i="16"/>
  <c r="I634" i="16"/>
  <c r="I635" i="16"/>
  <c r="I636" i="16"/>
  <c r="I637" i="16"/>
  <c r="I638" i="16"/>
  <c r="I639" i="16"/>
  <c r="I640" i="16"/>
  <c r="I641" i="16"/>
  <c r="I642" i="16"/>
  <c r="I643" i="16"/>
  <c r="I644" i="16"/>
  <c r="I645" i="16"/>
  <c r="I646" i="16"/>
  <c r="I647" i="16"/>
  <c r="I648" i="16"/>
  <c r="I649" i="16"/>
  <c r="I650" i="16"/>
  <c r="I651" i="16"/>
  <c r="I652" i="16"/>
  <c r="I653" i="16"/>
  <c r="I654" i="16"/>
  <c r="I655" i="16"/>
  <c r="I656" i="16"/>
  <c r="I657" i="16"/>
  <c r="I658" i="16"/>
  <c r="I659" i="16"/>
  <c r="I660" i="16"/>
  <c r="I661" i="16"/>
  <c r="I662" i="16"/>
  <c r="I663" i="16"/>
  <c r="I664" i="16"/>
  <c r="I665" i="16"/>
  <c r="I666" i="16"/>
  <c r="I667" i="16"/>
  <c r="I668" i="16"/>
  <c r="I669" i="16"/>
  <c r="I670" i="16"/>
  <c r="I671" i="16"/>
  <c r="I672" i="16"/>
  <c r="I673" i="16"/>
  <c r="I674" i="16"/>
  <c r="I675" i="16"/>
  <c r="I676" i="16"/>
  <c r="I677" i="16"/>
  <c r="I678" i="16"/>
  <c r="I679" i="16"/>
  <c r="I680" i="16"/>
  <c r="I681" i="16"/>
  <c r="I682" i="16"/>
  <c r="I683" i="16"/>
  <c r="I684" i="16"/>
  <c r="I685" i="16"/>
  <c r="I686" i="16"/>
  <c r="I687" i="16"/>
  <c r="I688" i="16"/>
  <c r="I689" i="16"/>
  <c r="I690" i="16"/>
  <c r="I691" i="16"/>
  <c r="I692" i="16"/>
  <c r="I693" i="16"/>
  <c r="I694" i="16"/>
  <c r="I695" i="16"/>
  <c r="I696" i="16"/>
  <c r="I697" i="16"/>
  <c r="I698" i="16"/>
  <c r="I699" i="16"/>
  <c r="I700" i="16"/>
  <c r="I701" i="16"/>
  <c r="I702" i="16"/>
  <c r="I703" i="16"/>
  <c r="I704" i="16"/>
  <c r="I705" i="16"/>
  <c r="I706" i="16"/>
  <c r="I707" i="16"/>
  <c r="I708" i="16"/>
  <c r="I709" i="16"/>
  <c r="I710" i="16"/>
  <c r="I711" i="16"/>
  <c r="I712" i="16"/>
  <c r="I713" i="16"/>
  <c r="I714" i="16"/>
  <c r="I715" i="16"/>
  <c r="I716" i="16"/>
  <c r="I717" i="16"/>
  <c r="I718" i="16"/>
  <c r="I719" i="16"/>
  <c r="I720" i="16"/>
  <c r="I721" i="16"/>
  <c r="I722" i="16"/>
  <c r="I723" i="16"/>
  <c r="I724" i="16"/>
  <c r="I725" i="16"/>
  <c r="I726" i="16"/>
  <c r="I727" i="16"/>
  <c r="I728" i="16"/>
  <c r="I729" i="16"/>
  <c r="I730" i="16"/>
  <c r="I731" i="16"/>
  <c r="I732" i="16"/>
  <c r="I733" i="16"/>
  <c r="I734" i="16"/>
  <c r="I735" i="16"/>
  <c r="I736" i="16"/>
  <c r="I737" i="16"/>
  <c r="I738" i="16"/>
  <c r="I739" i="16"/>
  <c r="I740" i="16"/>
  <c r="I741" i="16"/>
  <c r="I742" i="16"/>
  <c r="I743" i="16"/>
  <c r="I744" i="16"/>
  <c r="I745" i="16"/>
  <c r="I746" i="16"/>
  <c r="I747" i="16"/>
  <c r="I748" i="16"/>
  <c r="I749" i="16"/>
  <c r="I750" i="16"/>
  <c r="I751" i="16"/>
  <c r="I752" i="16"/>
  <c r="I753" i="16"/>
  <c r="I754" i="16"/>
  <c r="I755" i="16"/>
  <c r="I756" i="16"/>
  <c r="I757" i="16"/>
  <c r="I758" i="16"/>
  <c r="I759" i="16"/>
  <c r="I760" i="16"/>
  <c r="I761" i="16"/>
  <c r="I762" i="16"/>
  <c r="I763" i="16"/>
  <c r="I764" i="16"/>
  <c r="I765" i="16"/>
  <c r="I766" i="16"/>
  <c r="I767" i="16"/>
  <c r="I768" i="16"/>
  <c r="I769" i="16"/>
  <c r="I770" i="16"/>
  <c r="I771" i="16"/>
  <c r="I772" i="16"/>
  <c r="I773" i="16"/>
  <c r="I774" i="16"/>
  <c r="I775" i="16"/>
  <c r="I776" i="16"/>
  <c r="I777" i="16"/>
  <c r="I778" i="16"/>
  <c r="I779" i="16"/>
  <c r="I780" i="16"/>
  <c r="I781" i="16"/>
  <c r="I782" i="16"/>
  <c r="I783" i="16"/>
  <c r="I784" i="16"/>
  <c r="I785" i="16"/>
  <c r="I786" i="16"/>
  <c r="I787" i="16"/>
  <c r="I788" i="16"/>
  <c r="I789" i="16"/>
  <c r="I790" i="16"/>
  <c r="I791" i="16"/>
  <c r="I792" i="16"/>
  <c r="I793" i="16"/>
  <c r="I794" i="16"/>
  <c r="I795" i="16"/>
  <c r="I796" i="16"/>
  <c r="I797" i="16"/>
  <c r="I798" i="16"/>
  <c r="I799" i="16"/>
  <c r="I800" i="16"/>
  <c r="I801" i="16"/>
  <c r="I802" i="16"/>
  <c r="I803" i="16"/>
  <c r="I804" i="16"/>
  <c r="I805" i="16"/>
  <c r="I806" i="16"/>
  <c r="I807" i="16"/>
  <c r="I808" i="16"/>
  <c r="I809" i="16"/>
  <c r="I810" i="16"/>
  <c r="I811" i="16"/>
  <c r="I812" i="16"/>
  <c r="I813" i="16"/>
  <c r="I814" i="16"/>
  <c r="I815" i="16"/>
  <c r="I816" i="16"/>
  <c r="I817" i="16"/>
  <c r="I818" i="16"/>
  <c r="I819" i="16"/>
  <c r="I820" i="16"/>
  <c r="I821" i="16"/>
  <c r="I822" i="16"/>
  <c r="I823" i="16"/>
  <c r="I824" i="16"/>
  <c r="I825" i="16"/>
  <c r="I826" i="16"/>
  <c r="I827" i="16"/>
  <c r="I828" i="16"/>
  <c r="I829" i="16"/>
  <c r="I830" i="16"/>
  <c r="I831" i="16"/>
  <c r="I832" i="16"/>
  <c r="I833" i="16"/>
  <c r="I834" i="16"/>
  <c r="I835" i="16"/>
  <c r="I836" i="16"/>
  <c r="I837" i="16"/>
  <c r="I838" i="16"/>
  <c r="I839" i="16"/>
  <c r="I840" i="16"/>
  <c r="I841" i="16"/>
  <c r="I842" i="16"/>
  <c r="I843" i="16"/>
  <c r="I844" i="16"/>
  <c r="I845" i="16"/>
  <c r="I846" i="16"/>
  <c r="I847" i="16"/>
  <c r="I848" i="16"/>
  <c r="I849" i="16"/>
  <c r="I850" i="16"/>
  <c r="I851" i="16"/>
  <c r="I852" i="16"/>
  <c r="I853" i="16"/>
  <c r="I854" i="16"/>
  <c r="I855" i="16"/>
  <c r="I856" i="16"/>
  <c r="I857" i="16"/>
  <c r="I858" i="16"/>
  <c r="I859" i="16"/>
  <c r="I860" i="16"/>
  <c r="I861" i="16"/>
  <c r="I862" i="16"/>
  <c r="I863" i="16"/>
  <c r="I864" i="16"/>
  <c r="I865" i="16"/>
  <c r="I866" i="16"/>
  <c r="I867" i="16"/>
  <c r="I868" i="16"/>
  <c r="I869" i="16"/>
  <c r="I870" i="16"/>
  <c r="I871" i="16"/>
  <c r="I872" i="16"/>
  <c r="I873" i="16"/>
  <c r="I874" i="16"/>
  <c r="I875" i="16"/>
  <c r="I876" i="16"/>
  <c r="I877" i="16"/>
  <c r="I878" i="16"/>
  <c r="I879" i="16"/>
  <c r="I880" i="16"/>
  <c r="I881" i="16"/>
  <c r="I882" i="16"/>
  <c r="I883" i="16"/>
  <c r="I884" i="16"/>
  <c r="I885" i="16"/>
  <c r="I886" i="16"/>
  <c r="I887" i="16"/>
  <c r="I888" i="16"/>
  <c r="I889" i="16"/>
  <c r="I890" i="16"/>
  <c r="I891" i="16"/>
  <c r="I892" i="16"/>
  <c r="I893" i="16"/>
  <c r="I894" i="16"/>
  <c r="I895" i="16"/>
  <c r="I896" i="16"/>
  <c r="I897" i="16"/>
  <c r="I898" i="16"/>
  <c r="I899" i="16"/>
  <c r="I900" i="16"/>
  <c r="I901" i="16"/>
  <c r="I902" i="16"/>
  <c r="I903" i="16"/>
  <c r="I904" i="16"/>
  <c r="I905" i="16"/>
  <c r="I906" i="16"/>
  <c r="I907" i="16"/>
  <c r="I908" i="16"/>
  <c r="I909" i="16"/>
  <c r="I910" i="16"/>
  <c r="I911" i="16"/>
  <c r="I912" i="16"/>
  <c r="I913" i="16"/>
  <c r="I914" i="16"/>
  <c r="I915" i="16"/>
  <c r="I916" i="16"/>
  <c r="I917" i="16"/>
  <c r="I918" i="16"/>
  <c r="I919" i="16"/>
  <c r="I920" i="16"/>
  <c r="I921" i="16"/>
  <c r="I922" i="16"/>
  <c r="I923" i="16"/>
  <c r="I924" i="16"/>
  <c r="I925" i="16"/>
  <c r="I926" i="16"/>
  <c r="I927" i="16"/>
  <c r="I928" i="16"/>
  <c r="I929" i="16"/>
  <c r="I930" i="16"/>
  <c r="I931" i="16"/>
  <c r="I932" i="16"/>
  <c r="I933" i="16"/>
  <c r="I934" i="16"/>
  <c r="I935" i="16"/>
  <c r="I936" i="16"/>
  <c r="I937" i="16"/>
  <c r="I938" i="16"/>
  <c r="I939" i="16"/>
  <c r="I940" i="16"/>
  <c r="I941" i="16"/>
  <c r="I942" i="16"/>
  <c r="I943" i="16"/>
  <c r="I944" i="16"/>
  <c r="I945" i="16"/>
  <c r="I946" i="16"/>
  <c r="I947" i="16"/>
  <c r="I948" i="16"/>
  <c r="I949" i="16"/>
  <c r="I950" i="16"/>
  <c r="I951" i="16"/>
  <c r="I952" i="16"/>
  <c r="I953" i="16"/>
  <c r="I954" i="16"/>
  <c r="I955" i="16"/>
  <c r="I956" i="16"/>
  <c r="I957" i="16"/>
  <c r="I958" i="16"/>
  <c r="I959" i="16"/>
  <c r="I960" i="16"/>
  <c r="I961" i="16"/>
  <c r="I962" i="16"/>
  <c r="I963" i="16"/>
  <c r="I964" i="16"/>
  <c r="I965" i="16"/>
  <c r="I966" i="16"/>
  <c r="I967" i="16"/>
  <c r="I968" i="16"/>
  <c r="I969" i="16"/>
  <c r="I970" i="16"/>
  <c r="I971" i="16"/>
  <c r="I972" i="16"/>
  <c r="I973" i="16"/>
  <c r="I974" i="16"/>
  <c r="I975" i="16"/>
  <c r="I976" i="16"/>
  <c r="I977" i="16"/>
  <c r="I978" i="16"/>
  <c r="I979" i="16"/>
  <c r="I980" i="16"/>
  <c r="I981" i="16"/>
  <c r="I982" i="16"/>
  <c r="I983" i="16"/>
  <c r="I984" i="16"/>
  <c r="I985" i="16"/>
  <c r="I986" i="16"/>
  <c r="I987" i="16"/>
  <c r="I988" i="16"/>
  <c r="I989" i="16"/>
  <c r="I990" i="16"/>
  <c r="I991" i="16"/>
  <c r="I992" i="16"/>
  <c r="I993" i="16"/>
  <c r="I994" i="16"/>
  <c r="I995" i="16"/>
  <c r="I996" i="16"/>
  <c r="I997" i="16"/>
  <c r="I998" i="16"/>
  <c r="I999" i="16"/>
  <c r="I1000" i="16"/>
  <c r="I1001" i="16"/>
  <c r="I489" i="16"/>
  <c r="H489" i="16"/>
  <c r="F3" i="27" l="1"/>
  <c r="F4" i="27"/>
  <c r="I4" i="27" s="1"/>
  <c r="F5" i="27"/>
  <c r="F6" i="27"/>
  <c r="I6" i="27" s="1"/>
  <c r="F7" i="27"/>
  <c r="F8" i="27"/>
  <c r="F9" i="27"/>
  <c r="F10" i="27"/>
  <c r="I10" i="27" s="1"/>
  <c r="F11" i="27"/>
  <c r="F12" i="27"/>
  <c r="F13" i="27"/>
  <c r="I13" i="27" s="1"/>
  <c r="F14" i="27"/>
  <c r="F15" i="27"/>
  <c r="F16" i="27"/>
  <c r="F17" i="27"/>
  <c r="F18" i="27"/>
  <c r="F19" i="27"/>
  <c r="F20" i="27"/>
  <c r="F21" i="27"/>
  <c r="I21" i="27" s="1"/>
  <c r="F22" i="27"/>
  <c r="I22" i="27" s="1"/>
  <c r="F23" i="27"/>
  <c r="F24" i="27"/>
  <c r="I24" i="27" s="1"/>
  <c r="F25" i="27"/>
  <c r="F26" i="27"/>
  <c r="I26" i="27" s="1"/>
  <c r="F27" i="27"/>
  <c r="F28" i="27"/>
  <c r="F29" i="27"/>
  <c r="F30" i="27"/>
  <c r="I30" i="27" s="1"/>
  <c r="F31" i="27"/>
  <c r="F32" i="27"/>
  <c r="F33" i="27"/>
  <c r="F34" i="27"/>
  <c r="I34" i="27" s="1"/>
  <c r="F35" i="27"/>
  <c r="F36" i="27"/>
  <c r="F37" i="27"/>
  <c r="I37" i="27" s="1"/>
  <c r="F38" i="27"/>
  <c r="F39" i="27"/>
  <c r="F40" i="27"/>
  <c r="F41" i="27"/>
  <c r="I41" i="27" s="1"/>
  <c r="F42" i="27"/>
  <c r="I42" i="27" s="1"/>
  <c r="F43" i="27"/>
  <c r="F44" i="27"/>
  <c r="I44" i="27" s="1"/>
  <c r="F45" i="27"/>
  <c r="F46" i="27"/>
  <c r="I46" i="27" s="1"/>
  <c r="F47" i="27"/>
  <c r="F48" i="27"/>
  <c r="F49" i="27"/>
  <c r="I49" i="27" s="1"/>
  <c r="F50" i="27"/>
  <c r="I50" i="27" s="1"/>
  <c r="F51" i="27"/>
  <c r="F52" i="27"/>
  <c r="F53" i="27"/>
  <c r="F54" i="27"/>
  <c r="I54" i="27" s="1"/>
  <c r="F55" i="27"/>
  <c r="F56" i="27"/>
  <c r="F57" i="27"/>
  <c r="I57" i="27" s="1"/>
  <c r="F58" i="27"/>
  <c r="F59" i="27"/>
  <c r="F60" i="27"/>
  <c r="F61" i="27"/>
  <c r="I61" i="27" s="1"/>
  <c r="F62" i="27"/>
  <c r="I62" i="27" s="1"/>
  <c r="F63" i="27"/>
  <c r="F64" i="27"/>
  <c r="I64" i="27" s="1"/>
  <c r="F65" i="27"/>
  <c r="I65" i="27" s="1"/>
  <c r="F66" i="27"/>
  <c r="I66" i="27" s="1"/>
  <c r="F67" i="27"/>
  <c r="F68" i="27"/>
  <c r="I68" i="27" s="1"/>
  <c r="F69" i="27"/>
  <c r="F70" i="27"/>
  <c r="I70" i="27" s="1"/>
  <c r="F71" i="27"/>
  <c r="F72" i="27"/>
  <c r="F73" i="27"/>
  <c r="F74" i="27"/>
  <c r="I74" i="27" s="1"/>
  <c r="F75" i="27"/>
  <c r="F76" i="27"/>
  <c r="F77" i="27"/>
  <c r="I77" i="27" s="1"/>
  <c r="F78" i="27"/>
  <c r="F79" i="27"/>
  <c r="F80" i="27"/>
  <c r="F81" i="27"/>
  <c r="F82" i="27"/>
  <c r="F83" i="27"/>
  <c r="F84" i="27"/>
  <c r="F85" i="27"/>
  <c r="I85" i="27" s="1"/>
  <c r="F86" i="27"/>
  <c r="I86" i="27" s="1"/>
  <c r="F87" i="27"/>
  <c r="F88" i="27"/>
  <c r="I88" i="27" s="1"/>
  <c r="F89" i="27"/>
  <c r="F90" i="27"/>
  <c r="I90" i="27" s="1"/>
  <c r="F91" i="27"/>
  <c r="F92" i="27"/>
  <c r="F93" i="27"/>
  <c r="F94" i="27"/>
  <c r="I94" i="27" s="1"/>
  <c r="F95" i="27"/>
  <c r="F96" i="27"/>
  <c r="F97" i="27"/>
  <c r="F98" i="27"/>
  <c r="I98" i="27" s="1"/>
  <c r="F99" i="27"/>
  <c r="F100" i="27"/>
  <c r="F101" i="27"/>
  <c r="I101" i="27" s="1"/>
  <c r="F102" i="27"/>
  <c r="F103" i="27"/>
  <c r="F104" i="27"/>
  <c r="F105" i="27"/>
  <c r="I105" i="27" s="1"/>
  <c r="F106" i="27"/>
  <c r="I106" i="27" s="1"/>
  <c r="F107" i="27"/>
  <c r="F108" i="27"/>
  <c r="I108" i="27" s="1"/>
  <c r="F109" i="27"/>
  <c r="F110" i="27"/>
  <c r="I110" i="27" s="1"/>
  <c r="F111" i="27"/>
  <c r="F112" i="27"/>
  <c r="F113" i="27"/>
  <c r="I113" i="27" s="1"/>
  <c r="F114" i="27"/>
  <c r="I114" i="27" s="1"/>
  <c r="F115" i="27"/>
  <c r="F116" i="27"/>
  <c r="F117" i="27"/>
  <c r="F118" i="27"/>
  <c r="I118" i="27" s="1"/>
  <c r="F119" i="27"/>
  <c r="F120" i="27"/>
  <c r="F121" i="27"/>
  <c r="I121" i="27" s="1"/>
  <c r="F122" i="27"/>
  <c r="F123" i="27"/>
  <c r="F124" i="27"/>
  <c r="F125" i="27"/>
  <c r="I125" i="27" s="1"/>
  <c r="F126" i="27"/>
  <c r="I126" i="27" s="1"/>
  <c r="F127" i="27"/>
  <c r="F128" i="27"/>
  <c r="I128" i="27" s="1"/>
  <c r="F129" i="27"/>
  <c r="I129" i="27" s="1"/>
  <c r="F130" i="27"/>
  <c r="I130" i="27" s="1"/>
  <c r="F131" i="27"/>
  <c r="F132" i="27"/>
  <c r="I132" i="27" s="1"/>
  <c r="F133" i="27"/>
  <c r="F134" i="27"/>
  <c r="I134" i="27" s="1"/>
  <c r="F135" i="27"/>
  <c r="F136" i="27"/>
  <c r="F137" i="27"/>
  <c r="F138" i="27"/>
  <c r="I138" i="27" s="1"/>
  <c r="F139" i="27"/>
  <c r="F140" i="27"/>
  <c r="F141" i="27"/>
  <c r="I141" i="27" s="1"/>
  <c r="F142" i="27"/>
  <c r="F143" i="27"/>
  <c r="F144" i="27"/>
  <c r="F145" i="27"/>
  <c r="F146" i="27"/>
  <c r="F147" i="27"/>
  <c r="F148" i="27"/>
  <c r="F149" i="27"/>
  <c r="I149" i="27" s="1"/>
  <c r="F150" i="27"/>
  <c r="I150" i="27" s="1"/>
  <c r="F151" i="27"/>
  <c r="F152" i="27"/>
  <c r="I152" i="27" s="1"/>
  <c r="F153" i="27"/>
  <c r="F154" i="27"/>
  <c r="I154" i="27" s="1"/>
  <c r="F155" i="27"/>
  <c r="F156" i="27"/>
  <c r="F157" i="27"/>
  <c r="F158" i="27"/>
  <c r="I158" i="27" s="1"/>
  <c r="F159" i="27"/>
  <c r="F160" i="27"/>
  <c r="F161" i="27"/>
  <c r="F162" i="27"/>
  <c r="I162" i="27" s="1"/>
  <c r="F163" i="27"/>
  <c r="F164" i="27"/>
  <c r="F165" i="27"/>
  <c r="I165" i="27" s="1"/>
  <c r="F166" i="27"/>
  <c r="F167" i="27"/>
  <c r="F168" i="27"/>
  <c r="F169" i="27"/>
  <c r="I169" i="27" s="1"/>
  <c r="F170" i="27"/>
  <c r="F171" i="27"/>
  <c r="F172" i="27"/>
  <c r="I172" i="27" s="1"/>
  <c r="F173" i="27"/>
  <c r="I173" i="27" s="1"/>
  <c r="F174" i="27"/>
  <c r="F175" i="27"/>
  <c r="F176" i="27"/>
  <c r="I176" i="27" s="1"/>
  <c r="F177" i="27"/>
  <c r="F178" i="27"/>
  <c r="I178" i="27" s="1"/>
  <c r="F179" i="27"/>
  <c r="F180" i="27"/>
  <c r="F181" i="27"/>
  <c r="F182" i="27"/>
  <c r="I182" i="27" s="1"/>
  <c r="F183" i="27"/>
  <c r="F184" i="27"/>
  <c r="F185" i="27"/>
  <c r="F186" i="27"/>
  <c r="I186" i="27" s="1"/>
  <c r="F187" i="27"/>
  <c r="F188" i="27"/>
  <c r="F189" i="27"/>
  <c r="I189" i="27" s="1"/>
  <c r="F190" i="27"/>
  <c r="F191" i="27"/>
  <c r="F192" i="27"/>
  <c r="F193" i="27"/>
  <c r="I193" i="27" s="1"/>
  <c r="F194" i="27"/>
  <c r="F195" i="27"/>
  <c r="F196" i="27"/>
  <c r="I196" i="27" s="1"/>
  <c r="F197" i="27"/>
  <c r="I197" i="27" s="1"/>
  <c r="F198" i="27"/>
  <c r="I198" i="27" s="1"/>
  <c r="F199" i="27"/>
  <c r="F200" i="27"/>
  <c r="F201" i="27"/>
  <c r="F202" i="27"/>
  <c r="I202" i="27" s="1"/>
  <c r="F203" i="27"/>
  <c r="F204" i="27"/>
  <c r="F205" i="27"/>
  <c r="F206" i="27"/>
  <c r="I206" i="27" s="1"/>
  <c r="F207" i="27"/>
  <c r="F208" i="27"/>
  <c r="F209" i="27"/>
  <c r="I209" i="27" s="1"/>
  <c r="F210" i="27"/>
  <c r="F211" i="27"/>
  <c r="F212" i="27"/>
  <c r="F213" i="27"/>
  <c r="I213" i="27" s="1"/>
  <c r="F214" i="27"/>
  <c r="F215" i="27"/>
  <c r="F216" i="27"/>
  <c r="I216" i="27" s="1"/>
  <c r="F217" i="27"/>
  <c r="I217" i="27" s="1"/>
  <c r="F218" i="27"/>
  <c r="F219" i="27"/>
  <c r="F220" i="27"/>
  <c r="I220" i="27" s="1"/>
  <c r="F221" i="27"/>
  <c r="F222" i="27"/>
  <c r="I222" i="27" s="1"/>
  <c r="F223" i="27"/>
  <c r="F224" i="27"/>
  <c r="F225" i="27"/>
  <c r="F226" i="27"/>
  <c r="I226" i="27" s="1"/>
  <c r="F227" i="27"/>
  <c r="F228" i="27"/>
  <c r="F229" i="27"/>
  <c r="I229" i="27" s="1"/>
  <c r="F230" i="27"/>
  <c r="F231" i="27"/>
  <c r="F232" i="27"/>
  <c r="F233" i="27"/>
  <c r="I233" i="27" s="1"/>
  <c r="F234" i="27"/>
  <c r="F235" i="27"/>
  <c r="F236" i="27"/>
  <c r="I236" i="27" s="1"/>
  <c r="F237" i="27"/>
  <c r="I237" i="27" s="1"/>
  <c r="F238" i="27"/>
  <c r="F239" i="27"/>
  <c r="F240" i="27"/>
  <c r="I240" i="27" s="1"/>
  <c r="F241" i="27"/>
  <c r="I241" i="27" s="1"/>
  <c r="F242" i="27"/>
  <c r="I242" i="27" s="1"/>
  <c r="F2" i="27"/>
  <c r="S12" i="27"/>
  <c r="I5" i="27"/>
  <c r="I9" i="27"/>
  <c r="I25" i="27"/>
  <c r="I29" i="27"/>
  <c r="I45" i="27"/>
  <c r="I53" i="27"/>
  <c r="I69" i="27"/>
  <c r="I73" i="27"/>
  <c r="I89" i="27"/>
  <c r="I93" i="27"/>
  <c r="I109" i="27"/>
  <c r="I117" i="27"/>
  <c r="I133" i="27"/>
  <c r="I137" i="27"/>
  <c r="I153" i="27"/>
  <c r="I157" i="27"/>
  <c r="I177" i="27"/>
  <c r="I181" i="27"/>
  <c r="I201" i="27"/>
  <c r="I221" i="27"/>
  <c r="I225" i="27"/>
  <c r="I3" i="27"/>
  <c r="I7" i="27"/>
  <c r="I8" i="27"/>
  <c r="I11" i="27"/>
  <c r="I12" i="27"/>
  <c r="I14" i="27"/>
  <c r="I15" i="27"/>
  <c r="I16" i="27"/>
  <c r="I17" i="27"/>
  <c r="I18" i="27"/>
  <c r="I19" i="27"/>
  <c r="I20" i="27"/>
  <c r="I23" i="27"/>
  <c r="I27" i="27"/>
  <c r="I28" i="27"/>
  <c r="I31" i="27"/>
  <c r="I32" i="27"/>
  <c r="I33" i="27"/>
  <c r="I35" i="27"/>
  <c r="I36" i="27"/>
  <c r="I38" i="27"/>
  <c r="I39" i="27"/>
  <c r="I40" i="27"/>
  <c r="I43" i="27"/>
  <c r="I47" i="27"/>
  <c r="I48" i="27"/>
  <c r="I51" i="27"/>
  <c r="I52" i="27"/>
  <c r="I55" i="27"/>
  <c r="I56" i="27"/>
  <c r="I58" i="27"/>
  <c r="I59" i="27"/>
  <c r="I60" i="27"/>
  <c r="I63" i="27"/>
  <c r="I67" i="27"/>
  <c r="I71" i="27"/>
  <c r="I72" i="27"/>
  <c r="I75" i="27"/>
  <c r="I76" i="27"/>
  <c r="I78" i="27"/>
  <c r="I79" i="27"/>
  <c r="I80" i="27"/>
  <c r="I81" i="27"/>
  <c r="I82" i="27"/>
  <c r="I83" i="27"/>
  <c r="I84" i="27"/>
  <c r="I87" i="27"/>
  <c r="I91" i="27"/>
  <c r="I92" i="27"/>
  <c r="I95" i="27"/>
  <c r="I96" i="27"/>
  <c r="I97" i="27"/>
  <c r="I99" i="27"/>
  <c r="I100" i="27"/>
  <c r="I102" i="27"/>
  <c r="I103" i="27"/>
  <c r="I104" i="27"/>
  <c r="I107" i="27"/>
  <c r="I111" i="27"/>
  <c r="I112" i="27"/>
  <c r="I115" i="27"/>
  <c r="I116" i="27"/>
  <c r="I119" i="27"/>
  <c r="I120" i="27"/>
  <c r="I122" i="27"/>
  <c r="I123" i="27"/>
  <c r="I124" i="27"/>
  <c r="I127" i="27"/>
  <c r="I131" i="27"/>
  <c r="I135" i="27"/>
  <c r="I136" i="27"/>
  <c r="I139" i="27"/>
  <c r="I140" i="27"/>
  <c r="I142" i="27"/>
  <c r="I143" i="27"/>
  <c r="I144" i="27"/>
  <c r="I145" i="27"/>
  <c r="I146" i="27"/>
  <c r="I147" i="27"/>
  <c r="I148" i="27"/>
  <c r="I151" i="27"/>
  <c r="I155" i="27"/>
  <c r="I156" i="27"/>
  <c r="I159" i="27"/>
  <c r="I160" i="27"/>
  <c r="I161" i="27"/>
  <c r="I163" i="27"/>
  <c r="I164" i="27"/>
  <c r="I166" i="27"/>
  <c r="I167" i="27"/>
  <c r="I168" i="27"/>
  <c r="I170" i="27"/>
  <c r="I171" i="27"/>
  <c r="I174" i="27"/>
  <c r="I175" i="27"/>
  <c r="I179" i="27"/>
  <c r="I180" i="27"/>
  <c r="I183" i="27"/>
  <c r="I184" i="27"/>
  <c r="I185" i="27"/>
  <c r="I187" i="27"/>
  <c r="I188" i="27"/>
  <c r="I190" i="27"/>
  <c r="I191" i="27"/>
  <c r="I192" i="27"/>
  <c r="I194" i="27"/>
  <c r="I195" i="27"/>
  <c r="I199" i="27"/>
  <c r="I200" i="27"/>
  <c r="I203" i="27"/>
  <c r="I204" i="27"/>
  <c r="I205" i="27"/>
  <c r="I207" i="27"/>
  <c r="I208" i="27"/>
  <c r="I210" i="27"/>
  <c r="I211" i="27"/>
  <c r="I212" i="27"/>
  <c r="I214" i="27"/>
  <c r="I215" i="27"/>
  <c r="I218" i="27"/>
  <c r="I219" i="27"/>
  <c r="I223" i="27"/>
  <c r="I224" i="27"/>
  <c r="I227" i="27"/>
  <c r="I228" i="27"/>
  <c r="I230" i="27"/>
  <c r="I231" i="27"/>
  <c r="I232" i="27"/>
  <c r="I234" i="27"/>
  <c r="I235" i="27"/>
  <c r="I238" i="27"/>
  <c r="I239" i="27"/>
  <c r="I2" i="27"/>
  <c r="J3" i="27" s="1"/>
  <c r="J4" i="27" s="1"/>
  <c r="O242" i="27"/>
  <c r="S7" i="27" s="1"/>
  <c r="H242" i="27"/>
  <c r="H241" i="27"/>
  <c r="H240" i="27"/>
  <c r="H239" i="27"/>
  <c r="H238" i="27"/>
  <c r="H237" i="27"/>
  <c r="H236" i="27"/>
  <c r="H235" i="27"/>
  <c r="H234" i="27"/>
  <c r="H233" i="27"/>
  <c r="H232" i="27"/>
  <c r="H231" i="27"/>
  <c r="H230" i="27"/>
  <c r="H229" i="27"/>
  <c r="H228" i="27"/>
  <c r="H227" i="27"/>
  <c r="H226" i="27"/>
  <c r="H225" i="27"/>
  <c r="H224" i="27"/>
  <c r="H223" i="27"/>
  <c r="H222" i="27"/>
  <c r="H221" i="27"/>
  <c r="H220" i="27"/>
  <c r="H219" i="27"/>
  <c r="H218" i="27"/>
  <c r="H217" i="27"/>
  <c r="H216" i="27"/>
  <c r="H215" i="27"/>
  <c r="H214" i="27"/>
  <c r="H213" i="27"/>
  <c r="H212" i="27"/>
  <c r="H211" i="27"/>
  <c r="H210" i="27"/>
  <c r="H209" i="27"/>
  <c r="H208" i="27"/>
  <c r="H207" i="27"/>
  <c r="H206" i="27"/>
  <c r="H205" i="27"/>
  <c r="H204" i="27"/>
  <c r="H203" i="27"/>
  <c r="H202" i="27"/>
  <c r="H201" i="27"/>
  <c r="H200" i="27"/>
  <c r="H199" i="27"/>
  <c r="H198" i="27"/>
  <c r="H197" i="27"/>
  <c r="H196" i="27"/>
  <c r="H195" i="27"/>
  <c r="H194" i="27"/>
  <c r="H193" i="27"/>
  <c r="H192" i="27"/>
  <c r="H191" i="27"/>
  <c r="H190" i="27"/>
  <c r="H189" i="27"/>
  <c r="H188" i="27"/>
  <c r="H187" i="27"/>
  <c r="H186" i="27"/>
  <c r="H185" i="27"/>
  <c r="H184" i="27"/>
  <c r="H183" i="27"/>
  <c r="H182" i="27"/>
  <c r="G243" i="27" s="1"/>
  <c r="H181" i="27"/>
  <c r="H180" i="27"/>
  <c r="H179" i="27"/>
  <c r="H178" i="27"/>
  <c r="H177" i="27"/>
  <c r="H176" i="27"/>
  <c r="H175" i="27"/>
  <c r="H174" i="27"/>
  <c r="H173" i="27"/>
  <c r="H172" i="27"/>
  <c r="H171" i="27"/>
  <c r="H170" i="27"/>
  <c r="H169" i="27"/>
  <c r="H168" i="27"/>
  <c r="H167" i="27"/>
  <c r="H166" i="27"/>
  <c r="H165" i="27"/>
  <c r="H164" i="27"/>
  <c r="H163" i="27"/>
  <c r="H162" i="27"/>
  <c r="H161" i="27"/>
  <c r="H160" i="27"/>
  <c r="H159" i="27"/>
  <c r="H158" i="27"/>
  <c r="H157" i="27"/>
  <c r="H156" i="27"/>
  <c r="H155" i="27"/>
  <c r="H154" i="27"/>
  <c r="H153" i="27"/>
  <c r="H152" i="27"/>
  <c r="H151" i="27"/>
  <c r="H150" i="27"/>
  <c r="H149" i="27"/>
  <c r="H148" i="27"/>
  <c r="H147" i="27"/>
  <c r="H146" i="27"/>
  <c r="H145" i="27"/>
  <c r="H144" i="27"/>
  <c r="H143" i="27"/>
  <c r="H142" i="27"/>
  <c r="H141" i="27"/>
  <c r="H140" i="27"/>
  <c r="H139" i="27"/>
  <c r="H138" i="27"/>
  <c r="H137" i="27"/>
  <c r="H136" i="27"/>
  <c r="H135" i="27"/>
  <c r="H134" i="27"/>
  <c r="H133" i="27"/>
  <c r="H132" i="27"/>
  <c r="H131" i="27"/>
  <c r="H130" i="27"/>
  <c r="H129" i="27"/>
  <c r="H128" i="27"/>
  <c r="H127" i="27"/>
  <c r="H126" i="27"/>
  <c r="H125" i="27"/>
  <c r="H124" i="27"/>
  <c r="H123" i="27"/>
  <c r="H122" i="27"/>
  <c r="H121" i="27"/>
  <c r="H120" i="27"/>
  <c r="H119" i="27"/>
  <c r="H118" i="27"/>
  <c r="H117" i="27"/>
  <c r="H116" i="27"/>
  <c r="H115" i="27"/>
  <c r="H114" i="27"/>
  <c r="H113" i="27"/>
  <c r="H112" i="27"/>
  <c r="H111" i="27"/>
  <c r="H110" i="27"/>
  <c r="H109" i="27"/>
  <c r="H108" i="27"/>
  <c r="H107" i="27"/>
  <c r="H106" i="27"/>
  <c r="H105" i="27"/>
  <c r="H104" i="27"/>
  <c r="H103" i="27"/>
  <c r="H102" i="27"/>
  <c r="H101" i="27"/>
  <c r="H100" i="27"/>
  <c r="H99" i="27"/>
  <c r="H98" i="27"/>
  <c r="H97" i="27"/>
  <c r="H96" i="27"/>
  <c r="H95" i="27"/>
  <c r="H94" i="27"/>
  <c r="H93" i="27"/>
  <c r="H92" i="27"/>
  <c r="H91" i="27"/>
  <c r="H90" i="27"/>
  <c r="H89" i="27"/>
  <c r="H88" i="27"/>
  <c r="H87" i="27"/>
  <c r="H86" i="27"/>
  <c r="H85" i="27"/>
  <c r="H84" i="27"/>
  <c r="H83" i="27"/>
  <c r="H82" i="27"/>
  <c r="H81" i="27"/>
  <c r="H80" i="27"/>
  <c r="H79" i="27"/>
  <c r="H78" i="27"/>
  <c r="H77" i="27"/>
  <c r="H76" i="27"/>
  <c r="H75" i="27"/>
  <c r="H74" i="27"/>
  <c r="H73" i="27"/>
  <c r="H72" i="27"/>
  <c r="H71" i="27"/>
  <c r="H70" i="27"/>
  <c r="H69" i="27"/>
  <c r="H68" i="27"/>
  <c r="H67" i="27"/>
  <c r="H66" i="27"/>
  <c r="H65" i="27"/>
  <c r="H64" i="27"/>
  <c r="H63" i="27"/>
  <c r="H62" i="27"/>
  <c r="H61" i="27"/>
  <c r="H60" i="27"/>
  <c r="H59" i="27"/>
  <c r="H58" i="27"/>
  <c r="H57" i="27"/>
  <c r="H56" i="27"/>
  <c r="H55" i="27"/>
  <c r="H54" i="27"/>
  <c r="H53" i="27"/>
  <c r="H52" i="27"/>
  <c r="H51" i="27"/>
  <c r="H50" i="27"/>
  <c r="H49" i="27"/>
  <c r="H48" i="27"/>
  <c r="H47" i="27"/>
  <c r="H46" i="27"/>
  <c r="H45" i="27"/>
  <c r="H44" i="27"/>
  <c r="H43" i="27"/>
  <c r="H42" i="27"/>
  <c r="H41" i="27"/>
  <c r="H40" i="27"/>
  <c r="H39" i="27"/>
  <c r="H38" i="27"/>
  <c r="H37" i="27"/>
  <c r="H36" i="27"/>
  <c r="H35" i="27"/>
  <c r="H34" i="27"/>
  <c r="H33" i="27"/>
  <c r="H32" i="27"/>
  <c r="H30" i="27"/>
  <c r="H29" i="27"/>
  <c r="H28" i="27"/>
  <c r="H27" i="27"/>
  <c r="H26" i="27"/>
  <c r="H25" i="27"/>
  <c r="H24" i="27"/>
  <c r="H23" i="27"/>
  <c r="H22" i="27"/>
  <c r="H21" i="27"/>
  <c r="H20" i="27"/>
  <c r="H19" i="27"/>
  <c r="H18" i="27"/>
  <c r="H17" i="27"/>
  <c r="H16" i="27"/>
  <c r="H15" i="27"/>
  <c r="H14" i="27"/>
  <c r="H13" i="27"/>
  <c r="H12" i="27"/>
  <c r="H11" i="27"/>
  <c r="H10" i="27"/>
  <c r="H9" i="27"/>
  <c r="H8" i="27"/>
  <c r="H7" i="27"/>
  <c r="H6" i="27"/>
  <c r="S5" i="27"/>
  <c r="H5" i="27"/>
  <c r="H4" i="27"/>
  <c r="H3" i="27"/>
  <c r="N2" i="27"/>
  <c r="N3" i="27" s="1"/>
  <c r="H2" i="27"/>
  <c r="R12" i="8"/>
  <c r="R5" i="8"/>
  <c r="H2" i="8"/>
  <c r="I3" i="8" s="1"/>
  <c r="I4" i="8" s="1"/>
  <c r="G2" i="8"/>
  <c r="N242" i="8"/>
  <c r="R7" i="8" s="1"/>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139" i="8"/>
  <c r="H140" i="8"/>
  <c r="H141" i="8"/>
  <c r="H142" i="8"/>
  <c r="H143" i="8"/>
  <c r="H144" i="8"/>
  <c r="H145" i="8"/>
  <c r="H146" i="8"/>
  <c r="H147" i="8"/>
  <c r="H148" i="8"/>
  <c r="H149" i="8"/>
  <c r="H150" i="8"/>
  <c r="H151" i="8"/>
  <c r="H152" i="8"/>
  <c r="H153" i="8"/>
  <c r="H154" i="8"/>
  <c r="H155" i="8"/>
  <c r="H3" i="8"/>
  <c r="M2" i="8"/>
  <c r="H7" i="8"/>
  <c r="R13" i="8" l="1"/>
  <c r="R14" i="8"/>
  <c r="R15" i="8"/>
  <c r="H243" i="27"/>
  <c r="R16" i="8"/>
  <c r="J5" i="27"/>
  <c r="J6" i="27" s="1"/>
  <c r="J7" i="27" s="1"/>
  <c r="J8" i="27" s="1"/>
  <c r="J9" i="27" s="1"/>
  <c r="J10" i="27" s="1"/>
  <c r="J11" i="27" s="1"/>
  <c r="J12" i="27" s="1"/>
  <c r="J13" i="27" s="1"/>
  <c r="J14" i="27" s="1"/>
  <c r="J15" i="27" s="1"/>
  <c r="J16" i="27" s="1"/>
  <c r="J17" i="27" s="1"/>
  <c r="J18" i="27" s="1"/>
  <c r="J19" i="27" s="1"/>
  <c r="J20" i="27" s="1"/>
  <c r="J21" i="27" s="1"/>
  <c r="J22" i="27" s="1"/>
  <c r="J23" i="27" s="1"/>
  <c r="J24" i="27" s="1"/>
  <c r="J25" i="27" s="1"/>
  <c r="J26" i="27" s="1"/>
  <c r="J27" i="27" s="1"/>
  <c r="J28" i="27" s="1"/>
  <c r="J29" i="27" s="1"/>
  <c r="J30" i="27" s="1"/>
  <c r="J31" i="27" s="1"/>
  <c r="J32" i="27" s="1"/>
  <c r="J33" i="27" s="1"/>
  <c r="J34" i="27" s="1"/>
  <c r="J35" i="27" s="1"/>
  <c r="J36" i="27" s="1"/>
  <c r="J37" i="27" s="1"/>
  <c r="J38" i="27" s="1"/>
  <c r="J39" i="27" s="1"/>
  <c r="J40" i="27" s="1"/>
  <c r="J41" i="27" s="1"/>
  <c r="J42" i="27" s="1"/>
  <c r="J43" i="27" s="1"/>
  <c r="J44" i="27" s="1"/>
  <c r="J45" i="27" s="1"/>
  <c r="J46" i="27" s="1"/>
  <c r="J47" i="27" s="1"/>
  <c r="J48" i="27" s="1"/>
  <c r="J49" i="27" s="1"/>
  <c r="J50" i="27" s="1"/>
  <c r="J51" i="27" s="1"/>
  <c r="J52" i="27" s="1"/>
  <c r="J53" i="27" s="1"/>
  <c r="J54" i="27" s="1"/>
  <c r="J55" i="27" s="1"/>
  <c r="J56" i="27" s="1"/>
  <c r="J57" i="27" s="1"/>
  <c r="J58" i="27" s="1"/>
  <c r="J59" i="27" s="1"/>
  <c r="J60" i="27" s="1"/>
  <c r="J61" i="27" s="1"/>
  <c r="J62" i="27" s="1"/>
  <c r="J63" i="27" s="1"/>
  <c r="J64" i="27" s="1"/>
  <c r="J65" i="27" s="1"/>
  <c r="J66" i="27" s="1"/>
  <c r="J67" i="27" s="1"/>
  <c r="J68" i="27" s="1"/>
  <c r="J69" i="27" s="1"/>
  <c r="J70" i="27" s="1"/>
  <c r="J71" i="27" s="1"/>
  <c r="J72" i="27" s="1"/>
  <c r="J73" i="27" s="1"/>
  <c r="J74" i="27" s="1"/>
  <c r="J75" i="27" s="1"/>
  <c r="J76" i="27" s="1"/>
  <c r="J77" i="27" s="1"/>
  <c r="J78" i="27" s="1"/>
  <c r="J79" i="27" s="1"/>
  <c r="J80" i="27" s="1"/>
  <c r="J81" i="27" s="1"/>
  <c r="J82" i="27" s="1"/>
  <c r="J83" i="27" s="1"/>
  <c r="J84" i="27" s="1"/>
  <c r="J85" i="27" s="1"/>
  <c r="J86" i="27" s="1"/>
  <c r="J87" i="27" s="1"/>
  <c r="J88" i="27" s="1"/>
  <c r="J89" i="27" s="1"/>
  <c r="J90" i="27" s="1"/>
  <c r="J91" i="27" s="1"/>
  <c r="J92" i="27" s="1"/>
  <c r="J93" i="27" s="1"/>
  <c r="J94" i="27" s="1"/>
  <c r="J95" i="27" s="1"/>
  <c r="J96" i="27" s="1"/>
  <c r="J97" i="27" s="1"/>
  <c r="J98" i="27" s="1"/>
  <c r="J99" i="27" s="1"/>
  <c r="J100" i="27" s="1"/>
  <c r="J101" i="27" s="1"/>
  <c r="J102" i="27" s="1"/>
  <c r="J103" i="27" s="1"/>
  <c r="J104" i="27" s="1"/>
  <c r="J105" i="27" s="1"/>
  <c r="J106" i="27" s="1"/>
  <c r="J107" i="27" s="1"/>
  <c r="J108" i="27" s="1"/>
  <c r="J109" i="27" s="1"/>
  <c r="J110" i="27" s="1"/>
  <c r="J111" i="27" s="1"/>
  <c r="J112" i="27" s="1"/>
  <c r="J113" i="27" s="1"/>
  <c r="J114" i="27" s="1"/>
  <c r="J115" i="27" s="1"/>
  <c r="J116" i="27" s="1"/>
  <c r="J117" i="27" s="1"/>
  <c r="J118" i="27" s="1"/>
  <c r="J119" i="27" s="1"/>
  <c r="J120" i="27" s="1"/>
  <c r="J121" i="27" s="1"/>
  <c r="J122" i="27" s="1"/>
  <c r="J123" i="27" s="1"/>
  <c r="J124" i="27" s="1"/>
  <c r="J125" i="27" s="1"/>
  <c r="J126" i="27" s="1"/>
  <c r="J127" i="27" s="1"/>
  <c r="J128" i="27" s="1"/>
  <c r="J129" i="27" s="1"/>
  <c r="J130" i="27" s="1"/>
  <c r="J131" i="27" s="1"/>
  <c r="J132" i="27" s="1"/>
  <c r="J133" i="27" s="1"/>
  <c r="J134" i="27" s="1"/>
  <c r="J135" i="27" s="1"/>
  <c r="J136" i="27" s="1"/>
  <c r="J137" i="27" s="1"/>
  <c r="J138" i="27" s="1"/>
  <c r="J139" i="27" s="1"/>
  <c r="J140" i="27" s="1"/>
  <c r="J141" i="27" s="1"/>
  <c r="J142" i="27" s="1"/>
  <c r="J143" i="27" s="1"/>
  <c r="J144" i="27" s="1"/>
  <c r="J145" i="27" s="1"/>
  <c r="J146" i="27" s="1"/>
  <c r="J147" i="27" s="1"/>
  <c r="J148" i="27" s="1"/>
  <c r="J149" i="27" s="1"/>
  <c r="J150" i="27" s="1"/>
  <c r="J151" i="27" s="1"/>
  <c r="J152" i="27" s="1"/>
  <c r="J153" i="27" s="1"/>
  <c r="J154" i="27" s="1"/>
  <c r="J155" i="27" s="1"/>
  <c r="J156" i="27" s="1"/>
  <c r="J157" i="27" s="1"/>
  <c r="J158" i="27" s="1"/>
  <c r="J159" i="27" s="1"/>
  <c r="J160" i="27" s="1"/>
  <c r="J161" i="27" s="1"/>
  <c r="J162" i="27" s="1"/>
  <c r="J163" i="27" s="1"/>
  <c r="J164" i="27" s="1"/>
  <c r="J165" i="27" s="1"/>
  <c r="J166" i="27" s="1"/>
  <c r="J167" i="27" s="1"/>
  <c r="J168" i="27" s="1"/>
  <c r="J169" i="27" s="1"/>
  <c r="J170" i="27" s="1"/>
  <c r="J171" i="27" s="1"/>
  <c r="J172" i="27" s="1"/>
  <c r="J173" i="27" s="1"/>
  <c r="J174" i="27" s="1"/>
  <c r="J175" i="27" s="1"/>
  <c r="J176" i="27" s="1"/>
  <c r="J177" i="27" s="1"/>
  <c r="J178" i="27" s="1"/>
  <c r="J179" i="27" s="1"/>
  <c r="J180" i="27" s="1"/>
  <c r="J181" i="27" s="1"/>
  <c r="J182" i="27" s="1"/>
  <c r="J183" i="27" s="1"/>
  <c r="J184" i="27" s="1"/>
  <c r="J185" i="27" s="1"/>
  <c r="J186" i="27" s="1"/>
  <c r="J187" i="27" s="1"/>
  <c r="J188" i="27" s="1"/>
  <c r="J189" i="27" s="1"/>
  <c r="J190" i="27" s="1"/>
  <c r="J191" i="27" s="1"/>
  <c r="J192" i="27" s="1"/>
  <c r="J193" i="27" s="1"/>
  <c r="J194" i="27" s="1"/>
  <c r="J195" i="27" s="1"/>
  <c r="J196" i="27" s="1"/>
  <c r="J197" i="27" s="1"/>
  <c r="J198" i="27" s="1"/>
  <c r="J199" i="27" s="1"/>
  <c r="J200" i="27" s="1"/>
  <c r="J201" i="27" s="1"/>
  <c r="J202" i="27" s="1"/>
  <c r="J203" i="27" s="1"/>
  <c r="J204" i="27" s="1"/>
  <c r="J205" i="27" s="1"/>
  <c r="J206" i="27" s="1"/>
  <c r="J207" i="27" s="1"/>
  <c r="J208" i="27" s="1"/>
  <c r="J209" i="27" s="1"/>
  <c r="J210" i="27" s="1"/>
  <c r="J211" i="27" s="1"/>
  <c r="J212" i="27" s="1"/>
  <c r="J213" i="27" s="1"/>
  <c r="J214" i="27" s="1"/>
  <c r="J215" i="27" s="1"/>
  <c r="J216" i="27" s="1"/>
  <c r="J217" i="27" s="1"/>
  <c r="J218" i="27" s="1"/>
  <c r="J219" i="27" s="1"/>
  <c r="J220" i="27" s="1"/>
  <c r="J221" i="27" s="1"/>
  <c r="J222" i="27" s="1"/>
  <c r="J223" i="27" s="1"/>
  <c r="J224" i="27" s="1"/>
  <c r="J225" i="27" s="1"/>
  <c r="J226" i="27" s="1"/>
  <c r="J227" i="27" s="1"/>
  <c r="J228" i="27" s="1"/>
  <c r="J229" i="27" s="1"/>
  <c r="J230" i="27" s="1"/>
  <c r="J231" i="27" s="1"/>
  <c r="J232" i="27" s="1"/>
  <c r="J233" i="27" s="1"/>
  <c r="J234" i="27" s="1"/>
  <c r="J235" i="27" s="1"/>
  <c r="J236" i="27" s="1"/>
  <c r="J237" i="27" s="1"/>
  <c r="J238" i="27" s="1"/>
  <c r="J239" i="27" s="1"/>
  <c r="J240" i="27" s="1"/>
  <c r="J241" i="27" s="1"/>
  <c r="J242" i="27" s="1"/>
  <c r="S15" i="27"/>
  <c r="S13" i="27"/>
  <c r="K2" i="27"/>
  <c r="O2" i="27" s="1"/>
  <c r="S4" i="27"/>
  <c r="S3" i="27" s="1"/>
  <c r="S6" i="27" s="1"/>
  <c r="S14" i="27"/>
  <c r="S16" i="27"/>
  <c r="S18" i="27"/>
  <c r="N4" i="27"/>
  <c r="N5" i="27" s="1"/>
  <c r="N6" i="27" s="1"/>
  <c r="N7" i="27" s="1"/>
  <c r="K3" i="27"/>
  <c r="O3" i="27" s="1"/>
  <c r="S17" i="27"/>
  <c r="J2" i="8"/>
  <c r="N2" i="8" s="1"/>
  <c r="K5" i="27" l="1"/>
  <c r="O5" i="27" s="1"/>
  <c r="K6" i="27"/>
  <c r="O6" i="27" s="1"/>
  <c r="K7" i="27"/>
  <c r="O7" i="27" s="1"/>
  <c r="N8" i="27"/>
  <c r="K4" i="27"/>
  <c r="H4" i="8"/>
  <c r="H5" i="8"/>
  <c r="H6" i="8"/>
  <c r="H8" i="8"/>
  <c r="H9" i="8"/>
  <c r="H10" i="8"/>
  <c r="H11" i="8"/>
  <c r="H12" i="8"/>
  <c r="H13" i="8"/>
  <c r="H14" i="8"/>
  <c r="H15" i="8"/>
  <c r="H16" i="8"/>
  <c r="H17" i="8"/>
  <c r="H18" i="8"/>
  <c r="H19" i="8"/>
  <c r="H20" i="8"/>
  <c r="H21" i="8"/>
  <c r="H22" i="8"/>
  <c r="H23" i="8"/>
  <c r="H24" i="8"/>
  <c r="H25" i="8"/>
  <c r="H26" i="8"/>
  <c r="H27" i="8"/>
  <c r="H28" i="8"/>
  <c r="H29" i="8"/>
  <c r="H30"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R17" i="8" l="1"/>
  <c r="I5" i="8"/>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I137" i="8" s="1"/>
  <c r="I138" i="8" s="1"/>
  <c r="I139" i="8" s="1"/>
  <c r="I140" i="8" s="1"/>
  <c r="I141" i="8" s="1"/>
  <c r="I142" i="8" s="1"/>
  <c r="I143" i="8" s="1"/>
  <c r="I144" i="8" s="1"/>
  <c r="I145" i="8" s="1"/>
  <c r="I146" i="8" s="1"/>
  <c r="I147" i="8" s="1"/>
  <c r="I148" i="8" s="1"/>
  <c r="I149" i="8" s="1"/>
  <c r="I150" i="8" s="1"/>
  <c r="I151" i="8" s="1"/>
  <c r="I152" i="8" s="1"/>
  <c r="I153" i="8" s="1"/>
  <c r="I154" i="8" s="1"/>
  <c r="I155" i="8" s="1"/>
  <c r="I156" i="8" s="1"/>
  <c r="I157" i="8" s="1"/>
  <c r="I158" i="8" s="1"/>
  <c r="I159" i="8" s="1"/>
  <c r="I160" i="8" s="1"/>
  <c r="I161" i="8" s="1"/>
  <c r="I162" i="8" s="1"/>
  <c r="I163" i="8" s="1"/>
  <c r="I164" i="8" s="1"/>
  <c r="I165" i="8" s="1"/>
  <c r="I166" i="8" s="1"/>
  <c r="I167" i="8" s="1"/>
  <c r="I168" i="8" s="1"/>
  <c r="I169" i="8" s="1"/>
  <c r="I170" i="8" s="1"/>
  <c r="I171" i="8" s="1"/>
  <c r="I172" i="8" s="1"/>
  <c r="I173" i="8" s="1"/>
  <c r="I174" i="8" s="1"/>
  <c r="I175" i="8" s="1"/>
  <c r="I176" i="8" s="1"/>
  <c r="I177" i="8" s="1"/>
  <c r="I178" i="8" s="1"/>
  <c r="I179" i="8" s="1"/>
  <c r="I180" i="8" s="1"/>
  <c r="I181" i="8" s="1"/>
  <c r="I182" i="8" s="1"/>
  <c r="I183" i="8" s="1"/>
  <c r="I184" i="8" s="1"/>
  <c r="I185" i="8" s="1"/>
  <c r="I186" i="8" s="1"/>
  <c r="I187" i="8" s="1"/>
  <c r="I188" i="8" s="1"/>
  <c r="I189" i="8" s="1"/>
  <c r="I190" i="8" s="1"/>
  <c r="I191" i="8" s="1"/>
  <c r="I192" i="8" s="1"/>
  <c r="I193" i="8" s="1"/>
  <c r="I194" i="8" s="1"/>
  <c r="I195" i="8" s="1"/>
  <c r="I196" i="8" s="1"/>
  <c r="I197" i="8" s="1"/>
  <c r="I198" i="8" s="1"/>
  <c r="I199" i="8" s="1"/>
  <c r="I200" i="8" s="1"/>
  <c r="I201" i="8" s="1"/>
  <c r="I202" i="8" s="1"/>
  <c r="I203" i="8" s="1"/>
  <c r="I204" i="8" s="1"/>
  <c r="I205" i="8" s="1"/>
  <c r="I206" i="8" s="1"/>
  <c r="I207" i="8" s="1"/>
  <c r="I208" i="8" s="1"/>
  <c r="I209" i="8" s="1"/>
  <c r="I210" i="8" s="1"/>
  <c r="I211" i="8" s="1"/>
  <c r="I212" i="8" s="1"/>
  <c r="I213" i="8" s="1"/>
  <c r="I214" i="8" s="1"/>
  <c r="I215" i="8" s="1"/>
  <c r="I216" i="8" s="1"/>
  <c r="I217" i="8" s="1"/>
  <c r="I218" i="8" s="1"/>
  <c r="I219" i="8" s="1"/>
  <c r="I220" i="8" s="1"/>
  <c r="I221" i="8" s="1"/>
  <c r="I222" i="8" s="1"/>
  <c r="I223" i="8" s="1"/>
  <c r="I224" i="8" s="1"/>
  <c r="I225" i="8" s="1"/>
  <c r="I226" i="8" s="1"/>
  <c r="I227" i="8" s="1"/>
  <c r="I228" i="8" s="1"/>
  <c r="I229" i="8" s="1"/>
  <c r="I230" i="8" s="1"/>
  <c r="I231" i="8" s="1"/>
  <c r="I232" i="8" s="1"/>
  <c r="I233" i="8" s="1"/>
  <c r="I234" i="8" s="1"/>
  <c r="I235" i="8" s="1"/>
  <c r="I236" i="8" s="1"/>
  <c r="I237" i="8" s="1"/>
  <c r="I238" i="8" s="1"/>
  <c r="I239" i="8" s="1"/>
  <c r="I240" i="8" s="1"/>
  <c r="I241" i="8" s="1"/>
  <c r="I242" i="8" s="1"/>
  <c r="R18" i="8"/>
  <c r="K8" i="27"/>
  <c r="O8" i="27" s="1"/>
  <c r="N9" i="27"/>
  <c r="O4" i="27"/>
  <c r="M3" i="8"/>
  <c r="G121"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F243" i="8" l="1"/>
  <c r="N10" i="27"/>
  <c r="K9" i="27"/>
  <c r="M4" i="8"/>
  <c r="K10" i="27" l="1"/>
  <c r="O10" i="27" s="1"/>
  <c r="N11" i="27"/>
  <c r="O9" i="27"/>
  <c r="M5" i="8"/>
  <c r="F25" i="23" a="1"/>
  <c r="D17" i="23"/>
  <c r="D16" i="23"/>
  <c r="D15" i="23"/>
  <c r="D14" i="23"/>
  <c r="D13" i="23"/>
  <c r="D12" i="23"/>
  <c r="D11" i="23"/>
  <c r="D10" i="23"/>
  <c r="D9" i="23"/>
  <c r="D8" i="23"/>
  <c r="D7" i="23"/>
  <c r="D6" i="23"/>
  <c r="D5" i="23"/>
  <c r="D4" i="23"/>
  <c r="C4" i="23" a="1"/>
  <c r="E13" i="23" s="1"/>
  <c r="B4" i="23" a="1"/>
  <c r="B4" i="23" s="1"/>
  <c r="F64" i="22"/>
  <c r="F63" i="22"/>
  <c r="F62" i="22"/>
  <c r="F61" i="22"/>
  <c r="F60" i="22"/>
  <c r="F59" i="22"/>
  <c r="F58" i="22"/>
  <c r="F57" i="22"/>
  <c r="F56" i="22"/>
  <c r="F55" i="22"/>
  <c r="F54" i="22"/>
  <c r="F53" i="22"/>
  <c r="F52" i="22"/>
  <c r="F51" i="22"/>
  <c r="F50" i="22"/>
  <c r="F49" i="22"/>
  <c r="F48" i="22"/>
  <c r="F47" i="22"/>
  <c r="F46" i="22"/>
  <c r="F45" i="22"/>
  <c r="F44" i="22"/>
  <c r="F43" i="22"/>
  <c r="F42" i="22"/>
  <c r="F41" i="22"/>
  <c r="F40" i="22"/>
  <c r="F39" i="22"/>
  <c r="F38" i="22"/>
  <c r="F37" i="22"/>
  <c r="F36" i="22"/>
  <c r="F35" i="22"/>
  <c r="F34" i="22"/>
  <c r="F33" i="22"/>
  <c r="F32" i="22"/>
  <c r="F31" i="22"/>
  <c r="F30" i="22"/>
  <c r="F29" i="22"/>
  <c r="F28" i="22"/>
  <c r="F27" i="22"/>
  <c r="F26" i="22"/>
  <c r="F25" i="22"/>
  <c r="F24" i="22"/>
  <c r="U23" i="22"/>
  <c r="F23" i="22"/>
  <c r="U22" i="22"/>
  <c r="F22" i="22"/>
  <c r="V21" i="22"/>
  <c r="U21" i="22"/>
  <c r="F21" i="22"/>
  <c r="V20" i="22"/>
  <c r="U20" i="22"/>
  <c r="F20" i="22"/>
  <c r="V19" i="22"/>
  <c r="U19" i="22"/>
  <c r="F19" i="22"/>
  <c r="V18" i="22"/>
  <c r="U18" i="22"/>
  <c r="F18" i="22"/>
  <c r="V17" i="22"/>
  <c r="U17" i="22"/>
  <c r="F17" i="22"/>
  <c r="U16" i="22"/>
  <c r="V16" i="22" s="1"/>
  <c r="F16" i="22"/>
  <c r="U15" i="22"/>
  <c r="V15" i="22" s="1"/>
  <c r="F15" i="22"/>
  <c r="U14" i="22"/>
  <c r="V14" i="22" s="1"/>
  <c r="F14" i="22"/>
  <c r="V13" i="22"/>
  <c r="U13" i="22"/>
  <c r="F13" i="22"/>
  <c r="F12" i="22"/>
  <c r="F11" i="22"/>
  <c r="F10" i="22"/>
  <c r="F9" i="22"/>
  <c r="F8" i="22"/>
  <c r="F7" i="22"/>
  <c r="F6" i="22"/>
  <c r="F5" i="22"/>
  <c r="F4" i="22"/>
  <c r="F3" i="22"/>
  <c r="F2" i="22"/>
  <c r="C2" i="22" a="1"/>
  <c r="G15" i="22" s="1"/>
  <c r="B2" i="22" a="1"/>
  <c r="B2" i="22" s="1"/>
  <c r="D18" i="23" l="1"/>
  <c r="D25" i="23" a="1"/>
  <c r="D25" i="23" s="1"/>
  <c r="D39" i="23" s="1"/>
  <c r="I8" i="22"/>
  <c r="G17" i="22"/>
  <c r="C2" i="22"/>
  <c r="V4" i="22" s="1"/>
  <c r="I7" i="22"/>
  <c r="N7" i="22" s="1"/>
  <c r="I20" i="22"/>
  <c r="N20" i="22" s="1"/>
  <c r="E9" i="23"/>
  <c r="E17" i="23"/>
  <c r="I5" i="22"/>
  <c r="N12" i="27"/>
  <c r="K11" i="27"/>
  <c r="M6" i="8"/>
  <c r="G19" i="22"/>
  <c r="G21" i="22"/>
  <c r="H13" i="23"/>
  <c r="G13" i="23"/>
  <c r="V2" i="22"/>
  <c r="I2" i="22"/>
  <c r="O8" i="22"/>
  <c r="L20" i="22"/>
  <c r="M20" i="22" s="1"/>
  <c r="O20" i="22"/>
  <c r="I22" i="22"/>
  <c r="F68" i="22"/>
  <c r="F66" i="22"/>
  <c r="F67" i="22"/>
  <c r="G10" i="22"/>
  <c r="G12" i="22"/>
  <c r="V24" i="22"/>
  <c r="G3" i="22"/>
  <c r="N5" i="22"/>
  <c r="I6" i="22"/>
  <c r="N8" i="22"/>
  <c r="L8" i="22" s="1"/>
  <c r="M8" i="22" s="1"/>
  <c r="G9" i="22"/>
  <c r="I14" i="22"/>
  <c r="I16" i="22"/>
  <c r="P115" i="22"/>
  <c r="Y112" i="22"/>
  <c r="P111" i="22"/>
  <c r="Y108" i="22"/>
  <c r="Y105" i="22"/>
  <c r="Y103" i="22"/>
  <c r="Y101" i="22"/>
  <c r="Y97" i="22"/>
  <c r="P95" i="22"/>
  <c r="Y93" i="22"/>
  <c r="P91" i="22"/>
  <c r="Y89" i="22"/>
  <c r="P87" i="22"/>
  <c r="P85" i="22"/>
  <c r="P83" i="22"/>
  <c r="G64" i="22"/>
  <c r="G63" i="22"/>
  <c r="G62" i="22"/>
  <c r="G61" i="22"/>
  <c r="P139" i="22"/>
  <c r="P136" i="22"/>
  <c r="Y133" i="22"/>
  <c r="P132" i="22"/>
  <c r="Y129" i="22"/>
  <c r="P128" i="22"/>
  <c r="Y125" i="22"/>
  <c r="P124" i="22"/>
  <c r="Y121" i="22"/>
  <c r="P120" i="22"/>
  <c r="Y117" i="22"/>
  <c r="P116" i="22"/>
  <c r="Y114" i="22"/>
  <c r="P109" i="22"/>
  <c r="Y107" i="22"/>
  <c r="Y102" i="22"/>
  <c r="Y98" i="22"/>
  <c r="Y94" i="22"/>
  <c r="P93" i="22"/>
  <c r="P82" i="22"/>
  <c r="I63" i="22"/>
  <c r="I60" i="22"/>
  <c r="I59" i="22"/>
  <c r="I58" i="22"/>
  <c r="I57" i="22"/>
  <c r="I56" i="22"/>
  <c r="I55" i="22"/>
  <c r="I54" i="22"/>
  <c r="I53" i="22"/>
  <c r="I52" i="22"/>
  <c r="I51" i="22"/>
  <c r="I50" i="22"/>
  <c r="P138" i="22"/>
  <c r="Y134" i="22"/>
  <c r="P133" i="22"/>
  <c r="Y130" i="22"/>
  <c r="P129" i="22"/>
  <c r="Y126" i="22"/>
  <c r="P125" i="22"/>
  <c r="Y122" i="22"/>
  <c r="P121" i="22"/>
  <c r="Y118" i="22"/>
  <c r="P117" i="22"/>
  <c r="P114" i="22"/>
  <c r="P112" i="22"/>
  <c r="Y110" i="22"/>
  <c r="Y104" i="22"/>
  <c r="Y96" i="22"/>
  <c r="Y92" i="22"/>
  <c r="Y90" i="22"/>
  <c r="P89" i="22"/>
  <c r="P81" i="22"/>
  <c r="I62" i="22"/>
  <c r="P137" i="22"/>
  <c r="P131" i="22"/>
  <c r="Y128" i="22"/>
  <c r="P123" i="22"/>
  <c r="Y120" i="22"/>
  <c r="Y111" i="22"/>
  <c r="Y91" i="22"/>
  <c r="P88" i="22"/>
  <c r="I61" i="22"/>
  <c r="I49" i="22"/>
  <c r="I48" i="22"/>
  <c r="I47" i="22"/>
  <c r="I46" i="22"/>
  <c r="I45" i="22"/>
  <c r="I44" i="22"/>
  <c r="I43" i="22"/>
  <c r="I42" i="22"/>
  <c r="I41" i="22"/>
  <c r="I40" i="22"/>
  <c r="I39" i="22"/>
  <c r="I38" i="22"/>
  <c r="I37" i="22"/>
  <c r="I36" i="22"/>
  <c r="P140" i="22"/>
  <c r="Y135" i="22"/>
  <c r="P130" i="22"/>
  <c r="Y127" i="22"/>
  <c r="P122" i="22"/>
  <c r="Y119" i="22"/>
  <c r="Y113" i="22"/>
  <c r="P110" i="22"/>
  <c r="Y106" i="22"/>
  <c r="Y100" i="22"/>
  <c r="P94" i="22"/>
  <c r="P80" i="22"/>
  <c r="G59" i="22"/>
  <c r="G57" i="22"/>
  <c r="G55" i="22"/>
  <c r="G53" i="22"/>
  <c r="G51" i="22"/>
  <c r="Y131" i="22"/>
  <c r="P126" i="22"/>
  <c r="Y115" i="22"/>
  <c r="P108" i="22"/>
  <c r="Y95" i="22"/>
  <c r="Y88" i="22"/>
  <c r="G60" i="22"/>
  <c r="G52" i="22"/>
  <c r="I35" i="22"/>
  <c r="I34" i="22"/>
  <c r="I33" i="22"/>
  <c r="I32" i="22"/>
  <c r="I31" i="22"/>
  <c r="I30" i="22"/>
  <c r="I29" i="22"/>
  <c r="I28" i="22"/>
  <c r="I27" i="22"/>
  <c r="I26" i="22"/>
  <c r="I25" i="22"/>
  <c r="G23" i="22"/>
  <c r="P135" i="22"/>
  <c r="Y124" i="22"/>
  <c r="P119" i="22"/>
  <c r="P113" i="22"/>
  <c r="P86" i="22"/>
  <c r="G54" i="22"/>
  <c r="G49" i="22"/>
  <c r="G47" i="22"/>
  <c r="G45" i="22"/>
  <c r="G43" i="22"/>
  <c r="G41" i="22"/>
  <c r="G39" i="22"/>
  <c r="G37" i="22"/>
  <c r="I24" i="22"/>
  <c r="G22" i="22"/>
  <c r="I21" i="22"/>
  <c r="G20" i="22"/>
  <c r="I19" i="22"/>
  <c r="G18" i="22"/>
  <c r="I17" i="22"/>
  <c r="G16" i="22"/>
  <c r="I15" i="22"/>
  <c r="G14" i="22"/>
  <c r="I13" i="22"/>
  <c r="I12" i="22"/>
  <c r="I11" i="22"/>
  <c r="I10" i="22"/>
  <c r="G8" i="22"/>
  <c r="I4" i="22"/>
  <c r="I9" i="22"/>
  <c r="G7" i="22"/>
  <c r="P134" i="22"/>
  <c r="Y123" i="22"/>
  <c r="P118" i="22"/>
  <c r="P92" i="22"/>
  <c r="P84" i="22"/>
  <c r="G56" i="22"/>
  <c r="G35" i="22"/>
  <c r="G34" i="22"/>
  <c r="G33" i="22"/>
  <c r="G32" i="22"/>
  <c r="G31" i="22"/>
  <c r="G30" i="22"/>
  <c r="G29" i="22"/>
  <c r="G28" i="22"/>
  <c r="G27" i="22"/>
  <c r="G26" i="22"/>
  <c r="G25" i="22"/>
  <c r="I23" i="22"/>
  <c r="G6" i="22"/>
  <c r="G5" i="22"/>
  <c r="I3" i="22"/>
  <c r="Y132" i="22"/>
  <c r="P127" i="22"/>
  <c r="Y116" i="22"/>
  <c r="Y109" i="22"/>
  <c r="Y99" i="22"/>
  <c r="P90" i="22"/>
  <c r="I64" i="22"/>
  <c r="G58" i="22"/>
  <c r="G50" i="22"/>
  <c r="G48" i="22"/>
  <c r="G46" i="22"/>
  <c r="G44" i="22"/>
  <c r="G42" i="22"/>
  <c r="G40" i="22"/>
  <c r="G38" i="22"/>
  <c r="G36" i="22"/>
  <c r="G24" i="22"/>
  <c r="H3" i="22"/>
  <c r="H4" i="22" s="1"/>
  <c r="H5" i="22" s="1"/>
  <c r="H6" i="22" s="1"/>
  <c r="H7" i="22" s="1"/>
  <c r="H8" i="22" s="1"/>
  <c r="H9" i="22" s="1"/>
  <c r="H10" i="22" s="1"/>
  <c r="H11" i="22" s="1"/>
  <c r="H12" i="22" s="1"/>
  <c r="H13" i="22" s="1"/>
  <c r="H14" i="22" s="1"/>
  <c r="H15" i="22" s="1"/>
  <c r="H16" i="22" s="1"/>
  <c r="H17" i="22" s="1"/>
  <c r="H18" i="22" s="1"/>
  <c r="H19" i="22" s="1"/>
  <c r="H20" i="22" s="1"/>
  <c r="H21" i="22" s="1"/>
  <c r="H22" i="22" s="1"/>
  <c r="G4" i="22"/>
  <c r="O5" i="22"/>
  <c r="O7" i="22"/>
  <c r="G11" i="22"/>
  <c r="G13" i="22"/>
  <c r="I18" i="22"/>
  <c r="H9" i="23"/>
  <c r="G9" i="23"/>
  <c r="H17" i="23"/>
  <c r="G17" i="23"/>
  <c r="E5" i="23"/>
  <c r="C4" i="23"/>
  <c r="E15" i="23"/>
  <c r="E11" i="23"/>
  <c r="E7" i="23"/>
  <c r="E16" i="23"/>
  <c r="E12" i="23"/>
  <c r="E8" i="23"/>
  <c r="E14" i="23"/>
  <c r="E10" i="23"/>
  <c r="E6" i="23"/>
  <c r="F25" i="23"/>
  <c r="Q91" i="22" l="1"/>
  <c r="Z135" i="22"/>
  <c r="Q90" i="22"/>
  <c r="Q139" i="22"/>
  <c r="Z107" i="22"/>
  <c r="P20" i="22"/>
  <c r="V3" i="22"/>
  <c r="P107" i="22"/>
  <c r="L5" i="22"/>
  <c r="M5" i="22" s="1"/>
  <c r="P5" i="22" s="1"/>
  <c r="Z126" i="22"/>
  <c r="Z127" i="22"/>
  <c r="Q88" i="22"/>
  <c r="Q116" i="22"/>
  <c r="Q89" i="22"/>
  <c r="Q93" i="22"/>
  <c r="Q136" i="22"/>
  <c r="Q94" i="22"/>
  <c r="Q128" i="22"/>
  <c r="Z129" i="22"/>
  <c r="Q131" i="22"/>
  <c r="Q92" i="22"/>
  <c r="Q132" i="22"/>
  <c r="Z106" i="22"/>
  <c r="Q121" i="22"/>
  <c r="Q138" i="22"/>
  <c r="Q129" i="22"/>
  <c r="Q137" i="22"/>
  <c r="Z119" i="22"/>
  <c r="Q124" i="22"/>
  <c r="Z130" i="22"/>
  <c r="Q122" i="22"/>
  <c r="Z131" i="22"/>
  <c r="Z113" i="22"/>
  <c r="Q126" i="22"/>
  <c r="Q135" i="22"/>
  <c r="Q118" i="22"/>
  <c r="Z105" i="22"/>
  <c r="Q85" i="22"/>
  <c r="Q123" i="22"/>
  <c r="Q86" i="22"/>
  <c r="Z103" i="22"/>
  <c r="Z111" i="22"/>
  <c r="Z121" i="22"/>
  <c r="L7" i="22"/>
  <c r="M7" i="22" s="1"/>
  <c r="P7" i="22" s="1"/>
  <c r="P8" i="22"/>
  <c r="G2" i="22"/>
  <c r="Y87" i="22"/>
  <c r="Z101" i="22" s="1"/>
  <c r="Z133" i="22"/>
  <c r="Z125" i="22"/>
  <c r="Q140" i="22"/>
  <c r="Z118" i="22"/>
  <c r="Q134" i="22"/>
  <c r="Z114" i="22"/>
  <c r="Q125" i="22"/>
  <c r="Q133" i="22"/>
  <c r="Q87" i="22"/>
  <c r="Q120" i="22"/>
  <c r="P79" i="22"/>
  <c r="Q83" i="22" s="1"/>
  <c r="O11" i="27"/>
  <c r="N13" i="27"/>
  <c r="K12" i="27"/>
  <c r="O12" i="27" s="1"/>
  <c r="M7" i="8"/>
  <c r="T7" i="22"/>
  <c r="H23" i="22"/>
  <c r="H24" i="22" s="1"/>
  <c r="H25" i="22" s="1"/>
  <c r="H26" i="22" s="1"/>
  <c r="H27" i="22" s="1"/>
  <c r="H28" i="22" s="1"/>
  <c r="H29" i="22" s="1"/>
  <c r="H30" i="22" s="1"/>
  <c r="H32" i="22" s="1"/>
  <c r="H33" i="22" s="1"/>
  <c r="H34" i="22" s="1"/>
  <c r="H35" i="22" s="1"/>
  <c r="H36" i="22" s="1"/>
  <c r="H37" i="22" s="1"/>
  <c r="H38" i="22" s="1"/>
  <c r="H39" i="22" s="1"/>
  <c r="H40" i="22" s="1"/>
  <c r="H41" i="22" s="1"/>
  <c r="H42" i="22" s="1"/>
  <c r="H43" i="22" s="1"/>
  <c r="H44" i="22" s="1"/>
  <c r="O6" i="22"/>
  <c r="N6" i="22"/>
  <c r="L6" i="22" s="1"/>
  <c r="M6" i="22" s="1"/>
  <c r="O22" i="22"/>
  <c r="N22" i="22"/>
  <c r="L22" i="22" s="1"/>
  <c r="M22" i="22" s="1"/>
  <c r="H6" i="23"/>
  <c r="G6" i="23"/>
  <c r="H15" i="23"/>
  <c r="G15" i="23"/>
  <c r="O18" i="22"/>
  <c r="N18" i="22"/>
  <c r="L18" i="22" s="1"/>
  <c r="M18" i="22" s="1"/>
  <c r="N10" i="22"/>
  <c r="L10" i="22" s="1"/>
  <c r="M10" i="22" s="1"/>
  <c r="O10" i="22"/>
  <c r="Z132" i="22"/>
  <c r="N36" i="22"/>
  <c r="L36" i="22" s="1"/>
  <c r="M36" i="22" s="1"/>
  <c r="O36" i="22"/>
  <c r="N38" i="22"/>
  <c r="L38" i="22" s="1"/>
  <c r="M38" i="22" s="1"/>
  <c r="O38" i="22"/>
  <c r="N40" i="22"/>
  <c r="L40" i="22" s="1"/>
  <c r="M40" i="22" s="1"/>
  <c r="O40" i="22"/>
  <c r="N42" i="22"/>
  <c r="O42" i="22"/>
  <c r="L42" i="22"/>
  <c r="M42" i="22" s="1"/>
  <c r="P42" i="22" s="1"/>
  <c r="N44" i="22"/>
  <c r="L44" i="22" s="1"/>
  <c r="M44" i="22" s="1"/>
  <c r="P44" i="22" s="1"/>
  <c r="O44" i="22"/>
  <c r="N46" i="22"/>
  <c r="L46" i="22" s="1"/>
  <c r="M46" i="22" s="1"/>
  <c r="O46" i="22"/>
  <c r="N48" i="22"/>
  <c r="L48" i="22" s="1"/>
  <c r="M48" i="22" s="1"/>
  <c r="O48" i="22"/>
  <c r="Q84" i="22"/>
  <c r="Z123" i="22"/>
  <c r="N50" i="22"/>
  <c r="L50" i="22" s="1"/>
  <c r="M50" i="22" s="1"/>
  <c r="O50" i="22"/>
  <c r="N52" i="22"/>
  <c r="L52" i="22" s="1"/>
  <c r="M52" i="22" s="1"/>
  <c r="O52" i="22"/>
  <c r="N54" i="22"/>
  <c r="L54" i="22" s="1"/>
  <c r="M54" i="22" s="1"/>
  <c r="P54" i="22" s="1"/>
  <c r="O54" i="22"/>
  <c r="N56" i="22"/>
  <c r="L56" i="22" s="1"/>
  <c r="M56" i="22" s="1"/>
  <c r="O56" i="22"/>
  <c r="N58" i="22"/>
  <c r="L58" i="22" s="1"/>
  <c r="M58" i="22" s="1"/>
  <c r="O58" i="22"/>
  <c r="N60" i="22"/>
  <c r="L60" i="22" s="1"/>
  <c r="M60" i="22" s="1"/>
  <c r="O60" i="22"/>
  <c r="N15" i="22"/>
  <c r="L15" i="22" s="1"/>
  <c r="M15" i="22" s="1"/>
  <c r="O15" i="22"/>
  <c r="Z124" i="22"/>
  <c r="Z112" i="22"/>
  <c r="Z134" i="22"/>
  <c r="Q130" i="22"/>
  <c r="N64" i="22"/>
  <c r="L64" i="22" s="1"/>
  <c r="M64" i="22" s="1"/>
  <c r="O64" i="22"/>
  <c r="Z128" i="22"/>
  <c r="N11" i="22"/>
  <c r="O11" i="22"/>
  <c r="L11" i="22"/>
  <c r="M11" i="22" s="1"/>
  <c r="P11" i="22" s="1"/>
  <c r="N13" i="22"/>
  <c r="L13" i="22" s="1"/>
  <c r="M13" i="22" s="1"/>
  <c r="P13" i="22" s="1"/>
  <c r="O13" i="22"/>
  <c r="O21" i="22"/>
  <c r="N21" i="22"/>
  <c r="L21" i="22" s="1"/>
  <c r="P21" i="22" s="1"/>
  <c r="Z120" i="22"/>
  <c r="Z116" i="22"/>
  <c r="N37" i="22"/>
  <c r="L37" i="22" s="1"/>
  <c r="M37" i="22" s="1"/>
  <c r="O37" i="22"/>
  <c r="N39" i="22"/>
  <c r="L39" i="22" s="1"/>
  <c r="M39" i="22" s="1"/>
  <c r="P39" i="22" s="1"/>
  <c r="O39" i="22"/>
  <c r="N41" i="22"/>
  <c r="L41" i="22" s="1"/>
  <c r="M41" i="22" s="1"/>
  <c r="O41" i="22"/>
  <c r="N43" i="22"/>
  <c r="L43" i="22" s="1"/>
  <c r="M43" i="22" s="1"/>
  <c r="P43" i="22" s="1"/>
  <c r="O43" i="22"/>
  <c r="N45" i="22"/>
  <c r="L45" i="22" s="1"/>
  <c r="M45" i="22" s="1"/>
  <c r="O45" i="22"/>
  <c r="N47" i="22"/>
  <c r="L47" i="22" s="1"/>
  <c r="M47" i="22" s="1"/>
  <c r="P47" i="22" s="1"/>
  <c r="O47" i="22"/>
  <c r="N49" i="22"/>
  <c r="L49" i="22" s="1"/>
  <c r="M49" i="22" s="1"/>
  <c r="P49" i="22" s="1"/>
  <c r="O49" i="22"/>
  <c r="Z102" i="22"/>
  <c r="Z117" i="22"/>
  <c r="Z108" i="22"/>
  <c r="Z115" i="22"/>
  <c r="N51" i="22"/>
  <c r="O51" i="22"/>
  <c r="L51" i="22"/>
  <c r="M51" i="22" s="1"/>
  <c r="P51" i="22" s="1"/>
  <c r="N53" i="22"/>
  <c r="L53" i="22" s="1"/>
  <c r="M53" i="22" s="1"/>
  <c r="O53" i="22"/>
  <c r="N55" i="22"/>
  <c r="L55" i="22" s="1"/>
  <c r="M55" i="22" s="1"/>
  <c r="P55" i="22" s="1"/>
  <c r="O55" i="22"/>
  <c r="N57" i="22"/>
  <c r="L57" i="22" s="1"/>
  <c r="M57" i="22" s="1"/>
  <c r="P57" i="22" s="1"/>
  <c r="O57" i="22"/>
  <c r="N59" i="22"/>
  <c r="L59" i="22" s="1"/>
  <c r="M59" i="22" s="1"/>
  <c r="P59" i="22" s="1"/>
  <c r="O59" i="22"/>
  <c r="Z109" i="22"/>
  <c r="Q119" i="22"/>
  <c r="Q127" i="22"/>
  <c r="O16" i="22"/>
  <c r="N16" i="22"/>
  <c r="L16" i="22" s="1"/>
  <c r="M16" i="22" s="1"/>
  <c r="P16" i="22" s="1"/>
  <c r="C71" i="22"/>
  <c r="U3" i="22" s="1"/>
  <c r="C67" i="22"/>
  <c r="T3" i="22" s="1"/>
  <c r="H12" i="23"/>
  <c r="G12" i="23"/>
  <c r="O23" i="22"/>
  <c r="N23" i="22"/>
  <c r="L23" i="22" s="1"/>
  <c r="M23" i="22" s="1"/>
  <c r="O9" i="22"/>
  <c r="N9" i="22"/>
  <c r="L9" i="22" s="1"/>
  <c r="M9" i="22" s="1"/>
  <c r="P9" i="22" s="1"/>
  <c r="N12" i="22"/>
  <c r="L12" i="22" s="1"/>
  <c r="M12" i="22" s="1"/>
  <c r="O12" i="22"/>
  <c r="N17" i="22"/>
  <c r="L17" i="22" s="1"/>
  <c r="M17" i="22" s="1"/>
  <c r="O17" i="22"/>
  <c r="Z110" i="22"/>
  <c r="Z122" i="22"/>
  <c r="Q117" i="22"/>
  <c r="H10" i="23"/>
  <c r="G10" i="23"/>
  <c r="H16" i="23"/>
  <c r="G16" i="23"/>
  <c r="C25" i="23" a="1"/>
  <c r="C25" i="23" s="1"/>
  <c r="C40" i="23" s="1"/>
  <c r="E4" i="23"/>
  <c r="O24" i="22"/>
  <c r="N24" i="22"/>
  <c r="L24" i="22" s="1"/>
  <c r="M24" i="22" s="1"/>
  <c r="N26" i="22"/>
  <c r="L26" i="22" s="1"/>
  <c r="M26" i="22" s="1"/>
  <c r="O26" i="22"/>
  <c r="N28" i="22"/>
  <c r="L28" i="22" s="1"/>
  <c r="M28" i="22" s="1"/>
  <c r="P28" i="22" s="1"/>
  <c r="O28" i="22"/>
  <c r="N30" i="22"/>
  <c r="L30" i="22" s="1"/>
  <c r="M30" i="22" s="1"/>
  <c r="P30" i="22" s="1"/>
  <c r="O30" i="22"/>
  <c r="N32" i="22"/>
  <c r="L32" i="22"/>
  <c r="M32" i="22" s="1"/>
  <c r="O32" i="22"/>
  <c r="N34" i="22"/>
  <c r="L34" i="22" s="1"/>
  <c r="M34" i="22" s="1"/>
  <c r="P34" i="22" s="1"/>
  <c r="O34" i="22"/>
  <c r="Q95" i="22"/>
  <c r="O62" i="22"/>
  <c r="N62" i="22"/>
  <c r="L62" i="22" s="1"/>
  <c r="M62" i="22" s="1"/>
  <c r="Z104" i="22"/>
  <c r="H14" i="23"/>
  <c r="G14" i="23"/>
  <c r="H7" i="23"/>
  <c r="G7" i="23"/>
  <c r="H5" i="23"/>
  <c r="G5" i="23"/>
  <c r="C19" i="23"/>
  <c r="H8" i="23"/>
  <c r="G8" i="23"/>
  <c r="H11" i="23"/>
  <c r="G11" i="23"/>
  <c r="O3" i="22"/>
  <c r="J3" i="22"/>
  <c r="J4" i="22" s="1"/>
  <c r="J5" i="22" s="1"/>
  <c r="J6" i="22" s="1"/>
  <c r="J7" i="22" s="1"/>
  <c r="J8" i="22" s="1"/>
  <c r="J9" i="22" s="1"/>
  <c r="J10" i="22" s="1"/>
  <c r="J11" i="22" s="1"/>
  <c r="J12" i="22" s="1"/>
  <c r="J13" i="22" s="1"/>
  <c r="J14" i="22" s="1"/>
  <c r="J15" i="22" s="1"/>
  <c r="J16" i="22" s="1"/>
  <c r="J17" i="22" s="1"/>
  <c r="J18" i="22" s="1"/>
  <c r="J19" i="22" s="1"/>
  <c r="J20" i="22" s="1"/>
  <c r="J21" i="22" s="1"/>
  <c r="J22" i="22" s="1"/>
  <c r="J23" i="22" s="1"/>
  <c r="J24" i="22" s="1"/>
  <c r="J25" i="22" s="1"/>
  <c r="J26" i="22" s="1"/>
  <c r="J27" i="22" s="1"/>
  <c r="J28" i="22" s="1"/>
  <c r="J29" i="22" s="1"/>
  <c r="J30" i="22" s="1"/>
  <c r="J31" i="22" s="1"/>
  <c r="J32" i="22" s="1"/>
  <c r="J33" i="22" s="1"/>
  <c r="J34" i="22" s="1"/>
  <c r="J35" i="22" s="1"/>
  <c r="J36" i="22" s="1"/>
  <c r="J37" i="22" s="1"/>
  <c r="J38" i="22" s="1"/>
  <c r="J39" i="22" s="1"/>
  <c r="J40" i="22" s="1"/>
  <c r="J41" i="22" s="1"/>
  <c r="J42" i="22" s="1"/>
  <c r="J43" i="22" s="1"/>
  <c r="J44" i="22" s="1"/>
  <c r="J45" i="22" s="1"/>
  <c r="J46" i="22" s="1"/>
  <c r="J47" i="22" s="1"/>
  <c r="J48" i="22" s="1"/>
  <c r="J49" i="22" s="1"/>
  <c r="J50" i="22" s="1"/>
  <c r="J51" i="22" s="1"/>
  <c r="J52" i="22" s="1"/>
  <c r="J53" i="22" s="1"/>
  <c r="J54" i="22" s="1"/>
  <c r="J55" i="22" s="1"/>
  <c r="J56" i="22" s="1"/>
  <c r="J57" i="22" s="1"/>
  <c r="J58" i="22" s="1"/>
  <c r="J59" i="22" s="1"/>
  <c r="J60" i="22" s="1"/>
  <c r="J61" i="22" s="1"/>
  <c r="J62" i="22" s="1"/>
  <c r="J63" i="22" s="1"/>
  <c r="J64" i="22" s="1"/>
  <c r="N3" i="22"/>
  <c r="L3" i="22" s="1"/>
  <c r="M3" i="22" s="1"/>
  <c r="N4" i="22"/>
  <c r="L4" i="22" s="1"/>
  <c r="M4" i="22" s="1"/>
  <c r="P4" i="22" s="1"/>
  <c r="O4" i="22"/>
  <c r="O19" i="22"/>
  <c r="N19" i="22"/>
  <c r="L19" i="22" s="1"/>
  <c r="M19" i="22" s="1"/>
  <c r="N25" i="22"/>
  <c r="L25" i="22" s="1"/>
  <c r="M25" i="22" s="1"/>
  <c r="P25" i="22" s="1"/>
  <c r="O25" i="22"/>
  <c r="N27" i="22"/>
  <c r="L27" i="22"/>
  <c r="M27" i="22" s="1"/>
  <c r="O27" i="22"/>
  <c r="N29" i="22"/>
  <c r="L29" i="22" s="1"/>
  <c r="M29" i="22" s="1"/>
  <c r="P29" i="22" s="1"/>
  <c r="O29" i="22"/>
  <c r="N31" i="22"/>
  <c r="L31" i="22" s="1"/>
  <c r="M31" i="22" s="1"/>
  <c r="O31" i="22"/>
  <c r="N33" i="22"/>
  <c r="L33" i="22" s="1"/>
  <c r="M33" i="22" s="1"/>
  <c r="P33" i="22" s="1"/>
  <c r="O33" i="22"/>
  <c r="N35" i="22"/>
  <c r="L35" i="22" s="1"/>
  <c r="M35" i="22" s="1"/>
  <c r="P35" i="22" s="1"/>
  <c r="O35" i="22"/>
  <c r="L61" i="22"/>
  <c r="M61" i="22" s="1"/>
  <c r="P61" i="22" s="1"/>
  <c r="N61" i="22"/>
  <c r="O61" i="22"/>
  <c r="L63" i="22"/>
  <c r="M63" i="22" s="1"/>
  <c r="O63" i="22"/>
  <c r="N63" i="22"/>
  <c r="C70" i="22"/>
  <c r="U2" i="22" s="1"/>
  <c r="C66" i="22"/>
  <c r="T2" i="22" s="1"/>
  <c r="O14" i="22"/>
  <c r="N14" i="22"/>
  <c r="L14" i="22" s="1"/>
  <c r="M14" i="22" s="1"/>
  <c r="C72" i="22"/>
  <c r="U4" i="22" s="1"/>
  <c r="C68" i="22"/>
  <c r="T4" i="22" s="1"/>
  <c r="O2" i="22"/>
  <c r="N2" i="22"/>
  <c r="L2" i="22" s="1"/>
  <c r="M2" i="22" s="1"/>
  <c r="P41" i="22" l="1"/>
  <c r="P19" i="22"/>
  <c r="P3" i="22"/>
  <c r="P12" i="22"/>
  <c r="P52" i="22"/>
  <c r="P46" i="22"/>
  <c r="P15" i="22"/>
  <c r="P38" i="22"/>
  <c r="P22" i="22"/>
  <c r="P40" i="22"/>
  <c r="P6" i="22"/>
  <c r="P14" i="22"/>
  <c r="P62" i="22"/>
  <c r="P23" i="22"/>
  <c r="P60" i="22"/>
  <c r="P56" i="22"/>
  <c r="P36" i="22"/>
  <c r="P18" i="22"/>
  <c r="P63" i="22"/>
  <c r="P31" i="22"/>
  <c r="P26" i="22"/>
  <c r="P58" i="22"/>
  <c r="P27" i="22"/>
  <c r="P32" i="22"/>
  <c r="P24" i="22"/>
  <c r="P17" i="22"/>
  <c r="P53" i="22"/>
  <c r="P64" i="22"/>
  <c r="P50" i="22"/>
  <c r="P48" i="22"/>
  <c r="P10" i="22"/>
  <c r="N14" i="27"/>
  <c r="K13" i="27"/>
  <c r="O13" i="27" s="1"/>
  <c r="M8" i="8"/>
  <c r="K68" i="22"/>
  <c r="K66" i="22"/>
  <c r="K67" i="22"/>
  <c r="P2" i="22"/>
  <c r="W2" i="22"/>
  <c r="E18" i="22"/>
  <c r="E6" i="22"/>
  <c r="E7" i="22"/>
  <c r="E20" i="22"/>
  <c r="E8" i="22"/>
  <c r="E5" i="22"/>
  <c r="E17" i="22"/>
  <c r="E12" i="22"/>
  <c r="E10" i="22"/>
  <c r="E9" i="22"/>
  <c r="E14" i="22"/>
  <c r="E16" i="22"/>
  <c r="E11" i="22"/>
  <c r="E2" i="22"/>
  <c r="E19" i="22"/>
  <c r="E4" i="22"/>
  <c r="E21" i="22"/>
  <c r="E13" i="22"/>
  <c r="E3" i="22"/>
  <c r="E15" i="22"/>
  <c r="W3" i="22"/>
  <c r="E22" i="22"/>
  <c r="E42" i="22"/>
  <c r="E40" i="22"/>
  <c r="E38" i="22"/>
  <c r="E36" i="22"/>
  <c r="E23" i="22"/>
  <c r="E43" i="22"/>
  <c r="E39" i="22"/>
  <c r="E34" i="22"/>
  <c r="E30" i="22"/>
  <c r="E28" i="22"/>
  <c r="E35" i="22"/>
  <c r="E33" i="22"/>
  <c r="E31" i="22"/>
  <c r="E29" i="22"/>
  <c r="E27" i="22"/>
  <c r="E25" i="22"/>
  <c r="E41" i="22"/>
  <c r="E37" i="22"/>
  <c r="E32" i="22"/>
  <c r="E26" i="22"/>
  <c r="E24" i="22"/>
  <c r="P45" i="22"/>
  <c r="P37" i="22"/>
  <c r="T8" i="22"/>
  <c r="H45" i="22"/>
  <c r="H46" i="22" s="1"/>
  <c r="H47" i="22" s="1"/>
  <c r="H48" i="22" s="1"/>
  <c r="H49" i="22" s="1"/>
  <c r="H50" i="22" s="1"/>
  <c r="H51" i="22" s="1"/>
  <c r="H52" i="22" s="1"/>
  <c r="H53" i="22" s="1"/>
  <c r="H54" i="22" s="1"/>
  <c r="H55" i="22" s="1"/>
  <c r="H56" i="22" s="1"/>
  <c r="H57" i="22" s="1"/>
  <c r="H58" i="22" s="1"/>
  <c r="H59" i="22" s="1"/>
  <c r="H60" i="22" s="1"/>
  <c r="H61" i="22" s="1"/>
  <c r="H62" i="22" s="1"/>
  <c r="H63" i="22" s="1"/>
  <c r="H64" i="22" s="1"/>
  <c r="T9" i="22" s="1"/>
  <c r="K71" i="22"/>
  <c r="K70" i="22"/>
  <c r="K72" i="22"/>
  <c r="W4" i="22"/>
  <c r="E60" i="22"/>
  <c r="E58" i="22"/>
  <c r="E56" i="22"/>
  <c r="E54" i="22"/>
  <c r="E52" i="22"/>
  <c r="E50" i="22"/>
  <c r="E61" i="22"/>
  <c r="E48" i="22"/>
  <c r="E46" i="22"/>
  <c r="E44" i="22"/>
  <c r="E62" i="22"/>
  <c r="E59" i="22"/>
  <c r="E57" i="22"/>
  <c r="E55" i="22"/>
  <c r="E53" i="22"/>
  <c r="E51" i="22"/>
  <c r="E49" i="22"/>
  <c r="E47" i="22"/>
  <c r="E63" i="22"/>
  <c r="E64" i="22"/>
  <c r="E45" i="22"/>
  <c r="E25" i="23" a="1"/>
  <c r="H4" i="23"/>
  <c r="E19" i="23" s="1"/>
  <c r="G4" i="23"/>
  <c r="D8" i="22"/>
  <c r="D9" i="22"/>
  <c r="D3" i="22"/>
  <c r="D2" i="22"/>
  <c r="D16" i="22"/>
  <c r="D22" i="22"/>
  <c r="D17" i="22"/>
  <c r="D20" i="22"/>
  <c r="D15" i="22"/>
  <c r="D7" i="22"/>
  <c r="D5" i="22"/>
  <c r="D12" i="22"/>
  <c r="D6" i="22"/>
  <c r="D4" i="22"/>
  <c r="D13" i="22"/>
  <c r="D11" i="22"/>
  <c r="D19" i="22"/>
  <c r="D18" i="22"/>
  <c r="D21" i="22"/>
  <c r="D10" i="22"/>
  <c r="D14" i="22"/>
  <c r="X3" i="22" l="1"/>
  <c r="N15" i="27"/>
  <c r="K14" i="27"/>
  <c r="O14" i="27" s="1"/>
  <c r="M9" i="8"/>
  <c r="D59" i="22"/>
  <c r="D57" i="22"/>
  <c r="D55" i="22"/>
  <c r="D53" i="22"/>
  <c r="D51" i="22"/>
  <c r="D49" i="22"/>
  <c r="D47" i="22"/>
  <c r="D45" i="22"/>
  <c r="D61" i="22"/>
  <c r="D60" i="22"/>
  <c r="D58" i="22"/>
  <c r="D56" i="22"/>
  <c r="D54" i="22"/>
  <c r="D52" i="22"/>
  <c r="D64" i="22"/>
  <c r="D50" i="22"/>
  <c r="D48" i="22"/>
  <c r="D46" i="22"/>
  <c r="D63" i="22"/>
  <c r="D62" i="22"/>
  <c r="D43" i="22"/>
  <c r="D41" i="22"/>
  <c r="D39" i="22"/>
  <c r="D37" i="22"/>
  <c r="D23" i="22"/>
  <c r="D44" i="22"/>
  <c r="D42" i="22"/>
  <c r="D40" i="22"/>
  <c r="D38" i="22"/>
  <c r="D26" i="22"/>
  <c r="D35" i="22"/>
  <c r="D33" i="22"/>
  <c r="D31" i="22"/>
  <c r="D29" i="22"/>
  <c r="D27" i="22"/>
  <c r="D25" i="22"/>
  <c r="D24" i="22"/>
  <c r="D36" i="22"/>
  <c r="D34" i="22"/>
  <c r="D32" i="22"/>
  <c r="D30" i="22"/>
  <c r="D28" i="22"/>
  <c r="H35" i="23"/>
  <c r="E25" i="23"/>
  <c r="H26" i="23"/>
  <c r="G27" i="23"/>
  <c r="H27" i="23" s="1"/>
  <c r="G35" i="23"/>
  <c r="G30" i="23"/>
  <c r="H30" i="23" s="1"/>
  <c r="G29" i="23"/>
  <c r="H29" i="23" s="1"/>
  <c r="G32" i="23"/>
  <c r="H32" i="23" s="1"/>
  <c r="G31" i="23"/>
  <c r="G33" i="23"/>
  <c r="H33" i="23" s="1"/>
  <c r="G36" i="23"/>
  <c r="H36" i="23" s="1"/>
  <c r="G37" i="23"/>
  <c r="H37" i="23" s="1"/>
  <c r="G38" i="23"/>
  <c r="H38" i="23" s="1"/>
  <c r="G26" i="23"/>
  <c r="G34" i="23"/>
  <c r="H34" i="23" s="1"/>
  <c r="G28" i="23"/>
  <c r="H28" i="23" s="1"/>
  <c r="X2" i="22"/>
  <c r="X4" i="22"/>
  <c r="N16" i="27" l="1"/>
  <c r="K15" i="27"/>
  <c r="O15" i="27" s="1"/>
  <c r="M10" i="8"/>
  <c r="G25" i="23"/>
  <c r="H25" i="23" s="1"/>
  <c r="E40" i="23" s="1"/>
  <c r="N17" i="27" l="1"/>
  <c r="K16" i="27"/>
  <c r="O16" i="27" s="1"/>
  <c r="M11" i="8"/>
  <c r="N18" i="27" l="1"/>
  <c r="K17" i="27"/>
  <c r="O17" i="27" s="1"/>
  <c r="M12" i="8"/>
  <c r="N19" i="27" l="1"/>
  <c r="K18" i="27"/>
  <c r="O18" i="27" s="1"/>
  <c r="M13" i="8"/>
  <c r="N20" i="27" l="1"/>
  <c r="K19" i="27"/>
  <c r="O19" i="27" s="1"/>
  <c r="M14" i="8"/>
  <c r="N21" i="27" l="1"/>
  <c r="K20" i="27"/>
  <c r="O20" i="27" s="1"/>
  <c r="M15" i="8"/>
  <c r="G243" i="8"/>
  <c r="R4" i="8" s="1"/>
  <c r="R3" i="8" s="1"/>
  <c r="R6" i="8" s="1"/>
  <c r="K21" i="27" l="1"/>
  <c r="O21" i="27" s="1"/>
  <c r="N22" i="27"/>
  <c r="M16" i="8"/>
  <c r="N23" i="27" l="1"/>
  <c r="K22" i="27"/>
  <c r="O22" i="27" s="1"/>
  <c r="M17" i="8"/>
  <c r="N24" i="27" l="1"/>
  <c r="K23" i="27"/>
  <c r="O23" i="27" s="1"/>
  <c r="M18" i="8"/>
  <c r="N25" i="27" l="1"/>
  <c r="K24" i="27"/>
  <c r="O24" i="27" s="1"/>
  <c r="M19" i="8"/>
  <c r="N26" i="27" l="1"/>
  <c r="K25" i="27"/>
  <c r="O25" i="27" s="1"/>
  <c r="M20" i="8"/>
  <c r="N27" i="27" l="1"/>
  <c r="K26" i="27"/>
  <c r="O26" i="27" s="1"/>
  <c r="N28" i="27" l="1"/>
  <c r="K27" i="27"/>
  <c r="O27" i="27" s="1"/>
  <c r="M22" i="8"/>
  <c r="N29" i="27" l="1"/>
  <c r="K28" i="27"/>
  <c r="O28" i="27" s="1"/>
  <c r="M23" i="8"/>
  <c r="N30" i="27" l="1"/>
  <c r="K29" i="27"/>
  <c r="O29" i="27" s="1"/>
  <c r="M24" i="8"/>
  <c r="N31" i="27" l="1"/>
  <c r="K30" i="27"/>
  <c r="O30" i="27" s="1"/>
  <c r="M25" i="8"/>
  <c r="N32" i="27" l="1"/>
  <c r="K31" i="27"/>
  <c r="O31" i="27" s="1"/>
  <c r="M26" i="8"/>
  <c r="N33" i="27" l="1"/>
  <c r="K32" i="27"/>
  <c r="O32" i="27" s="1"/>
  <c r="M27" i="8"/>
  <c r="N34" i="27" l="1"/>
  <c r="K33" i="27"/>
  <c r="O33" i="27" s="1"/>
  <c r="M28" i="8"/>
  <c r="N35" i="27" l="1"/>
  <c r="K34" i="27"/>
  <c r="O34" i="27" s="1"/>
  <c r="M29" i="8"/>
  <c r="N36" i="27" l="1"/>
  <c r="K35" i="27"/>
  <c r="O35" i="27" s="1"/>
  <c r="M30" i="8"/>
  <c r="N37" i="27" l="1"/>
  <c r="K36" i="27"/>
  <c r="O36" i="27" s="1"/>
  <c r="M31" i="8"/>
  <c r="N38" i="27" l="1"/>
  <c r="K37" i="27"/>
  <c r="O37" i="27" s="1"/>
  <c r="M32" i="8"/>
  <c r="N39" i="27" l="1"/>
  <c r="K38" i="27"/>
  <c r="O38" i="27" s="1"/>
  <c r="M33" i="8"/>
  <c r="N40" i="27" l="1"/>
  <c r="K39" i="27"/>
  <c r="O39" i="27" s="1"/>
  <c r="M34" i="8"/>
  <c r="N41" i="27" l="1"/>
  <c r="K40" i="27"/>
  <c r="O40" i="27" s="1"/>
  <c r="M35" i="8"/>
  <c r="N42" i="27" l="1"/>
  <c r="K41" i="27"/>
  <c r="O41" i="27" s="1"/>
  <c r="M36" i="8"/>
  <c r="N43" i="27" l="1"/>
  <c r="K42" i="27"/>
  <c r="O42" i="27" s="1"/>
  <c r="M37" i="8"/>
  <c r="N44" i="27" l="1"/>
  <c r="K43" i="27"/>
  <c r="O43" i="27" s="1"/>
  <c r="M38" i="8"/>
  <c r="N45" i="27" l="1"/>
  <c r="K44" i="27"/>
  <c r="O44" i="27" s="1"/>
  <c r="M39" i="8"/>
  <c r="N46" i="27" l="1"/>
  <c r="K45" i="27"/>
  <c r="O45" i="27" s="1"/>
  <c r="M40" i="8"/>
  <c r="N47" i="27" l="1"/>
  <c r="K46" i="27"/>
  <c r="O46" i="27" s="1"/>
  <c r="M41" i="8"/>
  <c r="N48" i="27" l="1"/>
  <c r="K47" i="27"/>
  <c r="O47" i="27" s="1"/>
  <c r="M42" i="8"/>
  <c r="N49" i="27" l="1"/>
  <c r="K48" i="27"/>
  <c r="O48" i="27" s="1"/>
  <c r="M43" i="8"/>
  <c r="N50" i="27" l="1"/>
  <c r="K49" i="27"/>
  <c r="O49" i="27" s="1"/>
  <c r="M44" i="8"/>
  <c r="N51" i="27" l="1"/>
  <c r="K50" i="27"/>
  <c r="O50" i="27" s="1"/>
  <c r="M45" i="8"/>
  <c r="N52" i="27" l="1"/>
  <c r="K51" i="27"/>
  <c r="O51" i="27" s="1"/>
  <c r="M46" i="8"/>
  <c r="N53" i="27" l="1"/>
  <c r="K52" i="27"/>
  <c r="O52" i="27" s="1"/>
  <c r="M47" i="8"/>
  <c r="N54" i="27" l="1"/>
  <c r="K53" i="27"/>
  <c r="O53" i="27" s="1"/>
  <c r="M48" i="8"/>
  <c r="N55" i="27" l="1"/>
  <c r="K54" i="27"/>
  <c r="O54" i="27" s="1"/>
  <c r="M49" i="8"/>
  <c r="N56" i="27" l="1"/>
  <c r="K55" i="27"/>
  <c r="O55" i="27" s="1"/>
  <c r="M50" i="8"/>
  <c r="N57" i="27" l="1"/>
  <c r="K56" i="27"/>
  <c r="O56" i="27" s="1"/>
  <c r="M51" i="8"/>
  <c r="N58" i="27" l="1"/>
  <c r="K57" i="27"/>
  <c r="O57" i="27" s="1"/>
  <c r="M52" i="8"/>
  <c r="N59" i="27" l="1"/>
  <c r="K58" i="27"/>
  <c r="O58" i="27" s="1"/>
  <c r="M53" i="8"/>
  <c r="N60" i="27" l="1"/>
  <c r="K59" i="27"/>
  <c r="O59" i="27" s="1"/>
  <c r="M54" i="8"/>
  <c r="N61" i="27" l="1"/>
  <c r="K60" i="27"/>
  <c r="O60" i="27" s="1"/>
  <c r="M55" i="8"/>
  <c r="N62" i="27" l="1"/>
  <c r="K61" i="27"/>
  <c r="O61" i="27" s="1"/>
  <c r="M56" i="8"/>
  <c r="N63" i="27" l="1"/>
  <c r="K62" i="27"/>
  <c r="O62" i="27" s="1"/>
  <c r="M57" i="8"/>
  <c r="N64" i="27" l="1"/>
  <c r="K63" i="27"/>
  <c r="O63" i="27" s="1"/>
  <c r="M58" i="8"/>
  <c r="N65" i="27" l="1"/>
  <c r="K64" i="27"/>
  <c r="O64" i="27" s="1"/>
  <c r="M59" i="8"/>
  <c r="N66" i="27" l="1"/>
  <c r="K65" i="27"/>
  <c r="O65" i="27" s="1"/>
  <c r="M60" i="8"/>
  <c r="N67" i="27" l="1"/>
  <c r="K66" i="27"/>
  <c r="O66" i="27" s="1"/>
  <c r="M61" i="8"/>
  <c r="N68" i="27" l="1"/>
  <c r="K67" i="27"/>
  <c r="O67" i="27" s="1"/>
  <c r="M62" i="8"/>
  <c r="N69" i="27" l="1"/>
  <c r="K68" i="27"/>
  <c r="O68" i="27" s="1"/>
  <c r="M63" i="8"/>
  <c r="N70" i="27" l="1"/>
  <c r="K69" i="27"/>
  <c r="O69" i="27" s="1"/>
  <c r="M64" i="8"/>
  <c r="N71" i="27" l="1"/>
  <c r="K70" i="27"/>
  <c r="O70" i="27" s="1"/>
  <c r="M65" i="8"/>
  <c r="N72" i="27" l="1"/>
  <c r="K71" i="27"/>
  <c r="O71" i="27" s="1"/>
  <c r="M66" i="8"/>
  <c r="N73" i="27" l="1"/>
  <c r="K72" i="27"/>
  <c r="O72" i="27" s="1"/>
  <c r="M67" i="8"/>
  <c r="N74" i="27" l="1"/>
  <c r="K73" i="27"/>
  <c r="O73" i="27" s="1"/>
  <c r="M68" i="8"/>
  <c r="N75" i="27" l="1"/>
  <c r="K74" i="27"/>
  <c r="O74" i="27" s="1"/>
  <c r="M69" i="8"/>
  <c r="N76" i="27" l="1"/>
  <c r="K75" i="27"/>
  <c r="O75" i="27" s="1"/>
  <c r="M70" i="8"/>
  <c r="N77" i="27" l="1"/>
  <c r="K76" i="27"/>
  <c r="O76" i="27" s="1"/>
  <c r="M71" i="8"/>
  <c r="N78" i="27" l="1"/>
  <c r="K77" i="27"/>
  <c r="O77" i="27" s="1"/>
  <c r="M72" i="8"/>
  <c r="N79" i="27" l="1"/>
  <c r="K78" i="27"/>
  <c r="O78" i="27" s="1"/>
  <c r="M73" i="8"/>
  <c r="N80" i="27" l="1"/>
  <c r="K79" i="27"/>
  <c r="O79" i="27" s="1"/>
  <c r="M74" i="8"/>
  <c r="N81" i="27" l="1"/>
  <c r="K80" i="27"/>
  <c r="O80" i="27" s="1"/>
  <c r="M75" i="8"/>
  <c r="N82" i="27" l="1"/>
  <c r="K81" i="27"/>
  <c r="O81" i="27" s="1"/>
  <c r="M76" i="8"/>
  <c r="N83" i="27" l="1"/>
  <c r="K82" i="27"/>
  <c r="O82" i="27" s="1"/>
  <c r="M77" i="8"/>
  <c r="N84" i="27" l="1"/>
  <c r="K83" i="27"/>
  <c r="O83" i="27" s="1"/>
  <c r="M78" i="8"/>
  <c r="N85" i="27" l="1"/>
  <c r="K84" i="27"/>
  <c r="O84" i="27" s="1"/>
  <c r="M79" i="8"/>
  <c r="N86" i="27" l="1"/>
  <c r="K85" i="27"/>
  <c r="O85" i="27" s="1"/>
  <c r="M80" i="8"/>
  <c r="N87" i="27" l="1"/>
  <c r="K86" i="27"/>
  <c r="O86" i="27" s="1"/>
  <c r="M81" i="8"/>
  <c r="N88" i="27" l="1"/>
  <c r="K87" i="27"/>
  <c r="O87" i="27" s="1"/>
  <c r="M82" i="8"/>
  <c r="N89" i="27" l="1"/>
  <c r="K88" i="27"/>
  <c r="O88" i="27" s="1"/>
  <c r="M83" i="8"/>
  <c r="N90" i="27" l="1"/>
  <c r="K89" i="27"/>
  <c r="O89" i="27" s="1"/>
  <c r="M84" i="8"/>
  <c r="N91" i="27" l="1"/>
  <c r="K90" i="27"/>
  <c r="O90" i="27" s="1"/>
  <c r="M85" i="8"/>
  <c r="N92" i="27" l="1"/>
  <c r="K91" i="27"/>
  <c r="O91" i="27" s="1"/>
  <c r="M86" i="8"/>
  <c r="N93" i="27" l="1"/>
  <c r="K92" i="27"/>
  <c r="O92" i="27" s="1"/>
  <c r="M87" i="8"/>
  <c r="N94" i="27" l="1"/>
  <c r="K93" i="27"/>
  <c r="O93" i="27" s="1"/>
  <c r="M88" i="8"/>
  <c r="N95" i="27" l="1"/>
  <c r="K94" i="27"/>
  <c r="O94" i="27" s="1"/>
  <c r="M89" i="8"/>
  <c r="N96" i="27" l="1"/>
  <c r="K95" i="27"/>
  <c r="O95" i="27" s="1"/>
  <c r="M90" i="8"/>
  <c r="N97" i="27" l="1"/>
  <c r="K96" i="27"/>
  <c r="O96" i="27" s="1"/>
  <c r="M91" i="8"/>
  <c r="N98" i="27" l="1"/>
  <c r="K97" i="27"/>
  <c r="O97" i="27" s="1"/>
  <c r="M92" i="8"/>
  <c r="N99" i="27" l="1"/>
  <c r="K98" i="27"/>
  <c r="O98" i="27" s="1"/>
  <c r="M93" i="8"/>
  <c r="N100" i="27" l="1"/>
  <c r="K99" i="27"/>
  <c r="O99" i="27" s="1"/>
  <c r="M94" i="8"/>
  <c r="N101" i="27" l="1"/>
  <c r="K100" i="27"/>
  <c r="O100" i="27" s="1"/>
  <c r="M95" i="8"/>
  <c r="N102" i="27" l="1"/>
  <c r="K101" i="27"/>
  <c r="O101" i="27" s="1"/>
  <c r="M96" i="8"/>
  <c r="N103" i="27" l="1"/>
  <c r="K102" i="27"/>
  <c r="O102" i="27" s="1"/>
  <c r="M97" i="8"/>
  <c r="N104" i="27" l="1"/>
  <c r="K103" i="27"/>
  <c r="O103" i="27" s="1"/>
  <c r="M98" i="8"/>
  <c r="N105" i="27" l="1"/>
  <c r="K104" i="27"/>
  <c r="O104" i="27" s="1"/>
  <c r="M99" i="8"/>
  <c r="N106" i="27" l="1"/>
  <c r="K105" i="27"/>
  <c r="O105" i="27" s="1"/>
  <c r="M100" i="8"/>
  <c r="N107" i="27" l="1"/>
  <c r="K106" i="27"/>
  <c r="O106" i="27" s="1"/>
  <c r="M101" i="8"/>
  <c r="N108" i="27" l="1"/>
  <c r="K107" i="27"/>
  <c r="O107" i="27" s="1"/>
  <c r="M102" i="8"/>
  <c r="N109" i="27" l="1"/>
  <c r="K108" i="27"/>
  <c r="O108" i="27" s="1"/>
  <c r="M103" i="8"/>
  <c r="N110" i="27" l="1"/>
  <c r="K109" i="27"/>
  <c r="O109" i="27" s="1"/>
  <c r="M104" i="8"/>
  <c r="N111" i="27" l="1"/>
  <c r="K110" i="27"/>
  <c r="O110" i="27" s="1"/>
  <c r="M105" i="8"/>
  <c r="N112" i="27" l="1"/>
  <c r="K111" i="27"/>
  <c r="O111" i="27" s="1"/>
  <c r="M106" i="8"/>
  <c r="N113" i="27" l="1"/>
  <c r="K112" i="27"/>
  <c r="O112" i="27" s="1"/>
  <c r="M107" i="8"/>
  <c r="N114" i="27" l="1"/>
  <c r="K113" i="27"/>
  <c r="O113" i="27" s="1"/>
  <c r="M108" i="8"/>
  <c r="N115" i="27" l="1"/>
  <c r="K114" i="27"/>
  <c r="O114" i="27" s="1"/>
  <c r="M109" i="8"/>
  <c r="N116" i="27" l="1"/>
  <c r="K115" i="27"/>
  <c r="O115" i="27" s="1"/>
  <c r="M110" i="8"/>
  <c r="N117" i="27" l="1"/>
  <c r="K116" i="27"/>
  <c r="O116" i="27" s="1"/>
  <c r="M111" i="8"/>
  <c r="N118" i="27" l="1"/>
  <c r="K117" i="27"/>
  <c r="O117" i="27" s="1"/>
  <c r="M112" i="8"/>
  <c r="N119" i="27" l="1"/>
  <c r="K118" i="27"/>
  <c r="O118" i="27" s="1"/>
  <c r="M113" i="8"/>
  <c r="N120" i="27" l="1"/>
  <c r="K119" i="27"/>
  <c r="O119" i="27" s="1"/>
  <c r="M114" i="8"/>
  <c r="N121" i="27" l="1"/>
  <c r="K120" i="27"/>
  <c r="O120" i="27" s="1"/>
  <c r="M115" i="8"/>
  <c r="N122" i="27" l="1"/>
  <c r="K121" i="27"/>
  <c r="O121" i="27" s="1"/>
  <c r="M116" i="8"/>
  <c r="N123" i="27" l="1"/>
  <c r="K122" i="27"/>
  <c r="O122" i="27" s="1"/>
  <c r="M117" i="8"/>
  <c r="N124" i="27" l="1"/>
  <c r="K123" i="27"/>
  <c r="O123" i="27" s="1"/>
  <c r="M118" i="8"/>
  <c r="N125" i="27" l="1"/>
  <c r="K124" i="27"/>
  <c r="O124" i="27" s="1"/>
  <c r="M119" i="8"/>
  <c r="N126" i="27" l="1"/>
  <c r="K125" i="27"/>
  <c r="O125" i="27" s="1"/>
  <c r="M120" i="8"/>
  <c r="N127" i="27" l="1"/>
  <c r="K126" i="27"/>
  <c r="O126" i="27" s="1"/>
  <c r="M121" i="8"/>
  <c r="N128" i="27" l="1"/>
  <c r="K127" i="27"/>
  <c r="O127" i="27" s="1"/>
  <c r="M122" i="8"/>
  <c r="N129" i="27" l="1"/>
  <c r="K128" i="27"/>
  <c r="O128" i="27" s="1"/>
  <c r="J122" i="8"/>
  <c r="N122" i="8" s="1"/>
  <c r="M123" i="8"/>
  <c r="J123" i="8" s="1"/>
  <c r="N130" i="27" l="1"/>
  <c r="K129" i="27"/>
  <c r="O129" i="27" s="1"/>
  <c r="J121" i="8"/>
  <c r="N123" i="8" s="1"/>
  <c r="M124" i="8"/>
  <c r="J124" i="8" s="1"/>
  <c r="N131" i="27" l="1"/>
  <c r="K130" i="27"/>
  <c r="O130" i="27" s="1"/>
  <c r="N121" i="8"/>
  <c r="M125" i="8"/>
  <c r="J125" i="8" s="1"/>
  <c r="J120" i="8"/>
  <c r="N132" i="27" l="1"/>
  <c r="K131" i="27"/>
  <c r="O131" i="27" s="1"/>
  <c r="N124" i="8"/>
  <c r="N120" i="8"/>
  <c r="M126" i="8"/>
  <c r="J126" i="8" s="1"/>
  <c r="J119" i="8"/>
  <c r="N125" i="8" s="1"/>
  <c r="N133" i="27" l="1"/>
  <c r="K132" i="27"/>
  <c r="O132" i="27" s="1"/>
  <c r="N119" i="8"/>
  <c r="M127" i="8"/>
  <c r="J127" i="8" s="1"/>
  <c r="J118" i="8"/>
  <c r="N126" i="8" s="1"/>
  <c r="N134" i="27" l="1"/>
  <c r="K133" i="27"/>
  <c r="O133" i="27" s="1"/>
  <c r="N118" i="8"/>
  <c r="M128" i="8"/>
  <c r="J128" i="8" s="1"/>
  <c r="J117" i="8"/>
  <c r="N127" i="8" s="1"/>
  <c r="N135" i="27" l="1"/>
  <c r="K134" i="27"/>
  <c r="O134" i="27" s="1"/>
  <c r="N117" i="8"/>
  <c r="M129" i="8"/>
  <c r="J129" i="8" s="1"/>
  <c r="J116" i="8"/>
  <c r="N128" i="8" s="1"/>
  <c r="N136" i="27" l="1"/>
  <c r="K135" i="27"/>
  <c r="O135" i="27" s="1"/>
  <c r="N116" i="8"/>
  <c r="M130" i="8"/>
  <c r="J130" i="8" s="1"/>
  <c r="J115" i="8"/>
  <c r="N129" i="8" s="1"/>
  <c r="N137" i="27" l="1"/>
  <c r="K136" i="27"/>
  <c r="O136" i="27" s="1"/>
  <c r="N115" i="8"/>
  <c r="M131" i="8"/>
  <c r="J131" i="8" s="1"/>
  <c r="J114" i="8"/>
  <c r="N130" i="8" s="1"/>
  <c r="N138" i="27" l="1"/>
  <c r="K137" i="27"/>
  <c r="O137" i="27" s="1"/>
  <c r="N114" i="8"/>
  <c r="M132" i="8"/>
  <c r="J132" i="8" s="1"/>
  <c r="J113" i="8"/>
  <c r="N131" i="8" s="1"/>
  <c r="N139" i="27" l="1"/>
  <c r="K138" i="27"/>
  <c r="O138" i="27" s="1"/>
  <c r="N113" i="8"/>
  <c r="M133" i="8"/>
  <c r="J133" i="8" s="1"/>
  <c r="J112" i="8"/>
  <c r="N132" i="8" s="1"/>
  <c r="N140" i="27" l="1"/>
  <c r="K139" i="27"/>
  <c r="O139" i="27" s="1"/>
  <c r="N112" i="8"/>
  <c r="M134" i="8"/>
  <c r="J134" i="8" s="1"/>
  <c r="J111" i="8"/>
  <c r="N133" i="8" s="1"/>
  <c r="N141" i="27" l="1"/>
  <c r="K140" i="27"/>
  <c r="O140" i="27" s="1"/>
  <c r="N111" i="8"/>
  <c r="M135" i="8"/>
  <c r="J135" i="8" s="1"/>
  <c r="J110" i="8"/>
  <c r="N134" i="8" s="1"/>
  <c r="N142" i="27" l="1"/>
  <c r="K141" i="27"/>
  <c r="O141" i="27" s="1"/>
  <c r="N110" i="8"/>
  <c r="M136" i="8"/>
  <c r="J136" i="8" s="1"/>
  <c r="J109" i="8"/>
  <c r="N135" i="8" s="1"/>
  <c r="N143" i="27" l="1"/>
  <c r="K142" i="27"/>
  <c r="O142" i="27" s="1"/>
  <c r="N109" i="8"/>
  <c r="M137" i="8"/>
  <c r="J108" i="8"/>
  <c r="N136" i="8" s="1"/>
  <c r="J137" i="8" l="1"/>
  <c r="M138" i="8"/>
  <c r="N144" i="27"/>
  <c r="K143" i="27"/>
  <c r="O143" i="27" s="1"/>
  <c r="N108" i="8"/>
  <c r="J107" i="8"/>
  <c r="N137" i="8" s="1"/>
  <c r="M139" i="8" l="1"/>
  <c r="J138" i="8"/>
  <c r="N138" i="8" s="1"/>
  <c r="N145" i="27"/>
  <c r="K144" i="27"/>
  <c r="O144" i="27" s="1"/>
  <c r="N107" i="8"/>
  <c r="J106" i="8"/>
  <c r="J139" i="8" l="1"/>
  <c r="N139" i="8" s="1"/>
  <c r="M140" i="8"/>
  <c r="N146" i="27"/>
  <c r="K145" i="27"/>
  <c r="O145" i="27" s="1"/>
  <c r="N106" i="8"/>
  <c r="J105" i="8"/>
  <c r="M141" i="8" l="1"/>
  <c r="J140" i="8"/>
  <c r="N140" i="8" s="1"/>
  <c r="N147" i="27"/>
  <c r="K146" i="27"/>
  <c r="O146" i="27" s="1"/>
  <c r="N105" i="8"/>
  <c r="J104" i="8"/>
  <c r="J141" i="8" l="1"/>
  <c r="N141" i="8" s="1"/>
  <c r="M142" i="8"/>
  <c r="N148" i="27"/>
  <c r="K147" i="27"/>
  <c r="O147" i="27" s="1"/>
  <c r="N104" i="8"/>
  <c r="J103" i="8"/>
  <c r="M143" i="8" l="1"/>
  <c r="J142" i="8"/>
  <c r="N142" i="8" s="1"/>
  <c r="N149" i="27"/>
  <c r="K148" i="27"/>
  <c r="O148" i="27" s="1"/>
  <c r="N103" i="8"/>
  <c r="J102" i="8"/>
  <c r="M144" i="8" l="1"/>
  <c r="J143" i="8"/>
  <c r="N143" i="8" s="1"/>
  <c r="N150" i="27"/>
  <c r="K149" i="27"/>
  <c r="O149" i="27" s="1"/>
  <c r="N102" i="8"/>
  <c r="J101" i="8"/>
  <c r="M145" i="8" l="1"/>
  <c r="J144" i="8"/>
  <c r="N144" i="8" s="1"/>
  <c r="N151" i="27"/>
  <c r="K150" i="27"/>
  <c r="O150" i="27" s="1"/>
  <c r="N101" i="8"/>
  <c r="J100" i="8"/>
  <c r="M146" i="8" l="1"/>
  <c r="J145" i="8"/>
  <c r="N145" i="8" s="1"/>
  <c r="N152" i="27"/>
  <c r="K151" i="27"/>
  <c r="O151" i="27" s="1"/>
  <c r="N100" i="8"/>
  <c r="J99" i="8"/>
  <c r="M147" i="8" l="1"/>
  <c r="J146" i="8"/>
  <c r="N146" i="8" s="1"/>
  <c r="N153" i="27"/>
  <c r="K152" i="27"/>
  <c r="O152" i="27" s="1"/>
  <c r="N99" i="8"/>
  <c r="J98" i="8"/>
  <c r="M148" i="8" l="1"/>
  <c r="J147" i="8"/>
  <c r="N147" i="8" s="1"/>
  <c r="N154" i="27"/>
  <c r="K153" i="27"/>
  <c r="O153" i="27" s="1"/>
  <c r="N98" i="8"/>
  <c r="J97" i="8"/>
  <c r="M149" i="8" l="1"/>
  <c r="J148" i="8"/>
  <c r="N148" i="8" s="1"/>
  <c r="N155" i="27"/>
  <c r="K154" i="27"/>
  <c r="O154" i="27" s="1"/>
  <c r="N97" i="8"/>
  <c r="J96" i="8"/>
  <c r="M150" i="8" l="1"/>
  <c r="J149" i="8"/>
  <c r="N149" i="8" s="1"/>
  <c r="N156" i="27"/>
  <c r="K155" i="27"/>
  <c r="O155" i="27" s="1"/>
  <c r="N96" i="8"/>
  <c r="J95" i="8"/>
  <c r="M151" i="8" l="1"/>
  <c r="J150" i="8"/>
  <c r="N150" i="8" s="1"/>
  <c r="N157" i="27"/>
  <c r="K156" i="27"/>
  <c r="O156" i="27" s="1"/>
  <c r="N95" i="8"/>
  <c r="J94" i="8"/>
  <c r="M152" i="8" l="1"/>
  <c r="J151" i="8"/>
  <c r="N151" i="8" s="1"/>
  <c r="N158" i="27"/>
  <c r="K157" i="27"/>
  <c r="O157" i="27" s="1"/>
  <c r="N94" i="8"/>
  <c r="J93" i="8"/>
  <c r="M153" i="8" l="1"/>
  <c r="J152" i="8"/>
  <c r="N152" i="8" s="1"/>
  <c r="N159" i="27"/>
  <c r="K158" i="27"/>
  <c r="O158" i="27" s="1"/>
  <c r="N93" i="8"/>
  <c r="J92" i="8"/>
  <c r="M154" i="8" l="1"/>
  <c r="J153" i="8"/>
  <c r="N153" i="8" s="1"/>
  <c r="N160" i="27"/>
  <c r="K159" i="27"/>
  <c r="O159" i="27" s="1"/>
  <c r="N92" i="8"/>
  <c r="J91" i="8"/>
  <c r="M155" i="8" l="1"/>
  <c r="J154" i="8"/>
  <c r="N154" i="8" s="1"/>
  <c r="N161" i="27"/>
  <c r="K160" i="27"/>
  <c r="O160" i="27" s="1"/>
  <c r="N91" i="8"/>
  <c r="J90" i="8"/>
  <c r="M156" i="8" l="1"/>
  <c r="J155" i="8"/>
  <c r="N155" i="8" s="1"/>
  <c r="N162" i="27"/>
  <c r="K161" i="27"/>
  <c r="O161" i="27" s="1"/>
  <c r="N90" i="8"/>
  <c r="J89" i="8"/>
  <c r="M157" i="8" l="1"/>
  <c r="J156" i="8"/>
  <c r="N156" i="8" s="1"/>
  <c r="N163" i="27"/>
  <c r="K162" i="27"/>
  <c r="O162" i="27" s="1"/>
  <c r="N89" i="8"/>
  <c r="J88" i="8"/>
  <c r="M158" i="8" l="1"/>
  <c r="J157" i="8"/>
  <c r="N157" i="8" s="1"/>
  <c r="N164" i="27"/>
  <c r="K163" i="27"/>
  <c r="O163" i="27" s="1"/>
  <c r="N88" i="8"/>
  <c r="J87" i="8"/>
  <c r="M159" i="8" l="1"/>
  <c r="J158" i="8"/>
  <c r="N158" i="8" s="1"/>
  <c r="N165" i="27"/>
  <c r="K164" i="27"/>
  <c r="O164" i="27" s="1"/>
  <c r="N87" i="8"/>
  <c r="J86" i="8"/>
  <c r="M160" i="8" l="1"/>
  <c r="J159" i="8"/>
  <c r="N159" i="8" s="1"/>
  <c r="K165" i="27"/>
  <c r="O165" i="27" s="1"/>
  <c r="N166" i="27"/>
  <c r="N86" i="8"/>
  <c r="J85" i="8"/>
  <c r="M161" i="8" l="1"/>
  <c r="J160" i="8"/>
  <c r="N160" i="8" s="1"/>
  <c r="N167" i="27"/>
  <c r="K166" i="27"/>
  <c r="O166" i="27" s="1"/>
  <c r="N85" i="8"/>
  <c r="J84" i="8"/>
  <c r="M162" i="8" l="1"/>
  <c r="J161" i="8"/>
  <c r="N161" i="8" s="1"/>
  <c r="N168" i="27"/>
  <c r="K167" i="27"/>
  <c r="O167" i="27" s="1"/>
  <c r="N84" i="8"/>
  <c r="J83" i="8"/>
  <c r="M163" i="8" l="1"/>
  <c r="J162" i="8"/>
  <c r="N162" i="8" s="1"/>
  <c r="N169" i="27"/>
  <c r="K168" i="27"/>
  <c r="O168" i="27" s="1"/>
  <c r="N83" i="8"/>
  <c r="J82" i="8"/>
  <c r="M164" i="8" l="1"/>
  <c r="J163" i="8"/>
  <c r="N163" i="8" s="1"/>
  <c r="N170" i="27"/>
  <c r="K169" i="27"/>
  <c r="O169" i="27" s="1"/>
  <c r="N82" i="8"/>
  <c r="J81" i="8"/>
  <c r="M165" i="8" l="1"/>
  <c r="J164" i="8"/>
  <c r="N164" i="8" s="1"/>
  <c r="N171" i="27"/>
  <c r="K170" i="27"/>
  <c r="O170" i="27" s="1"/>
  <c r="N81" i="8"/>
  <c r="J80" i="8"/>
  <c r="M166" i="8" l="1"/>
  <c r="J165" i="8"/>
  <c r="N165" i="8" s="1"/>
  <c r="N172" i="27"/>
  <c r="K171" i="27"/>
  <c r="O171" i="27" s="1"/>
  <c r="N80" i="8"/>
  <c r="J79" i="8"/>
  <c r="M167" i="8" l="1"/>
  <c r="J166" i="8"/>
  <c r="N166" i="8" s="1"/>
  <c r="N173" i="27"/>
  <c r="K172" i="27"/>
  <c r="O172" i="27" s="1"/>
  <c r="N79" i="8"/>
  <c r="J78" i="8"/>
  <c r="M168" i="8" l="1"/>
  <c r="J167" i="8"/>
  <c r="N167" i="8" s="1"/>
  <c r="N174" i="27"/>
  <c r="K173" i="27"/>
  <c r="O173" i="27" s="1"/>
  <c r="N78" i="8"/>
  <c r="J77" i="8"/>
  <c r="M169" i="8" l="1"/>
  <c r="J168" i="8"/>
  <c r="N168" i="8" s="1"/>
  <c r="N175" i="27"/>
  <c r="K174" i="27"/>
  <c r="O174" i="27" s="1"/>
  <c r="N77" i="8"/>
  <c r="J76" i="8"/>
  <c r="M170" i="8" l="1"/>
  <c r="J169" i="8"/>
  <c r="N169" i="8" s="1"/>
  <c r="N176" i="27"/>
  <c r="K175" i="27"/>
  <c r="O175" i="27" s="1"/>
  <c r="N76" i="8"/>
  <c r="J75" i="8"/>
  <c r="M171" i="8" l="1"/>
  <c r="J170" i="8"/>
  <c r="N170" i="8" s="1"/>
  <c r="N177" i="27"/>
  <c r="K176" i="27"/>
  <c r="O176" i="27" s="1"/>
  <c r="N75" i="8"/>
  <c r="J74" i="8"/>
  <c r="M172" i="8" l="1"/>
  <c r="J171" i="8"/>
  <c r="N171" i="8" s="1"/>
  <c r="N178" i="27"/>
  <c r="K177" i="27"/>
  <c r="O177" i="27" s="1"/>
  <c r="N74" i="8"/>
  <c r="J73" i="8"/>
  <c r="M173" i="8" l="1"/>
  <c r="J172" i="8"/>
  <c r="N172" i="8" s="1"/>
  <c r="N179" i="27"/>
  <c r="K178" i="27"/>
  <c r="O178" i="27" s="1"/>
  <c r="N73" i="8"/>
  <c r="J72" i="8"/>
  <c r="M174" i="8" l="1"/>
  <c r="J173" i="8"/>
  <c r="N173" i="8" s="1"/>
  <c r="N180" i="27"/>
  <c r="K179" i="27"/>
  <c r="O179" i="27" s="1"/>
  <c r="N72" i="8"/>
  <c r="J71" i="8"/>
  <c r="M175" i="8" l="1"/>
  <c r="J174" i="8"/>
  <c r="N174" i="8" s="1"/>
  <c r="N181" i="27"/>
  <c r="K180" i="27"/>
  <c r="O180" i="27" s="1"/>
  <c r="N71" i="8"/>
  <c r="J70" i="8"/>
  <c r="M176" i="8" l="1"/>
  <c r="J175" i="8"/>
  <c r="N175" i="8" s="1"/>
  <c r="K181" i="27"/>
  <c r="O181" i="27" s="1"/>
  <c r="N182" i="27"/>
  <c r="N70" i="8"/>
  <c r="J69" i="8"/>
  <c r="M177" i="8" l="1"/>
  <c r="J176" i="8"/>
  <c r="N176" i="8" s="1"/>
  <c r="N183" i="27"/>
  <c r="K182" i="27"/>
  <c r="O182" i="27" s="1"/>
  <c r="N69" i="8"/>
  <c r="J68" i="8"/>
  <c r="M178" i="8" l="1"/>
  <c r="J177" i="8"/>
  <c r="N177" i="8" s="1"/>
  <c r="N184" i="27"/>
  <c r="K183" i="27"/>
  <c r="O183" i="27" s="1"/>
  <c r="N68" i="8"/>
  <c r="J67" i="8"/>
  <c r="M179" i="8" l="1"/>
  <c r="J178" i="8"/>
  <c r="N178" i="8" s="1"/>
  <c r="N185" i="27"/>
  <c r="K184" i="27"/>
  <c r="O184" i="27" s="1"/>
  <c r="N67" i="8"/>
  <c r="J66" i="8"/>
  <c r="M180" i="8" l="1"/>
  <c r="J179" i="8"/>
  <c r="N179" i="8" s="1"/>
  <c r="N186" i="27"/>
  <c r="K185" i="27"/>
  <c r="O185" i="27" s="1"/>
  <c r="N66" i="8"/>
  <c r="J65" i="8"/>
  <c r="M181" i="8" l="1"/>
  <c r="J180" i="8"/>
  <c r="N180" i="8" s="1"/>
  <c r="N187" i="27"/>
  <c r="K186" i="27"/>
  <c r="O186" i="27" s="1"/>
  <c r="N65" i="8"/>
  <c r="J64" i="8"/>
  <c r="M182" i="8" l="1"/>
  <c r="J181" i="8"/>
  <c r="N181" i="8" s="1"/>
  <c r="N188" i="27"/>
  <c r="K187" i="27"/>
  <c r="O187" i="27" s="1"/>
  <c r="N64" i="8"/>
  <c r="J63" i="8"/>
  <c r="M183" i="8" l="1"/>
  <c r="J182" i="8"/>
  <c r="N182" i="8" s="1"/>
  <c r="N189" i="27"/>
  <c r="K188" i="27"/>
  <c r="O188" i="27" s="1"/>
  <c r="N63" i="8"/>
  <c r="J62" i="8"/>
  <c r="M184" i="8" l="1"/>
  <c r="J183" i="8"/>
  <c r="N183" i="8" s="1"/>
  <c r="N190" i="27"/>
  <c r="K189" i="27"/>
  <c r="O189" i="27" s="1"/>
  <c r="N62" i="8"/>
  <c r="J61" i="8"/>
  <c r="M185" i="8" l="1"/>
  <c r="J184" i="8"/>
  <c r="N184" i="8" s="1"/>
  <c r="N191" i="27"/>
  <c r="K190" i="27"/>
  <c r="O190" i="27" s="1"/>
  <c r="N61" i="8"/>
  <c r="J60" i="8"/>
  <c r="M186" i="8" l="1"/>
  <c r="J185" i="8"/>
  <c r="N185" i="8" s="1"/>
  <c r="N192" i="27"/>
  <c r="K191" i="27"/>
  <c r="O191" i="27" s="1"/>
  <c r="N60" i="8"/>
  <c r="J59" i="8"/>
  <c r="M187" i="8" l="1"/>
  <c r="J186" i="8"/>
  <c r="N186" i="8" s="1"/>
  <c r="N193" i="27"/>
  <c r="K192" i="27"/>
  <c r="O192" i="27" s="1"/>
  <c r="N59" i="8"/>
  <c r="J58" i="8"/>
  <c r="M188" i="8" l="1"/>
  <c r="J187" i="8"/>
  <c r="N187" i="8" s="1"/>
  <c r="N194" i="27"/>
  <c r="K193" i="27"/>
  <c r="O193" i="27" s="1"/>
  <c r="N58" i="8"/>
  <c r="J57" i="8"/>
  <c r="M189" i="8" l="1"/>
  <c r="J188" i="8"/>
  <c r="N188" i="8" s="1"/>
  <c r="N195" i="27"/>
  <c r="K194" i="27"/>
  <c r="O194" i="27" s="1"/>
  <c r="N57" i="8"/>
  <c r="J56" i="8"/>
  <c r="M190" i="8" l="1"/>
  <c r="J189" i="8"/>
  <c r="N189" i="8" s="1"/>
  <c r="N196" i="27"/>
  <c r="K195" i="27"/>
  <c r="O195" i="27" s="1"/>
  <c r="N56" i="8"/>
  <c r="J55" i="8"/>
  <c r="M191" i="8" l="1"/>
  <c r="J190" i="8"/>
  <c r="N190" i="8" s="1"/>
  <c r="N197" i="27"/>
  <c r="K196" i="27"/>
  <c r="O196" i="27" s="1"/>
  <c r="N55" i="8"/>
  <c r="J54" i="8"/>
  <c r="M192" i="8" l="1"/>
  <c r="J191" i="8"/>
  <c r="N191" i="8" s="1"/>
  <c r="K197" i="27"/>
  <c r="O197" i="27" s="1"/>
  <c r="N198" i="27"/>
  <c r="N54" i="8"/>
  <c r="J53" i="8"/>
  <c r="M193" i="8" l="1"/>
  <c r="J192" i="8"/>
  <c r="N192" i="8" s="1"/>
  <c r="N199" i="27"/>
  <c r="K198" i="27"/>
  <c r="O198" i="27" s="1"/>
  <c r="N53" i="8"/>
  <c r="J52" i="8"/>
  <c r="M194" i="8" l="1"/>
  <c r="J193" i="8"/>
  <c r="N193" i="8" s="1"/>
  <c r="N200" i="27"/>
  <c r="K199" i="27"/>
  <c r="O199" i="27" s="1"/>
  <c r="N52" i="8"/>
  <c r="J51" i="8"/>
  <c r="M195" i="8" l="1"/>
  <c r="J194" i="8"/>
  <c r="N194" i="8" s="1"/>
  <c r="N201" i="27"/>
  <c r="K200" i="27"/>
  <c r="O200" i="27" s="1"/>
  <c r="N51" i="8"/>
  <c r="J50" i="8"/>
  <c r="M196" i="8" l="1"/>
  <c r="J195" i="8"/>
  <c r="N195" i="8" s="1"/>
  <c r="N202" i="27"/>
  <c r="K201" i="27"/>
  <c r="O201" i="27" s="1"/>
  <c r="N50" i="8"/>
  <c r="J49" i="8"/>
  <c r="M197" i="8" l="1"/>
  <c r="J196" i="8"/>
  <c r="N196" i="8" s="1"/>
  <c r="N203" i="27"/>
  <c r="K202" i="27"/>
  <c r="O202" i="27" s="1"/>
  <c r="N49" i="8"/>
  <c r="J48" i="8"/>
  <c r="M198" i="8" l="1"/>
  <c r="J197" i="8"/>
  <c r="N197" i="8" s="1"/>
  <c r="N204" i="27"/>
  <c r="K203" i="27"/>
  <c r="O203" i="27" s="1"/>
  <c r="N48" i="8"/>
  <c r="J47" i="8"/>
  <c r="M199" i="8" l="1"/>
  <c r="J198" i="8"/>
  <c r="N198" i="8" s="1"/>
  <c r="N205" i="27"/>
  <c r="K204" i="27"/>
  <c r="O204" i="27" s="1"/>
  <c r="N47" i="8"/>
  <c r="J46" i="8"/>
  <c r="M200" i="8" l="1"/>
  <c r="J199" i="8"/>
  <c r="N199" i="8" s="1"/>
  <c r="N206" i="27"/>
  <c r="K205" i="27"/>
  <c r="O205" i="27" s="1"/>
  <c r="N46" i="8"/>
  <c r="J45" i="8"/>
  <c r="M201" i="8" l="1"/>
  <c r="J200" i="8"/>
  <c r="N200" i="8" s="1"/>
  <c r="N207" i="27"/>
  <c r="K206" i="27"/>
  <c r="O206" i="27" s="1"/>
  <c r="N45" i="8"/>
  <c r="J44" i="8"/>
  <c r="M202" i="8" l="1"/>
  <c r="J201" i="8"/>
  <c r="N201" i="8" s="1"/>
  <c r="N208" i="27"/>
  <c r="K207" i="27"/>
  <c r="O207" i="27" s="1"/>
  <c r="N44" i="8"/>
  <c r="J43" i="8"/>
  <c r="M203" i="8" l="1"/>
  <c r="J202" i="8"/>
  <c r="N202" i="8" s="1"/>
  <c r="N209" i="27"/>
  <c r="K208" i="27"/>
  <c r="O208" i="27" s="1"/>
  <c r="N43" i="8"/>
  <c r="J42" i="8"/>
  <c r="M204" i="8" l="1"/>
  <c r="J203" i="8"/>
  <c r="N203" i="8" s="1"/>
  <c r="N210" i="27"/>
  <c r="K209" i="27"/>
  <c r="O209" i="27" s="1"/>
  <c r="N42" i="8"/>
  <c r="J41" i="8"/>
  <c r="M205" i="8" l="1"/>
  <c r="J204" i="8"/>
  <c r="N204" i="8" s="1"/>
  <c r="N211" i="27"/>
  <c r="K210" i="27"/>
  <c r="O210" i="27" s="1"/>
  <c r="N41" i="8"/>
  <c r="J40" i="8"/>
  <c r="M206" i="8" l="1"/>
  <c r="J205" i="8"/>
  <c r="N205" i="8" s="1"/>
  <c r="N212" i="27"/>
  <c r="K211" i="27"/>
  <c r="O211" i="27" s="1"/>
  <c r="N40" i="8"/>
  <c r="J39" i="8"/>
  <c r="M207" i="8" l="1"/>
  <c r="J206" i="8"/>
  <c r="N206" i="8" s="1"/>
  <c r="N213" i="27"/>
  <c r="K212" i="27"/>
  <c r="O212" i="27" s="1"/>
  <c r="N39" i="8"/>
  <c r="J38" i="8"/>
  <c r="M208" i="8" l="1"/>
  <c r="J207" i="8"/>
  <c r="N207" i="8" s="1"/>
  <c r="K213" i="27"/>
  <c r="O213" i="27" s="1"/>
  <c r="N214" i="27"/>
  <c r="N38" i="8"/>
  <c r="J37" i="8"/>
  <c r="M209" i="8" l="1"/>
  <c r="J208" i="8"/>
  <c r="N208" i="8" s="1"/>
  <c r="N215" i="27"/>
  <c r="K214" i="27"/>
  <c r="O214" i="27" s="1"/>
  <c r="N37" i="8"/>
  <c r="J36" i="8"/>
  <c r="M210" i="8" l="1"/>
  <c r="J209" i="8"/>
  <c r="N209" i="8" s="1"/>
  <c r="N216" i="27"/>
  <c r="K215" i="27"/>
  <c r="O215" i="27" s="1"/>
  <c r="N36" i="8"/>
  <c r="J35" i="8"/>
  <c r="M211" i="8" l="1"/>
  <c r="J210" i="8"/>
  <c r="N210" i="8" s="1"/>
  <c r="N217" i="27"/>
  <c r="K216" i="27"/>
  <c r="O216" i="27" s="1"/>
  <c r="N35" i="8"/>
  <c r="J34" i="8"/>
  <c r="M212" i="8" l="1"/>
  <c r="J211" i="8"/>
  <c r="N211" i="8" s="1"/>
  <c r="N218" i="27"/>
  <c r="K217" i="27"/>
  <c r="O217" i="27" s="1"/>
  <c r="N34" i="8"/>
  <c r="J33" i="8"/>
  <c r="M213" i="8" l="1"/>
  <c r="J212" i="8"/>
  <c r="N212" i="8" s="1"/>
  <c r="N219" i="27"/>
  <c r="K218" i="27"/>
  <c r="O218" i="27" s="1"/>
  <c r="N33" i="8"/>
  <c r="J32" i="8"/>
  <c r="M214" i="8" l="1"/>
  <c r="J213" i="8"/>
  <c r="N213" i="8" s="1"/>
  <c r="N220" i="27"/>
  <c r="K219" i="27"/>
  <c r="O219" i="27" s="1"/>
  <c r="N32" i="8"/>
  <c r="J31" i="8"/>
  <c r="M215" i="8" l="1"/>
  <c r="J214" i="8"/>
  <c r="N214" i="8" s="1"/>
  <c r="N221" i="27"/>
  <c r="K220" i="27"/>
  <c r="O220" i="27" s="1"/>
  <c r="N31" i="8"/>
  <c r="J30" i="8"/>
  <c r="M216" i="8" l="1"/>
  <c r="J215" i="8"/>
  <c r="N215" i="8" s="1"/>
  <c r="N222" i="27"/>
  <c r="K221" i="27"/>
  <c r="O221" i="27" s="1"/>
  <c r="N30" i="8"/>
  <c r="J29" i="8"/>
  <c r="M217" i="8" l="1"/>
  <c r="J216" i="8"/>
  <c r="N216" i="8" s="1"/>
  <c r="N223" i="27"/>
  <c r="K222" i="27"/>
  <c r="O222" i="27" s="1"/>
  <c r="N29" i="8"/>
  <c r="J28" i="8"/>
  <c r="M218" i="8" l="1"/>
  <c r="J217" i="8"/>
  <c r="N217" i="8" s="1"/>
  <c r="N224" i="27"/>
  <c r="K223" i="27"/>
  <c r="O223" i="27" s="1"/>
  <c r="N28" i="8"/>
  <c r="J27" i="8"/>
  <c r="M219" i="8" l="1"/>
  <c r="J218" i="8"/>
  <c r="N218" i="8" s="1"/>
  <c r="N225" i="27"/>
  <c r="K224" i="27"/>
  <c r="O224" i="27" s="1"/>
  <c r="N27" i="8"/>
  <c r="J26" i="8"/>
  <c r="M220" i="8" l="1"/>
  <c r="J219" i="8"/>
  <c r="N219" i="8" s="1"/>
  <c r="N226" i="27"/>
  <c r="K225" i="27"/>
  <c r="O225" i="27" s="1"/>
  <c r="N26" i="8"/>
  <c r="J25" i="8"/>
  <c r="M221" i="8" l="1"/>
  <c r="J220" i="8"/>
  <c r="N220" i="8" s="1"/>
  <c r="N227" i="27"/>
  <c r="K226" i="27"/>
  <c r="O226" i="27" s="1"/>
  <c r="N25" i="8"/>
  <c r="J24" i="8"/>
  <c r="M222" i="8" l="1"/>
  <c r="J221" i="8"/>
  <c r="N221" i="8" s="1"/>
  <c r="N228" i="27"/>
  <c r="K227" i="27"/>
  <c r="O227" i="27" s="1"/>
  <c r="N24" i="8"/>
  <c r="J23" i="8"/>
  <c r="M223" i="8" l="1"/>
  <c r="J222" i="8"/>
  <c r="N222" i="8" s="1"/>
  <c r="N229" i="27"/>
  <c r="K228" i="27"/>
  <c r="O228" i="27" s="1"/>
  <c r="N23" i="8"/>
  <c r="J22" i="8"/>
  <c r="M224" i="8" l="1"/>
  <c r="J223" i="8"/>
  <c r="N223" i="8" s="1"/>
  <c r="K229" i="27"/>
  <c r="O229" i="27" s="1"/>
  <c r="N230" i="27"/>
  <c r="N22" i="8"/>
  <c r="J21" i="8"/>
  <c r="M225" i="8" l="1"/>
  <c r="J224" i="8"/>
  <c r="N224" i="8" s="1"/>
  <c r="N231" i="27"/>
  <c r="K230" i="27"/>
  <c r="O230" i="27" s="1"/>
  <c r="N21" i="8"/>
  <c r="J20" i="8"/>
  <c r="M226" i="8" l="1"/>
  <c r="J225" i="8"/>
  <c r="N225" i="8" s="1"/>
  <c r="N232" i="27"/>
  <c r="K231" i="27"/>
  <c r="O231" i="27" s="1"/>
  <c r="N20" i="8"/>
  <c r="J19" i="8"/>
  <c r="M227" i="8" l="1"/>
  <c r="J226" i="8"/>
  <c r="N226" i="8" s="1"/>
  <c r="N233" i="27"/>
  <c r="K232" i="27"/>
  <c r="O232" i="27" s="1"/>
  <c r="N19" i="8"/>
  <c r="J18" i="8"/>
  <c r="M228" i="8" l="1"/>
  <c r="J227" i="8"/>
  <c r="N227" i="8" s="1"/>
  <c r="N234" i="27"/>
  <c r="K233" i="27"/>
  <c r="O233" i="27" s="1"/>
  <c r="N18" i="8"/>
  <c r="J17" i="8"/>
  <c r="M229" i="8" l="1"/>
  <c r="J228" i="8"/>
  <c r="N228" i="8" s="1"/>
  <c r="N235" i="27"/>
  <c r="K234" i="27"/>
  <c r="O234" i="27" s="1"/>
  <c r="N17" i="8"/>
  <c r="J16" i="8"/>
  <c r="M230" i="8" l="1"/>
  <c r="J229" i="8"/>
  <c r="N229" i="8" s="1"/>
  <c r="N236" i="27"/>
  <c r="K235" i="27"/>
  <c r="O235" i="27" s="1"/>
  <c r="N16" i="8"/>
  <c r="J15" i="8"/>
  <c r="M231" i="8" l="1"/>
  <c r="J230" i="8"/>
  <c r="N230" i="8" s="1"/>
  <c r="N237" i="27"/>
  <c r="K236" i="27"/>
  <c r="O236" i="27" s="1"/>
  <c r="N15" i="8"/>
  <c r="J14" i="8"/>
  <c r="M232" i="8" l="1"/>
  <c r="J231" i="8"/>
  <c r="N231" i="8" s="1"/>
  <c r="N238" i="27"/>
  <c r="K237" i="27"/>
  <c r="O237" i="27" s="1"/>
  <c r="N14" i="8"/>
  <c r="J13" i="8"/>
  <c r="M233" i="8" l="1"/>
  <c r="J232" i="8"/>
  <c r="N232" i="8" s="1"/>
  <c r="N239" i="27"/>
  <c r="K238" i="27"/>
  <c r="O238" i="27" s="1"/>
  <c r="N13" i="8"/>
  <c r="J12" i="8"/>
  <c r="M234" i="8" l="1"/>
  <c r="J233" i="8"/>
  <c r="N233" i="8" s="1"/>
  <c r="N240" i="27"/>
  <c r="K239" i="27"/>
  <c r="O239" i="27" s="1"/>
  <c r="N12" i="8"/>
  <c r="J11" i="8"/>
  <c r="M235" i="8" l="1"/>
  <c r="J234" i="8"/>
  <c r="N234" i="8" s="1"/>
  <c r="N241" i="27"/>
  <c r="K240" i="27"/>
  <c r="O240" i="27" s="1"/>
  <c r="N11" i="8"/>
  <c r="J10" i="8"/>
  <c r="M236" i="8" l="1"/>
  <c r="J235" i="8"/>
  <c r="N235" i="8" s="1"/>
  <c r="N242" i="27"/>
  <c r="K241" i="27"/>
  <c r="N10" i="8"/>
  <c r="J9" i="8"/>
  <c r="M237" i="8" l="1"/>
  <c r="J236" i="8"/>
  <c r="N236" i="8" s="1"/>
  <c r="O241" i="27"/>
  <c r="K243" i="27"/>
  <c r="N9" i="8"/>
  <c r="J8" i="8"/>
  <c r="M238" i="8" l="1"/>
  <c r="J237" i="8"/>
  <c r="N237" i="8" s="1"/>
  <c r="N8" i="8"/>
  <c r="J7" i="8"/>
  <c r="M239" i="8" l="1"/>
  <c r="J238" i="8"/>
  <c r="N238" i="8" s="1"/>
  <c r="N7" i="8"/>
  <c r="J6" i="8"/>
  <c r="M240" i="8" l="1"/>
  <c r="J239" i="8"/>
  <c r="N239" i="8" s="1"/>
  <c r="N6" i="8"/>
  <c r="J5" i="8"/>
  <c r="M241" i="8" l="1"/>
  <c r="J240" i="8"/>
  <c r="N240" i="8" s="1"/>
  <c r="N5" i="8"/>
  <c r="J4" i="8"/>
  <c r="M242" i="8" l="1"/>
  <c r="J241" i="8"/>
  <c r="N241" i="8" s="1"/>
  <c r="N4" i="8"/>
  <c r="J3" i="8"/>
  <c r="N3" i="8" l="1"/>
  <c r="J243"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tc={30AA88A3-A29C-0F40-AD80-2D387AD8375D}</author>
    <author>tc={BE872437-9D85-3643-8700-056C05B6001E}</author>
    <author>tc={D0D78333-1825-944F-94A2-A7DA2913EA63}</author>
    <author>tc={B27ECE59-091E-444B-BA25-683628310186}</author>
    <author>tc={D22DCC1A-ABC3-E44C-88D8-4611C51AC25C}</author>
    <author>tc={0690EBAC-E736-1441-9453-BE8FB19CE56E}</author>
    <author>tc={70EAA3CD-22E4-4248-8ED4-13EFB71B7D46}</author>
  </authors>
  <commentList>
    <comment ref="A1" authorId="0" shapeId="0" xr:uid="{30AA88A3-A29C-0F40-AD80-2D387AD8375D}">
      <text>
        <t>[Threaded comment]
Your version of Excel allows you to read this threaded comment; however, any edits to it will get removed if the file is opened in a newer version of Excel. Learn more: https://go.microsoft.com/fwlink/?linkid=870924
Comment:
    Données importées manuellement du site BKAM.ma 
https://www.bkam.ma/Marches/Principaux-indicateurs/Marche-monetaire/Indice-monia-moroccan-overnight-index-average</t>
      </text>
    </comment>
    <comment ref="E1" authorId="1" shapeId="0" xr:uid="{BE872437-9D85-3643-8700-056C05B6001E}">
      <text>
        <t>[Threaded comment]
Your version of Excel allows you to read this threaded comment; however, any edits to it will get removed if the file is opened in a newer version of Excel. Learn more: https://go.microsoft.com/fwlink/?linkid=870924
Comment:
    Dérouler le groupe pour afficher les données utilisées (MONIA,  source BKAM.ma)</t>
      </text>
    </comment>
    <comment ref="G1" authorId="2" shapeId="0" xr:uid="{D0D78333-1825-944F-94A2-A7DA2913EA63}">
      <text>
        <t xml:space="preserve">[Threaded comment]
Your version of Excel allows you to read this threaded comment; however, any edits to it will get removed if the file is opened in a newer version of Excel. Learn more: https://go.microsoft.com/fwlink/?linkid=870924
Comment:
    Ce paramètre sert à calculer le nombre de jours ouvrables entre la date de référence et celle de publication. 
Analytiquement :
Calendar days = Jour publication - Jour référence 
= (Dn - Cn)
</t>
      </text>
    </comment>
    <comment ref="H1" authorId="3" shapeId="0" xr:uid="{B27ECE59-091E-444B-BA25-683628310186}">
      <text>
        <t xml:space="preserve">[Threaded comment]
Your version of Excel allows you to read this threaded comment; however, any edits to it will get removed if the file is opened in a newer version of Excel. Learn more: https://go.microsoft.com/fwlink/?linkid=870924
Comment:
    Paramètre essentiel pour le calcul de l’indice forward, calculé comme le taux actualisé pondéré par le nombre de jours ouvrable (cologne F) divisé par la convention de jours (dans le cas du MONIA on parle de 360 jours)
Analytiquement :         Multiplicateur (compounded MONIA ) = (1+T%MONIARECENT*CALENDARDAYS/360)
= (1+A3*F3/360)
</t>
      </text>
    </comment>
    <comment ref="J1" authorId="4" shapeId="0" xr:uid="{D22DCC1A-ABC3-E44C-88D8-4611C51AC25C}">
      <text>
        <t xml:space="preserve">[Threaded comment]
Your version of Excel allows you to read this threaded comment; however, any edits to it will get removed if the file is opened in a newer version of Excel. Learn more: https://go.microsoft.com/fwlink/?linkid=870924
Comment:
Pour le calcul de l’indice forward, on prend le multiplicateur le plus recent divisé par le multiplicateur le plus ancien -1 * la notation de décompte (soit 360 pour le MONIA) * (la date projetée - la date initiale (n0)
Analytiquement :
Taux forward journalier = (Taux multiplicateur initial/ Taux multiplicateur final)-1 * 360 / (N+1-n0) </t>
      </text>
    </comment>
    <comment ref="M1" authorId="5" shapeId="0" xr:uid="{0690EBAC-E736-1441-9453-BE8FB19CE56E}">
      <text>
        <t>[Threaded comment]
Your version of Excel allows you to read this threaded comment; however, any edits to it will get removed if the file is opened in a newer version of Excel. Learn more: https://go.microsoft.com/fwlink/?linkid=870924
Comment:
    Projection du taux publié pour une échéance future 
NB:  j’ai relié la date de publication en ajoutant +1 jour par soucis d’automatisation</t>
      </text>
    </comment>
    <comment ref="N1" authorId="6" shapeId="0" xr:uid="{70EAA3CD-22E4-4248-8ED4-13EFB71B7D46}">
      <text>
        <t>[Threaded comment]
Your version of Excel allows you to read this threaded comment; however, any edits to it will get removed if the file is opened in a newer version of Excel. Learn more: https://go.microsoft.com/fwlink/?linkid=870924
Comment:
    À fin de calculer l’indice MONIA à maturité forward, on prend le dernier taux publié et on rajoute un indice forward (Cologne J)
Analytiquement :
MONIARECENT+MONIAINDICE
NB: Pour rendre ce modèle robuste, j’ai relié la case M6 au dernier taux publié par soucis d’automatisation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tc={9DBA2B10-F437-F542-95C0-A238DEFEA0CC}</author>
    <author>tc={EC5BE3A6-6671-0D4E-B250-683AAB58C1B0}</author>
    <author>tc={68454F63-1336-AE40-B60F-F1989255C237}</author>
    <author>tc={A756FFD4-DBE0-5B4D-B28C-72E601B6E9AB}</author>
    <author>tc={CD14A4BC-0532-1E41-A943-67E6D013FD56}</author>
    <author>tc={34977CE0-6772-7A44-9E99-B2053064C425}</author>
    <author>tc={21BF8ABF-05B7-6C4A-8100-0E33D1E23E90}</author>
    <author>tc={B230F131-AA36-A447-9687-9DBB15C14C45}</author>
  </authors>
  <commentList>
    <comment ref="A1" authorId="0" shapeId="0" xr:uid="{9DBA2B10-F437-F542-95C0-A238DEFEA0CC}">
      <text>
        <t>[Threaded comment]
Your version of Excel allows you to read this threaded comment; however, any edits to it will get removed if the file is opened in a newer version of Excel. Learn more: https://go.microsoft.com/fwlink/?linkid=870924
Comment:
    Données importées manuellement du site BKAM.ma 
https://www.bkam.ma/Marches/Principaux-indicateurs/Marche-monetaire/Indice-monia-moroccan-overnight-index-average</t>
      </text>
    </comment>
    <comment ref="E1" authorId="1" shapeId="0" xr:uid="{EC5BE3A6-6671-0D4E-B250-683AAB58C1B0}">
      <text>
        <t>[Threaded comment]
Your version of Excel allows you to read this threaded comment; however, any edits to it will get removed if the file is opened in a newer version of Excel. Learn more: https://go.microsoft.com/fwlink/?linkid=870924
Comment:
    Dérouler le groupe pour afficher les données utilisées (MONIA,  source BKAM.ma)</t>
      </text>
    </comment>
    <comment ref="F1" authorId="2" shapeId="0" xr:uid="{68454F63-1336-AE40-B60F-F1989255C237}">
      <text>
        <t>[Threaded comment]
Your version of Excel allows you to read this threaded comment; however, any edits to it will get removed if the file is opened in a newer version of Excel. Learn more: https://go.microsoft.com/fwlink/?linkid=870924
Comment:
    Sensitivité de la courbe MONIA à terme a - 50 bps (-0.5%)</t>
      </text>
    </comment>
    <comment ref="H1" authorId="3" shapeId="0" xr:uid="{A756FFD4-DBE0-5B4D-B28C-72E601B6E9AB}">
      <text>
        <t xml:space="preserve">[Threaded comment]
Your version of Excel allows you to read this threaded comment; however, any edits to it will get removed if the file is opened in a newer version of Excel. Learn more: https://go.microsoft.com/fwlink/?linkid=870924
Comment:
    Ce paramètre sert à calculer le nombre de jours ouvrables entre la date de référence et celle de publication. 
Analytiquement :
Calendar days = Jour publication - Jour référence 
= (Dn - Cn)
</t>
      </text>
    </comment>
    <comment ref="I1" authorId="4" shapeId="0" xr:uid="{CD14A4BC-0532-1E41-A943-67E6D013FD56}">
      <text>
        <t xml:space="preserve">[Threaded comment]
Your version of Excel allows you to read this threaded comment; however, any edits to it will get removed if the file is opened in a newer version of Excel. Learn more: https://go.microsoft.com/fwlink/?linkid=870924
Comment:
    Paramètre essentiel pour le calcul de l’indice forward, calculé comme le taux actualisé pondéré par le nombre de jours ouvrable (cologne F) divisé par la convention de jours (dans le cas du MONIA on parle de 360 jours)
Analytiquement :         Multiplicateur (compounded MONIA ) = (1+T%MONIARECENT*CALENDARDAYS/360)
= (1+A3*F3/360)
</t>
      </text>
    </comment>
    <comment ref="K1" authorId="5" shapeId="0" xr:uid="{34977CE0-6772-7A44-9E99-B2053064C425}">
      <text>
        <t xml:space="preserve">[Threaded comment]
Your version of Excel allows you to read this threaded comment; however, any edits to it will get removed if the file is opened in a newer version of Excel. Learn more: https://go.microsoft.com/fwlink/?linkid=870924
Comment:
Pour le calcul de l’indice forward, on prend le multiplicateur le plus recent divisé par le multiplicateur le plus ancien -1 * la notation de décompte (soit 360 pour le MONIA) * (la date projetée - la date initiale (n0)
Analytiquement :
Taux forward journalier = (Taux multiplicateur initial/ Taux multiplicateur final)-1 * 360 / (N+1-n0) </t>
      </text>
    </comment>
    <comment ref="N1" authorId="6" shapeId="0" xr:uid="{21BF8ABF-05B7-6C4A-8100-0E33D1E23E90}">
      <text>
        <t>[Threaded comment]
Your version of Excel allows you to read this threaded comment; however, any edits to it will get removed if the file is opened in a newer version of Excel. Learn more: https://go.microsoft.com/fwlink/?linkid=870924
Comment:
    Projection du taux publié pour une échéance future 
NB:  j’ai relié la date de publication en ajoutant +1 jour par soucis d’automatisation</t>
      </text>
    </comment>
    <comment ref="O1" authorId="7" shapeId="0" xr:uid="{B230F131-AA36-A447-9687-9DBB15C14C45}">
      <text>
        <t>[Threaded comment]
Your version of Excel allows you to read this threaded comment; however, any edits to it will get removed if the file is opened in a newer version of Excel. Learn more: https://go.microsoft.com/fwlink/?linkid=870924
Comment:
    À fin de calculer l’indice MONIA à maturité forward, on prend le dernier taux publié et on rajoute un indice forward (Cologne J)
Analytiquement :
MONIARECENT+MONIAINDICE
NB: Pour rendre ce modèle robuste, j’ai relié la case M6 au dernier taux publié par soucis d’automatisation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tc={6DE75E3D-8CF1-E749-AD7D-38CD770D1CC8}</author>
    <author>tc={634BF9CE-70F2-684E-9C2B-8E1A30190556}</author>
    <author>Microsoft Office User</author>
  </authors>
  <commentList>
    <comment ref="F1" authorId="0" shapeId="0" xr:uid="{6DE75E3D-8CF1-E749-AD7D-38CD770D1CC8}">
      <text>
        <t>[Threaded comment]
Your version of Excel allows you to read this threaded comment; however, any edits to it will get removed if the file is opened in a newer version of Excel. Learn more: https://go.microsoft.com/fwlink/?linkid=870924
Comment:
    Soit la différence entre la date publication et la date référence
Analytiquement: DO = DP -DR 
Date publication -Date référence</t>
      </text>
    </comment>
    <comment ref="W1" authorId="1" shapeId="0" xr:uid="{634BF9CE-70F2-684E-9C2B-8E1A30190556}">
      <text>
        <t>[Threaded comment]
Your version of Excel allows you to read this threaded comment; however, any edits to it will get removed if the file is opened in a newer version of Excel. Learn more: https://go.microsoft.com/fwlink/?linkid=870924
Comment:
    Spread (soit la différence de taux)
Analytiquement 
Spread Taux = MONIA composé - MONIA simple</t>
      </text>
    </comment>
    <comment ref="U12" authorId="2" shapeId="0" xr:uid="{8C330AA5-0CDE-204B-AA71-B5A80CBBAA7C}">
      <text>
        <r>
          <rPr>
            <b/>
            <sz val="10"/>
            <color rgb="FF000000"/>
            <rFont val="Tahoma"/>
            <family val="2"/>
          </rPr>
          <t>Microsoft Office User:</t>
        </r>
        <r>
          <rPr>
            <sz val="10"/>
            <color rgb="FF000000"/>
            <rFont val="Tahoma"/>
            <family val="2"/>
          </rPr>
          <t xml:space="preserve">
</t>
        </r>
        <r>
          <rPr>
            <sz val="10"/>
            <color rgb="FF000000"/>
            <rFont val="Tahoma"/>
            <family val="2"/>
          </rPr>
          <t>=(βeta1)+(βeta2*((1-EXP(-B4/λ1))/(B4/λ1)))+βeta3*((((1-EXP(-B4/λ1))/(B4/λ1)))-(EXP(-B4/λ1))+(βeta4*((((1-EXP(-B4/λ2))/(B4/λ2)))-(EXP(-B4/λ2)))))</t>
        </r>
      </text>
    </comment>
    <comment ref="V12" authorId="2" shapeId="0" xr:uid="{1D754C25-BE08-A74A-BA9A-AC57FA1E4706}">
      <text>
        <r>
          <rPr>
            <b/>
            <sz val="10"/>
            <color rgb="FF000000"/>
            <rFont val="Tahoma"/>
            <family val="2"/>
          </rPr>
          <t>Microsoft Office User:</t>
        </r>
        <r>
          <rPr>
            <sz val="10"/>
            <color rgb="FF000000"/>
            <rFont val="Tahoma"/>
            <family val="2"/>
          </rPr>
          <t xml:space="preserve">
</t>
        </r>
        <r>
          <rPr>
            <sz val="10"/>
            <color rgb="FF000000"/>
            <rFont val="Tahoma"/>
            <family val="2"/>
          </rPr>
          <t>=SI(B4&gt;0;PUISSANCE(B4-C4;2);"")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tc={7B080E13-0382-7340-8BB8-4CDCDDDA7A1D}</author>
  </authors>
  <commentList>
    <comment ref="A1" authorId="0" shapeId="0" xr:uid="{7B080E13-0382-7340-8BB8-4CDCDDDA7A1D}">
      <text>
        <t>[Threaded comment]
Your version of Excel allows you to read this threaded comment; however, any edits to it will get removed if the file is opened in a newer version of Excel. Learn more: https://go.microsoft.com/fwlink/?linkid=870924
Comment:
    Données importées manuellement du site BKAM.ma 
https://www.bkam.ma/Marches/Principaux-indicateurs/Marche-monetaire/Indice-monia-moroccan-overnight-index-average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tc={630DD079-5FFB-7E48-BA6D-81D6351B10CD}</author>
    <author>tc={D6DB67F4-A619-944A-A6B5-79C578DD25D5}</author>
  </authors>
  <commentList>
    <comment ref="O1" authorId="0" shapeId="0" xr:uid="{630DD079-5FFB-7E48-BA6D-81D6351B10CD}">
      <text>
        <t>[Threaded comment]
Your version of Excel allows you to read this threaded comment; however, any edits to it will get removed if the file is opened in a newer version of Excel. Learn more: https://go.microsoft.com/fwlink/?linkid=870924
Comment:
    Projection du taux publié pour une échéance future 
NB:  j’ai relié la date de publication en ajoutant +1 jour par soucis d’automatisation</t>
      </text>
    </comment>
    <comment ref="P1" authorId="1" shapeId="0" xr:uid="{D6DB67F4-A619-944A-A6B5-79C578DD25D5}">
      <text>
        <t>[Threaded comment]
Your version of Excel allows you to read this threaded comment; however, any edits to it will get removed if the file is opened in a newer version of Excel. Learn more: https://go.microsoft.com/fwlink/?linkid=870924
Comment:
    À fin de calculer l’indice MONIA à maturité forward, on prend le dernier taux publié et on rajoute un indice forward (Cologne J)
Analytiquement :
MONIARECENT+MONIAINDICE
NB: Pour rendre ce modèle robuste, j’ai relié la case M6 au dernier taux publié par soucis d’automatisation</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55BBA3-F1A8-0147-AE27-66D80CBEFF79}" name="Connection" type="4" refreshedVersion="0" background="1" saveData="1">
    <webPr consecutive="1" xl2000="1" url="https://www.bkam.ma/Marches/Principaux-indicateurs/Marche-monetaire/Taux-de-reference-du-marche-interbancaire" htmlTables="1" htmlFormat="all"/>
  </connection>
  <connection id="2" xr16:uid="{7CB7B757-3AD1-5C41-8E02-8DF5BC6D2DFA}" name="Connexion" type="4" refreshedVersion="6" background="1" saveData="1">
    <webPr consecutive="1" xl2000="1" url="http://www.bkam.ma/Marches/Principaux-indicateurs/Marche-monetaire/Indice-monia-moroccan-overnight-index-average" htmlTables="1" htmlFormat="all"/>
  </connection>
  <connection id="3" xr16:uid="{E3AA1F8A-6213-6A4F-AFC6-0634B5D12CEA}" name="Connexion1" type="4" refreshedVersion="6" background="1" saveData="1">
    <webPr consecutive="1" xl2000="1" url="http://www.bkam.ma/Marches/Principaux-indicateurs/Marche-monetaire/Indice-monia-moroccan-overnight-index-average" htmlTables="1" htmlFormat="all"/>
  </connection>
  <connection id="4" xr16:uid="{A97CB53C-0D37-8249-87EE-04DAC1CC7F19}" name="Connexion2" type="4" refreshedVersion="6" background="1" saveData="1">
    <webPr consecutive="1" xl2000="1" url="http://www.bkam.ma/Marches/Principaux-indicateurs/Marche-monetaire/Indice-monia-moroccan-overnight-index-average" htmlTables="1" htmlFormat="all"/>
  </connection>
  <connection id="5" xr16:uid="{77473592-E276-B146-A9B6-69014825913A}" name="Connexion3" type="4" refreshedVersion="6" background="1" saveData="1">
    <webPr consecutive="1" xl2000="1" url="http://www.bkam.ma/Marches/Principaux-indicateurs/Marche-monetaire/Indice-monia-moroccan-overnight-index-average"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<sst xmlns="http://schemas.openxmlformats.org/spreadsheetml/2006/main" count="797" uniqueCount="141">
  <si>
    <t>Fwd Nbr jours</t>
  </si>
  <si>
    <t xml:space="preserve">MONIA indice forward </t>
  </si>
  <si>
    <t>MONIA taux forward</t>
  </si>
  <si>
    <t>Basé sur le modèle proposé par la BoE pour le calcul du SONIA composé "Supporting Risk-Free Rate transition through the provision of compounded SONIA" - February 2020</t>
  </si>
  <si>
    <t xml:space="preserve">Extrait du document publié par l'équipe de recherche suisse Fevrier 2020 - saron_compound_methodology_short.pdf </t>
  </si>
  <si>
    <t>nbr jours début-fin</t>
  </si>
  <si>
    <t>dernier taux publié</t>
  </si>
  <si>
    <t xml:space="preserve">spread </t>
  </si>
  <si>
    <t>-</t>
  </si>
  <si>
    <t>Interbank market</t>
  </si>
  <si>
    <t>In millions of Dirhams</t>
  </si>
  <si>
    <t>Settlement date</t>
  </si>
  <si>
    <t>Maturities</t>
  </si>
  <si>
    <t>Weighted average rate</t>
  </si>
  <si>
    <t>In progress</t>
  </si>
  <si>
    <t>Residual</t>
  </si>
  <si>
    <t>Volume JJ</t>
  </si>
  <si>
    <t>Date de publication</t>
  </si>
  <si>
    <t>Taux MONIA</t>
  </si>
  <si>
    <t>Var MONIA Index</t>
  </si>
  <si>
    <t>Var MONIA avg</t>
  </si>
  <si>
    <t>Date ouvrable</t>
  </si>
  <si>
    <t xml:space="preserve">Taux MONIA forward </t>
  </si>
  <si>
    <t>MONIA Index (SOFR)</t>
  </si>
  <si>
    <t>Taux effectif (Taux MONIA / 360)</t>
  </si>
  <si>
    <t>MONIA Index</t>
  </si>
  <si>
    <t xml:space="preserve">Valeur de l'opération (en nominal) </t>
  </si>
  <si>
    <t>Nominal + Intérêt composés</t>
  </si>
  <si>
    <t>Intérêt due (Taux effetif *(Nominal+Intérêt))</t>
  </si>
  <si>
    <t>Nominal + intérêts simples</t>
  </si>
  <si>
    <t xml:space="preserve">Intérêt due </t>
  </si>
  <si>
    <t>Écarts en valeur</t>
  </si>
  <si>
    <t>Date de fin</t>
  </si>
  <si>
    <t>Taux composé</t>
  </si>
  <si>
    <t>Taux simple</t>
  </si>
  <si>
    <t xml:space="preserve">Moyenne du taux </t>
  </si>
  <si>
    <t>Spread</t>
  </si>
  <si>
    <t>Spread valeur de l'opération</t>
  </si>
  <si>
    <t>Taux MONIA 1M</t>
  </si>
  <si>
    <t>Taux MONIA 2M</t>
  </si>
  <si>
    <t>Taux MONIA 3M</t>
  </si>
  <si>
    <t>T</t>
  </si>
  <si>
    <t xml:space="preserve">Spot rates </t>
  </si>
  <si>
    <t>NSS</t>
  </si>
  <si>
    <t>β1</t>
  </si>
  <si>
    <t>1S</t>
  </si>
  <si>
    <t>β2</t>
  </si>
  <si>
    <t>1M</t>
  </si>
  <si>
    <t>β3</t>
  </si>
  <si>
    <t>2M</t>
  </si>
  <si>
    <t>β4</t>
  </si>
  <si>
    <t>3M</t>
  </si>
  <si>
    <t>λ1</t>
  </si>
  <si>
    <t>4M</t>
  </si>
  <si>
    <t>λ2</t>
  </si>
  <si>
    <t>5M</t>
  </si>
  <si>
    <t>6M</t>
  </si>
  <si>
    <t>7M</t>
  </si>
  <si>
    <t>8M</t>
  </si>
  <si>
    <t>9M</t>
  </si>
  <si>
    <t>1A</t>
  </si>
  <si>
    <t>Rating Agency</t>
  </si>
  <si>
    <t>Rating</t>
  </si>
  <si>
    <t>Outlook</t>
  </si>
  <si>
    <t>Standard &amp; Poor's</t>
  </si>
  <si>
    <t>BBB- </t>
  </si>
  <si>
    <t>Moody's Investors Service</t>
  </si>
  <si>
    <t>Ba1 </t>
  </si>
  <si>
    <t>Fitch Ratings</t>
  </si>
  <si>
    <t>DBRS</t>
  </si>
  <si>
    <t>- </t>
  </si>
  <si>
    <t>Interest Rates</t>
  </si>
  <si>
    <t>Central Bank Rate</t>
  </si>
  <si>
    <t>Taux MONIA 1M composé</t>
  </si>
  <si>
    <t>Taux MONIA 2M composé</t>
  </si>
  <si>
    <t>Taux MONIA 3M composé</t>
  </si>
  <si>
    <t>Taux MONIA 1M simple</t>
  </si>
  <si>
    <t>Taux MONIA 2M simple</t>
  </si>
  <si>
    <t>Taux MONIA 3M simple</t>
  </si>
  <si>
    <t>Calcul d'un emprunt de 150.000.000 MAD financé au taux MONIA du 02/01/2020 au 21/01/2020</t>
  </si>
  <si>
    <t>Date publication-Date référence</t>
  </si>
  <si>
    <t xml:space="preserve">Nominal + Intérêt </t>
  </si>
  <si>
    <t xml:space="preserve">Taux MONIA annualisé simple </t>
  </si>
  <si>
    <t>Taux MONIA par composition</t>
  </si>
  <si>
    <t>Indice MONIA</t>
  </si>
  <si>
    <t>Date de référence</t>
  </si>
  <si>
    <t>Multiplicateur MONIA</t>
  </si>
  <si>
    <t xml:space="preserve">MONIA Index </t>
  </si>
  <si>
    <t>Dernier taux MONIA à terme modélisé</t>
  </si>
  <si>
    <t>JJ</t>
  </si>
  <si>
    <t>Jours ouvrables</t>
  </si>
  <si>
    <t>Taux Bid tri ascendanttri descendant</t>
  </si>
  <si>
    <t>Taux Ask tri ascendanttri descendant</t>
  </si>
  <si>
    <t>Taux interbancaire</t>
  </si>
  <si>
    <t>Taux interbancaire, source: Bank Al-Maghrib 2020, BKAM.ma</t>
  </si>
  <si>
    <t>Sensitivité MONIA - 50 bps</t>
  </si>
  <si>
    <t xml:space="preserve">Dernière actualisation MONIA composé </t>
  </si>
  <si>
    <t>Volume JJ (en MM MAD)</t>
  </si>
  <si>
    <t>Encours</t>
  </si>
  <si>
    <t>Taux Moyen Pondéré</t>
  </si>
  <si>
    <t>Date</t>
  </si>
  <si>
    <t>MONIA forward</t>
  </si>
  <si>
    <t>Mean Interest Rate</t>
  </si>
  <si>
    <t>Overnight</t>
  </si>
  <si>
    <t>1 week</t>
  </si>
  <si>
    <t>2 week</t>
  </si>
  <si>
    <t>1 month</t>
  </si>
  <si>
    <t>3 month</t>
  </si>
  <si>
    <t>6 month</t>
  </si>
  <si>
    <t>12 month</t>
  </si>
  <si>
    <t>Sensitivity analysis of the MONIA forward rate</t>
  </si>
  <si>
    <t>Mean</t>
  </si>
  <si>
    <t>Standard Error</t>
  </si>
  <si>
    <t>Median</t>
  </si>
  <si>
    <t>Mode</t>
  </si>
  <si>
    <t>Standard Deviation</t>
  </si>
  <si>
    <t>Sample Variance</t>
  </si>
  <si>
    <t>Kurtosis</t>
  </si>
  <si>
    <t>Skewness</t>
  </si>
  <si>
    <t>Range</t>
  </si>
  <si>
    <t>Minimum</t>
  </si>
  <si>
    <t>Maximum</t>
  </si>
  <si>
    <t>Sum</t>
  </si>
  <si>
    <t>Count</t>
  </si>
  <si>
    <t>Analyse de l'indice MONIA</t>
  </si>
  <si>
    <t xml:space="preserve">Analyse stat. courbe MONIA forward </t>
  </si>
  <si>
    <t>Presentation of the forward rate curve construction model for the Moroccan interbank market (MONIA forward)</t>
  </si>
  <si>
    <t>This Excel file allows to model the forward rate through the methodology of compound rates. It is broken down as follows:</t>
  </si>
  <si>
    <t>1 Sheet "Model MONIA forward" allows to calculate the MONIA forward rate at future maturity. NB: It requires a manual import of the database provided publicly by BKAM.ma</t>
  </si>
  <si>
    <t xml:space="preserve">2 Sheet "Simulation MONIA forward" allows to study the sensitivity of the curve to different variations related to a market variation </t>
  </si>
  <si>
    <t>3 MONIA day to day curve, based on the public data shared in the BKAM.ma website</t>
  </si>
  <si>
    <t>4 Modeling of the MONIA curve in the future, based on public character data shared in the BKAM.ma website</t>
  </si>
  <si>
    <t>5 "MONIA - SOFR average index model" sheet includes a case study based on the model proposed by the US research team (rate modeled on a 3-month market data range)</t>
  </si>
  <si>
    <t>6 "Example based on SOFR calculation" sheet is a continuation of the "MONIA - SOFR" case study</t>
  </si>
  <si>
    <t>Last update 24/01/2022</t>
  </si>
  <si>
    <t xml:space="preserve">Upper band </t>
  </si>
  <si>
    <t>Lower band</t>
  </si>
  <si>
    <t>Interbank Rate (key interest rate)</t>
  </si>
  <si>
    <t>7 Data used for the construction of the MONIA forward curve, source: public data shared in the BKAM.ma website (Money Market - MONIA Index)</t>
  </si>
  <si>
    <t>8 Data concerning the Interbank Market Rate (TMIB, the current central bank rate)</t>
  </si>
  <si>
    <t>9 Data imported from the MONIA rate, data imported via the BKAM.ma website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</si>
</sst>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
    <numFmt numFmtId="165" formatCode="0.0000%"/>
    <numFmt numFmtId="166" formatCode="0.000000%"/>
    <numFmt numFmtId="167" formatCode="0.00000000000%"/>
    <numFmt numFmtId="168" formatCode="0.000000000"/>
    <numFmt numFmtId="169" formatCode="0.00000%"/>
    <numFmt numFmtId="170" formatCode="0.0000000000"/>
    <numFmt numFmtId="171" formatCode="0.0000000000000"/>
    <numFmt numFmtId="172" formatCode="0.0000000%"/>
    <numFmt numFmtId="173" formatCode="0.00000000"/>
    <numFmt numFmtId="174" formatCode="#,##0.00\ [$MAD-380C]"/>
    <numFmt numFmtId="175" formatCode="[$MAD]\ #,##0.00"/>
    <numFmt numFmtId="176" formatCode="_-[$MAD]\ * #,##0.00_-;\-[$MAD]\ * #,##0.00_-;_-[$MAD]\ * &quot;-&quot;??_-;_-@_-"/>
    <numFmt numFmtId="177" formatCode="_-[$MAD]\ * #,##0.00_-;\-[$MAD]\ * #,##0.00_-;_-[$MAD]\ * &quot;-&quot;???????_-;_-@_-"/>
    <numFmt numFmtId="178" formatCode="0.00000000000"/>
  </numFmts>
  <fonts count="75">
    <font>
      <sz val="12"/>
      <color theme="1"/>
      <name val="Arial"/>
      <family val="2"/>
      <scheme val="minor"/>
    </font>
    <font>
      <sz val="12"/>
      <color theme="1"/>
      <name val="Arial"/>
      <family val="2"/>
      <scheme val="minor"/>
    </font>
    <font>
      <sz val="18"/>
      <color theme="3"/>
      <name val="Arial"/>
      <family val="2"/>
      <scheme val="major"/>
    </font>
    <font>
      <b/>
      <sz val="15"/>
      <color theme="3"/>
      <name val="Arial"/>
      <family val="2"/>
      <scheme val="minor"/>
    </font>
    <font>
      <b/>
      <sz val="13"/>
      <color theme="3"/>
      <name val="Arial"/>
      <family val="2"/>
      <scheme val="minor"/>
    </font>
    <font>
      <b/>
      <sz val="11"/>
      <color theme="3"/>
      <name val="Arial"/>
      <family val="2"/>
      <scheme val="minor"/>
    </font>
    <font>
      <sz val="12"/>
      <color rgb="FF006100"/>
      <name val="Arial"/>
      <family val="2"/>
      <scheme val="minor"/>
    </font>
    <font>
      <sz val="12"/>
      <color rgb="FF9C0006"/>
      <name val="Arial"/>
      <family val="2"/>
      <scheme val="minor"/>
    </font>
    <font>
      <sz val="12"/>
      <color rgb="FF9C5700"/>
      <name val="Arial"/>
      <family val="2"/>
      <scheme val="minor"/>
    </font>
    <font>
      <sz val="12"/>
      <color rgb="FF3F3F76"/>
      <name val="Arial"/>
      <family val="2"/>
      <scheme val="minor"/>
    </font>
    <font>
      <b/>
      <sz val="12"/>
      <color rgb="FF3F3F3F"/>
      <name val="Arial"/>
      <family val="2"/>
      <scheme val="minor"/>
    </font>
    <font>
      <b/>
      <sz val="12"/>
      <color rgb="FFFA7D00"/>
      <name val="Arial"/>
      <family val="2"/>
      <scheme val="minor"/>
    </font>
    <font>
      <sz val="12"/>
      <color rgb="FFFA7D00"/>
      <name val="Arial"/>
      <family val="2"/>
      <scheme val="minor"/>
    </font>
    <font>
      <b/>
      <sz val="12"/>
      <color theme="0"/>
      <name val="Arial"/>
      <family val="2"/>
      <scheme val="minor"/>
    </font>
    <font>
      <sz val="12"/>
      <color rgb="FFFF0000"/>
      <name val="Arial"/>
      <family val="2"/>
      <scheme val="minor"/>
    </font>
    <font>
      <i/>
      <sz val="12"/>
      <color rgb="FF7F7F7F"/>
      <name val="Arial"/>
      <family val="2"/>
      <scheme val="minor"/>
    </font>
    <font>
      <b/>
      <sz val="12"/>
      <color theme="1"/>
      <name val="Arial"/>
      <family val="2"/>
      <scheme val="minor"/>
    </font>
    <font>
      <sz val="12"/>
      <color theme="0"/>
      <name val="Arial"/>
      <family val="2"/>
      <scheme val="minor"/>
    </font>
    <font>
      <sz val="11"/>
      <color theme="1"/>
      <name val="Arial"/>
      <family val="2"/>
      <scheme val="minor"/>
    </font>
    <font>
      <b/>
      <sz val="10"/>
      <color theme="1"/>
      <name val="Arial"/>
      <family val="2"/>
      <scheme val="minor"/>
    </font>
    <font>
      <b/>
      <sz val="11"/>
      <color theme="1"/>
      <name val="Arial"/>
      <family val="2"/>
    </font>
    <font>
      <sz val="12"/>
      <color rgb="FF000000"/>
      <name val="Arial"/>
      <family val="2"/>
    </font>
    <font>
      <sz val="12"/>
      <name val="Arial"/>
      <family val="2"/>
      <scheme val="minor"/>
    </font>
    <font>
      <sz val="12"/>
      <name val="Arial"/>
      <family val="2"/>
    </font>
    <font>
      <sz val="12"/>
      <color rgb="FF393939"/>
      <name val="Arial"/>
      <family val="2"/>
      <scheme val="minor"/>
    </font>
    <font>
      <i/>
      <sz val="12"/>
      <color theme="1"/>
      <name val="Arial"/>
      <family val="2"/>
      <scheme val="minor"/>
    </font>
    <font>
      <sz val="12"/>
      <color rgb="FF000000"/>
      <name val="Arial"/>
      <family val="2"/>
      <scheme val="minor"/>
    </font>
    <font>
      <b/>
      <sz val="11"/>
      <color theme="1"/>
      <name val="Arial"/>
      <family val="2"/>
      <scheme val="minor"/>
    </font>
    <font>
      <b/>
      <sz val="11"/>
      <color theme="0"/>
      <name val="Arial"/>
      <family val="2"/>
      <scheme val="minor"/>
    </font>
    <font>
      <sz val="11"/>
      <color theme="0"/>
      <name val="Arial"/>
      <family val="2"/>
      <scheme val="minor"/>
    </font>
    <font>
      <sz val="11"/>
      <name val="Arial"/>
      <family val="2"/>
      <scheme val="minor"/>
    </font>
    <font>
      <sz val="11"/>
      <color rgb="FFFF0000"/>
      <name val="Arial"/>
      <family val="2"/>
      <scheme val="minor"/>
    </font>
    <font>
      <i/>
      <sz val="11"/>
      <color theme="1"/>
      <name val="Arial"/>
      <family val="2"/>
      <scheme val="minor"/>
    </font>
    <font>
      <b/>
      <sz val="11"/>
      <color rgb="FF000000"/>
      <name val="Arial"/>
      <family val="2"/>
      <scheme val="minor"/>
    </font>
    <font>
      <sz val="11"/>
      <color rgb="FF000000"/>
      <name val="Arial"/>
      <family val="2"/>
      <scheme val="minor"/>
    </font>
    <font>
      <sz val="12"/>
      <color theme="1"/>
      <name val="Arial"/>
      <family val="2"/>
    </font>
    <font>
      <b/>
      <sz val="12"/>
      <color rgb="FF000000"/>
      <name val="Arial"/>
      <family val="2"/>
    </font>
    <font>
      <b/>
      <sz val="12"/>
      <color theme="5" tint="-0.249977111117893"/>
      <name val="Arial"/>
      <family val="2"/>
    </font>
    <font>
      <b/>
      <sz val="12"/>
      <color rgb="FF305496"/>
      <name val="Arial"/>
      <family val="2"/>
    </font>
    <font>
      <b/>
      <sz val="12"/>
      <color theme="1"/>
      <name val="Arial"/>
      <family val="2"/>
    </font>
    <font>
      <b/>
      <sz val="12"/>
      <color theme="4" tint="-0.249977111117893"/>
      <name val="Arial"/>
      <family val="2"/>
    </font>
    <font>
      <i/>
      <sz val="12"/>
      <color theme="1"/>
      <name val="Arial"/>
      <family val="2"/>
    </font>
    <font>
      <b/>
      <sz val="14"/>
      <color theme="1"/>
      <name val="Arial"/>
      <family val="2"/>
    </font>
    <font>
      <sz val="12"/>
      <color theme="5"/>
      <name val="Arial"/>
      <family val="2"/>
    </font>
    <font>
      <u/>
      <sz val="12"/>
      <color theme="10"/>
      <name val="Arial"/>
      <family val="2"/>
      <scheme val="minor"/>
    </font>
    <font>
      <u/>
      <sz val="12"/>
      <color theme="10"/>
      <name val="Arial"/>
      <family val="2"/>
    </font>
    <font>
      <sz val="12"/>
      <color theme="1"/>
      <name val="Helvetica Neue"/>
      <family val="2"/>
    </font>
    <font>
      <sz val="12"/>
      <color theme="5"/>
      <name val="Arial"/>
      <family val="2"/>
      <scheme val="minor"/>
    </font>
    <font>
      <b/>
      <sz val="12"/>
      <color theme="1"/>
      <name val="Inherit"/>
    </font>
    <font>
      <sz val="12"/>
      <color theme="1"/>
      <name val="Inherit"/>
    </font>
    <font>
      <b/>
      <sz val="12"/>
      <color rgb="FF002060"/>
      <name val="Arial"/>
      <family val="2"/>
    </font>
    <font>
      <b/>
      <sz val="12"/>
      <color rgb="FFFF0000"/>
      <name val="Arial"/>
      <family val="2"/>
    </font>
    <font>
      <b/>
      <sz val="12"/>
      <color rgb="FF00B050"/>
      <name val="Arial"/>
      <family val="2"/>
    </font>
    <font>
      <b/>
      <sz val="10"/>
      <color rgb="FF000000"/>
      <name val="Tahoma"/>
      <family val="2"/>
    </font>
    <font>
      <sz val="10"/>
      <color rgb="FF000000"/>
      <name val="Tahoma"/>
      <family val="2"/>
    </font>
    <font>
      <b/>
      <sz val="12"/>
      <color theme="4" tint="-0.249977111117893"/>
      <name val="Arial"/>
      <family val="2"/>
      <scheme val="minor"/>
    </font>
    <font>
      <b/>
      <sz val="12"/>
      <color rgb="FF002060"/>
      <name val="Arial"/>
      <family val="2"/>
      <scheme val="minor"/>
    </font>
    <font>
      <b/>
      <sz val="12"/>
      <color rgb="FFFF0000"/>
      <name val="Arial"/>
      <family val="2"/>
      <scheme val="minor"/>
    </font>
    <font>
      <sz val="10"/>
      <color theme="1"/>
      <name val="Arial"/>
      <family val="2"/>
      <scheme val="minor"/>
    </font>
    <font>
      <sz val="10"/>
      <color rgb="FF000000"/>
      <name val="Helvetica Neue"/>
      <family val="2"/>
    </font>
    <font>
      <b/>
      <sz val="10"/>
      <color rgb="FF000000"/>
      <name val="Helvetica Neue"/>
      <family val="2"/>
    </font>
    <font>
      <sz val="12"/>
      <color theme="2" tint="-0.249977111117893"/>
      <name val="Arial"/>
      <family val="2"/>
      <scheme val="minor"/>
    </font>
    <font>
      <sz val="12"/>
      <color theme="7" tint="0.39997558519241921"/>
      <name val="Arial"/>
      <family val="2"/>
      <scheme val="minor"/>
    </font>
    <font>
      <sz val="11"/>
      <color theme="2" tint="-0.499984740745262"/>
      <name val="Arial"/>
      <family val="2"/>
      <scheme val="minor"/>
    </font>
    <font>
      <sz val="12"/>
      <color theme="1"/>
      <name val="Helvetica"/>
      <family val="2"/>
    </font>
    <font>
      <sz val="11"/>
      <color rgb="FF002060"/>
      <name val="Arial"/>
      <family val="2"/>
      <scheme val="minor"/>
    </font>
    <font>
      <sz val="12"/>
      <color rgb="FF002060"/>
      <name val="Arial"/>
      <family val="2"/>
      <scheme val="minor"/>
    </font>
    <font>
      <b/>
      <sz val="11"/>
      <color rgb="FF002060"/>
      <name val="Arial"/>
      <family val="2"/>
      <scheme val="minor"/>
    </font>
    <font>
      <sz val="12"/>
      <color theme="1"/>
      <name val="Calibri"/>
      <family val="2"/>
    </font>
    <font>
      <b/>
      <i/>
      <sz val="12"/>
      <color theme="1"/>
      <name val="Calibri"/>
      <family val="2"/>
    </font>
    <font>
      <b/>
      <sz val="24"/>
      <color rgb="FF002060"/>
      <name val="Arial"/>
      <family val="2"/>
      <scheme val="minor"/>
    </font>
    <font>
      <sz val="12"/>
      <color theme="7"/>
      <name val="Arial"/>
      <family val="2"/>
      <scheme val="minor"/>
    </font>
    <font>
      <sz val="12"/>
      <color rgb="FF00B050"/>
      <name val="Arial"/>
      <family val="2"/>
      <scheme val="minor"/>
    </font>
    <font>
      <sz val="12"/>
      <color rgb="FF92D050"/>
      <name val="Arial"/>
      <family val="2"/>
      <scheme val="minor"/>
    </font>
    <font>
      <u/>
      <sz val="12"/>
      <color rgb="FF002060"/>
      <name val="Arial"/>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1"/>
        <bgColor indexed="64"/>
      </patternFill>
    </fill>
    <fill>
      <patternFill patternType="solid">
        <fgColor rgb="FFFFC000"/>
        <bgColor indexed="64"/>
      </patternFill>
    </fill>
    <fill>
      <patternFill patternType="solid">
        <fgColor rgb="FFFF0000"/>
        <bgColor indexed="64"/>
      </patternFill>
    </fill>
    <fill>
      <patternFill patternType="solid">
        <fgColor theme="7" tint="0.39997558519241921"/>
        <bgColor indexed="64"/>
      </patternFill>
    </fill>
    <fill>
      <patternFill patternType="solid">
        <fgColor rgb="FFFFC000"/>
        <bgColor rgb="FF000000"/>
      </patternFill>
    </fill>
    <fill>
      <patternFill patternType="solid">
        <fgColor theme="4" tint="0.59999389629810485"/>
        <bgColor indexed="64"/>
      </patternFill>
    </fill>
    <fill>
      <patternFill patternType="solid">
        <fgColor theme="0"/>
        <bgColor indexed="64"/>
      </patternFill>
    </fill>
    <fill>
      <patternFill patternType="solid">
        <fgColor theme="7"/>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right/>
      <top style="medium">
        <color indexed="64"/>
      </top>
      <bottom/>
      <diagonal/>
    </border>
    <border>
      <left/>
      <right/>
      <top/>
      <bottom style="thin">
        <color indexed="6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44" fillId="0" borderId="0" applyNumberFormat="0" applyFill="0" applyBorder="0" applyAlignment="0" applyProtection="0"/>
  </cellStyleXfs>
  <cellXfs count="389">
    <xf numFmtId="0" fontId="0" fillId="0" borderId="0" xfId="0"/>
    <xf numFmtId="14" fontId="0" fillId="0" borderId="0" xfId="0" applyNumberFormat="1" applyAlignment="1">
      <alignment horizontal="center" vertical="center"/>
    </xf>
    <xf numFmtId="0" fontId="0" fillId="0" borderId="0" xfId="0" applyAlignment="1">
      <alignment horizontal="center"/>
    </xf>
    <xf numFmtId="164" fontId="21" fillId="0" borderId="0" xfId="1" applyNumberFormat="1" applyFont="1" applyFill="1" applyAlignment="1">
      <alignment horizontal="center" vertical="center"/>
    </xf>
    <xf numFmtId="164" fontId="0" fillId="0" borderId="0" xfId="0" applyNumberFormat="1" applyFill="1" applyAlignment="1">
      <alignment horizontal="center"/>
    </xf>
    <xf numFmtId="164" fontId="1" fillId="0" borderId="0" xfId="1" applyNumberFormat="1" applyFont="1" applyFill="1" applyAlignment="1">
      <alignment horizontal="center"/>
    </xf>
    <xf numFmtId="164" fontId="23" fillId="0" borderId="0" xfId="1" applyNumberFormat="1" applyFont="1" applyFill="1" applyAlignment="1">
      <alignment horizontal="center" vertical="center"/>
    </xf>
    <xf numFmtId="0" fontId="0" fillId="0" borderId="0" xfId="0" applyFont="1"/>
    <xf numFmtId="0" fontId="0" fillId="0" borderId="0" xfId="0" applyFont="1" applyAlignment="1">
      <alignment horizontal="center"/>
    </xf>
    <xf numFmtId="0" fontId="0" fillId="0" borderId="0" xfId="0" applyFont="1" applyFill="1" applyBorder="1" applyAlignment="1">
      <alignment horizontal="center" vertical="center"/>
    </xf>
    <xf numFmtId="0" fontId="0" fillId="0" borderId="0" xfId="0" applyFill="1" applyBorder="1" applyAlignment="1"/>
    <xf numFmtId="164" fontId="0" fillId="0" borderId="0" xfId="0" applyNumberFormat="1"/>
    <xf numFmtId="9" fontId="0" fillId="0" borderId="0" xfId="1" applyFont="1" applyFill="1" applyBorder="1" applyAlignment="1"/>
    <xf numFmtId="10" fontId="0" fillId="0" borderId="0" xfId="1" applyNumberFormat="1" applyFont="1" applyFill="1" applyBorder="1" applyAlignment="1"/>
    <xf numFmtId="14" fontId="0" fillId="0" borderId="0" xfId="0" applyNumberFormat="1" applyFont="1" applyFill="1" applyBorder="1" applyAlignment="1">
      <alignment horizontal="center" vertical="center"/>
    </xf>
    <xf numFmtId="164" fontId="0" fillId="0" borderId="0" xfId="0" applyNumberFormat="1" applyFont="1" applyFill="1" applyBorder="1" applyAlignment="1">
      <alignment horizontal="center" vertical="center"/>
    </xf>
    <xf numFmtId="14" fontId="0" fillId="0" borderId="0" xfId="0" applyNumberFormat="1" applyFont="1" applyAlignment="1">
      <alignment horizontal="center" vertical="center" wrapText="1"/>
    </xf>
    <xf numFmtId="0" fontId="0" fillId="35" borderId="0" xfId="0" applyFill="1"/>
    <xf numFmtId="0" fontId="0" fillId="0" borderId="0" xfId="0" applyFill="1"/>
    <xf numFmtId="0" fontId="0" fillId="0" borderId="0" xfId="0" applyBorder="1"/>
    <xf numFmtId="0" fontId="0" fillId="0" borderId="0" xfId="0" applyFill="1" applyBorder="1"/>
    <xf numFmtId="0" fontId="25" fillId="0" borderId="0" xfId="0" applyFont="1" applyFill="1" applyBorder="1" applyAlignment="1">
      <alignment horizontal="center"/>
    </xf>
    <xf numFmtId="167" fontId="22" fillId="0" borderId="0" xfId="1" applyNumberFormat="1" applyFont="1" applyFill="1" applyBorder="1" applyAlignment="1">
      <alignment horizontal="center" vertical="center"/>
    </xf>
    <xf numFmtId="164" fontId="21" fillId="0" borderId="0" xfId="1" applyNumberFormat="1" applyFont="1" applyFill="1" applyBorder="1" applyAlignment="1">
      <alignment horizontal="center" vertical="center"/>
    </xf>
    <xf numFmtId="164" fontId="0" fillId="0" borderId="0" xfId="1" applyNumberFormat="1" applyFont="1" applyFill="1" applyBorder="1" applyAlignment="1">
      <alignment horizontal="center"/>
    </xf>
    <xf numFmtId="0" fontId="26" fillId="0" borderId="0" xfId="0" applyFont="1"/>
    <xf numFmtId="14" fontId="26" fillId="0" borderId="0" xfId="0" applyNumberFormat="1" applyFont="1"/>
    <xf numFmtId="164" fontId="26" fillId="0" borderId="0" xfId="0" applyNumberFormat="1" applyFont="1"/>
    <xf numFmtId="10" fontId="26" fillId="0" borderId="0" xfId="0" applyNumberFormat="1" applyFont="1"/>
    <xf numFmtId="0" fontId="0" fillId="0" borderId="0" xfId="0" applyFont="1" applyFill="1"/>
    <xf numFmtId="0" fontId="0" fillId="0" borderId="0" xfId="0" applyFont="1" applyFill="1" applyBorder="1"/>
    <xf numFmtId="0" fontId="0" fillId="0" borderId="0" xfId="0" applyFill="1" applyBorder="1" applyAlignment="1">
      <alignment horizontal="center"/>
    </xf>
    <xf numFmtId="0" fontId="20" fillId="0" borderId="0" xfId="0" applyFont="1" applyFill="1" applyBorder="1" applyAlignment="1">
      <alignment horizontal="center" vertical="center"/>
    </xf>
    <xf numFmtId="0" fontId="0" fillId="0" borderId="0" xfId="0" applyFont="1" applyFill="1" applyBorder="1" applyAlignment="1"/>
    <xf numFmtId="0" fontId="0" fillId="0" borderId="0" xfId="0" applyFont="1" applyFill="1" applyBorder="1" applyAlignment="1">
      <alignment horizontal="left" vertical="center"/>
    </xf>
    <xf numFmtId="164" fontId="0" fillId="0" borderId="0" xfId="0" applyNumberFormat="1" applyFill="1" applyBorder="1" applyAlignment="1">
      <alignment horizontal="center"/>
    </xf>
    <xf numFmtId="164" fontId="23" fillId="0" borderId="0" xfId="1" applyNumberFormat="1" applyFont="1" applyFill="1" applyBorder="1" applyAlignment="1">
      <alignment horizontal="center" vertical="center"/>
    </xf>
    <xf numFmtId="170" fontId="0" fillId="0" borderId="0" xfId="1" applyNumberFormat="1" applyFont="1" applyFill="1" applyBorder="1" applyAlignment="1">
      <alignment horizontal="center" vertical="center"/>
    </xf>
    <xf numFmtId="168" fontId="0" fillId="0" borderId="0" xfId="0" applyNumberFormat="1" applyFont="1" applyFill="1" applyBorder="1" applyAlignment="1">
      <alignment horizontal="center" vertical="center"/>
    </xf>
    <xf numFmtId="0" fontId="19" fillId="0" borderId="0" xfId="0" applyFont="1" applyFill="1" applyBorder="1" applyAlignment="1">
      <alignment horizontal="center" vertical="center" wrapText="1"/>
    </xf>
    <xf numFmtId="0" fontId="16" fillId="0" borderId="0" xfId="0" applyFont="1" applyFill="1" applyBorder="1" applyAlignment="1">
      <alignment horizontal="center"/>
    </xf>
    <xf numFmtId="0" fontId="17" fillId="0" borderId="0" xfId="0" applyFont="1" applyFill="1" applyBorder="1" applyAlignment="1"/>
    <xf numFmtId="0" fontId="17" fillId="0" borderId="0" xfId="0" applyFont="1" applyFill="1" applyBorder="1" applyAlignment="1">
      <alignment horizontal="left" vertical="center"/>
    </xf>
    <xf numFmtId="14" fontId="0" fillId="0" borderId="0" xfId="0" applyNumberFormat="1" applyFill="1" applyBorder="1" applyAlignment="1">
      <alignment horizontal="center" vertical="center"/>
    </xf>
    <xf numFmtId="0" fontId="0" fillId="0" borderId="0" xfId="0" applyNumberFormat="1" applyFont="1" applyFill="1" applyBorder="1" applyAlignment="1">
      <alignment horizontal="center" vertical="center"/>
    </xf>
    <xf numFmtId="166" fontId="0" fillId="0" borderId="0" xfId="1" applyNumberFormat="1" applyFont="1" applyFill="1" applyBorder="1"/>
    <xf numFmtId="0" fontId="16" fillId="0" borderId="0" xfId="0" applyFont="1" applyFill="1" applyBorder="1" applyAlignment="1">
      <alignment horizontal="left" vertical="center"/>
    </xf>
    <xf numFmtId="169" fontId="0" fillId="0" borderId="0" xfId="1" applyNumberFormat="1" applyFont="1" applyFill="1" applyBorder="1" applyAlignment="1">
      <alignment horizontal="center" vertical="center"/>
    </xf>
    <xf numFmtId="0" fontId="16" fillId="0" borderId="0" xfId="0" applyFont="1" applyFill="1" applyBorder="1" applyAlignment="1"/>
    <xf numFmtId="0" fontId="16" fillId="0" borderId="0" xfId="0" applyFont="1" applyFill="1" applyBorder="1" applyAlignment="1">
      <alignment horizontal="center" vertical="center"/>
    </xf>
    <xf numFmtId="0" fontId="0" fillId="0" borderId="0" xfId="0" applyFont="1" applyFill="1" applyBorder="1" applyAlignment="1">
      <alignment horizontal="center"/>
    </xf>
    <xf numFmtId="165" fontId="0" fillId="0" borderId="0" xfId="1" applyNumberFormat="1" applyFont="1" applyFill="1" applyBorder="1" applyAlignment="1">
      <alignment horizontal="center" vertical="center"/>
    </xf>
    <xf numFmtId="10" fontId="24" fillId="0" borderId="0" xfId="0" applyNumberFormat="1" applyFont="1" applyFill="1" applyBorder="1" applyAlignment="1">
      <alignment horizontal="center" vertical="center"/>
    </xf>
    <xf numFmtId="10" fontId="0" fillId="0" borderId="0" xfId="0" applyNumberFormat="1" applyFont="1" applyFill="1" applyBorder="1" applyAlignment="1">
      <alignment horizontal="center"/>
    </xf>
    <xf numFmtId="164" fontId="0" fillId="0" borderId="0" xfId="1" applyNumberFormat="1" applyFont="1" applyFill="1" applyBorder="1" applyAlignment="1">
      <alignment horizontal="center" vertical="center"/>
    </xf>
    <xf numFmtId="0" fontId="16" fillId="0" borderId="0" xfId="0" applyFont="1" applyFill="1" applyBorder="1" applyAlignment="1">
      <alignment horizontal="left"/>
    </xf>
    <xf numFmtId="164" fontId="0" fillId="0" borderId="0" xfId="0" applyNumberFormat="1" applyFont="1" applyFill="1" applyBorder="1" applyAlignment="1">
      <alignment horizontal="center"/>
    </xf>
    <xf numFmtId="14" fontId="16" fillId="0" borderId="0" xfId="0" applyNumberFormat="1" applyFont="1" applyFill="1" applyBorder="1" applyAlignment="1">
      <alignment horizontal="left"/>
    </xf>
    <xf numFmtId="164" fontId="0" fillId="0" borderId="0" xfId="1" applyNumberFormat="1" applyFont="1" applyFill="1" applyBorder="1"/>
    <xf numFmtId="0" fontId="16" fillId="0" borderId="0" xfId="0" applyFont="1" applyFill="1" applyBorder="1"/>
    <xf numFmtId="14" fontId="0" fillId="0" borderId="0" xfId="0" applyNumberFormat="1" applyFont="1" applyFill="1" applyBorder="1" applyAlignment="1">
      <alignment horizontal="center" vertical="center" wrapText="1"/>
    </xf>
    <xf numFmtId="0" fontId="0" fillId="33" borderId="0" xfId="0" applyFill="1"/>
    <xf numFmtId="0" fontId="0" fillId="33" borderId="0" xfId="0" applyFill="1" applyBorder="1"/>
    <xf numFmtId="0" fontId="26" fillId="33" borderId="0" xfId="0" applyFont="1" applyFill="1"/>
    <xf numFmtId="0" fontId="0" fillId="33" borderId="0" xfId="0" applyFill="1" applyBorder="1" applyAlignment="1">
      <alignment horizontal="center"/>
    </xf>
    <xf numFmtId="14" fontId="0" fillId="33" borderId="0" xfId="0" applyNumberFormat="1" applyFont="1" applyFill="1" applyBorder="1" applyAlignment="1">
      <alignment horizontal="center" vertical="center"/>
    </xf>
    <xf numFmtId="164" fontId="0" fillId="33" borderId="0" xfId="1" applyNumberFormat="1" applyFont="1" applyFill="1" applyBorder="1" applyAlignment="1">
      <alignment horizontal="center"/>
    </xf>
    <xf numFmtId="0" fontId="18" fillId="0" borderId="0" xfId="0" applyFont="1" applyAlignment="1">
      <alignment horizontal="center" vertical="center"/>
    </xf>
    <xf numFmtId="14" fontId="18" fillId="0" borderId="0" xfId="0" applyNumberFormat="1" applyFont="1" applyAlignment="1">
      <alignment horizontal="center" vertical="center"/>
    </xf>
    <xf numFmtId="14" fontId="18" fillId="0" borderId="0" xfId="0" applyNumberFormat="1" applyFont="1" applyAlignment="1">
      <alignment horizontal="center" vertical="center" wrapText="1"/>
    </xf>
    <xf numFmtId="167" fontId="30" fillId="0" borderId="0" xfId="1" applyNumberFormat="1" applyFont="1" applyFill="1" applyAlignment="1">
      <alignment horizontal="center" vertical="center"/>
    </xf>
    <xf numFmtId="0" fontId="18" fillId="0" borderId="0" xfId="0" applyFont="1" applyAlignment="1">
      <alignment vertical="center"/>
    </xf>
    <xf numFmtId="14" fontId="18" fillId="36" borderId="0" xfId="0" applyNumberFormat="1" applyFont="1" applyFill="1" applyAlignment="1">
      <alignment horizontal="center" vertical="center"/>
    </xf>
    <xf numFmtId="164" fontId="18" fillId="0" borderId="0" xfId="1" applyNumberFormat="1" applyFont="1" applyFill="1" applyAlignment="1">
      <alignment horizontal="center" vertical="center"/>
    </xf>
    <xf numFmtId="0" fontId="18" fillId="0" borderId="0" xfId="0" applyFont="1" applyFill="1" applyAlignment="1">
      <alignment vertical="center"/>
    </xf>
    <xf numFmtId="166" fontId="18" fillId="0" borderId="0" xfId="1" applyNumberFormat="1" applyFont="1" applyAlignment="1">
      <alignment vertical="center"/>
    </xf>
    <xf numFmtId="164" fontId="18" fillId="0" borderId="0" xfId="0" applyNumberFormat="1" applyFont="1" applyFill="1" applyBorder="1" applyAlignment="1">
      <alignment horizontal="center" vertical="center"/>
    </xf>
    <xf numFmtId="0" fontId="18" fillId="0" borderId="0" xfId="0" applyFont="1" applyFill="1" applyAlignment="1">
      <alignment horizontal="left" vertical="center"/>
    </xf>
    <xf numFmtId="14" fontId="18" fillId="0" borderId="0" xfId="0" applyNumberFormat="1" applyFont="1" applyFill="1" applyAlignment="1">
      <alignment horizontal="center" vertical="center"/>
    </xf>
    <xf numFmtId="164" fontId="18" fillId="0" borderId="0" xfId="0" applyNumberFormat="1" applyFont="1" applyFill="1" applyAlignment="1">
      <alignment horizontal="center" vertical="center"/>
    </xf>
    <xf numFmtId="14" fontId="31" fillId="0" borderId="0" xfId="0" applyNumberFormat="1" applyFont="1" applyAlignment="1">
      <alignment horizontal="center" vertical="center"/>
    </xf>
    <xf numFmtId="0" fontId="18" fillId="0" borderId="0" xfId="0" applyFont="1" applyFill="1" applyBorder="1" applyAlignment="1">
      <alignment vertical="center"/>
    </xf>
    <xf numFmtId="164" fontId="18" fillId="0" borderId="0" xfId="1" applyNumberFormat="1" applyFont="1" applyAlignment="1">
      <alignment horizontal="center" vertical="center"/>
    </xf>
    <xf numFmtId="14" fontId="33" fillId="0" borderId="0" xfId="0" applyNumberFormat="1" applyFont="1" applyFill="1" applyBorder="1" applyAlignment="1">
      <alignment horizontal="justify" vertical="center" wrapText="1"/>
    </xf>
    <xf numFmtId="167" fontId="30" fillId="0" borderId="0" xfId="1" applyNumberFormat="1" applyFont="1" applyFill="1" applyBorder="1" applyAlignment="1">
      <alignment horizontal="center" vertical="center"/>
    </xf>
    <xf numFmtId="164" fontId="34" fillId="0" borderId="0" xfId="1" applyNumberFormat="1" applyFont="1" applyFill="1" applyAlignment="1">
      <alignment horizontal="center" vertical="center"/>
    </xf>
    <xf numFmtId="164" fontId="34" fillId="0" borderId="0" xfId="1" applyNumberFormat="1" applyFont="1" applyFill="1" applyBorder="1" applyAlignment="1">
      <alignment horizontal="center" vertical="center"/>
    </xf>
    <xf numFmtId="14" fontId="18" fillId="0" borderId="0" xfId="0" applyNumberFormat="1" applyFont="1" applyBorder="1" applyAlignment="1">
      <alignment horizontal="center" vertical="center"/>
    </xf>
    <xf numFmtId="0" fontId="18" fillId="0" borderId="0" xfId="0" applyNumberFormat="1" applyFont="1" applyBorder="1" applyAlignment="1">
      <alignment vertical="center" wrapText="1"/>
    </xf>
    <xf numFmtId="0" fontId="18" fillId="0" borderId="0" xfId="0" applyNumberFormat="1" applyFont="1" applyBorder="1" applyAlignment="1">
      <alignment horizontal="center" vertical="center"/>
    </xf>
    <xf numFmtId="168" fontId="18" fillId="0" borderId="0" xfId="0" applyNumberFormat="1" applyFont="1" applyBorder="1" applyAlignment="1">
      <alignment horizontal="center" vertical="center"/>
    </xf>
    <xf numFmtId="0" fontId="18" fillId="0" borderId="0" xfId="0" applyFont="1" applyBorder="1" applyAlignment="1">
      <alignment vertical="center"/>
    </xf>
    <xf numFmtId="0" fontId="26" fillId="0" borderId="0" xfId="0" applyFont="1" applyAlignment="1">
      <alignment horizontal="center" vertical="center"/>
    </xf>
    <xf numFmtId="0" fontId="26" fillId="0" borderId="0" xfId="0" applyFont="1" applyBorder="1"/>
    <xf numFmtId="0" fontId="35" fillId="0" borderId="10" xfId="0" applyFont="1" applyBorder="1"/>
    <xf numFmtId="0" fontId="36" fillId="0" borderId="10" xfId="0" applyFont="1" applyBorder="1" applyAlignment="1">
      <alignment horizontal="center" vertical="center"/>
    </xf>
    <xf numFmtId="0" fontId="37" fillId="0" borderId="10" xfId="0" applyFont="1" applyBorder="1" applyAlignment="1">
      <alignment horizontal="center" vertical="center"/>
    </xf>
    <xf numFmtId="0" fontId="38" fillId="0" borderId="10" xfId="0" applyFont="1" applyBorder="1" applyAlignment="1">
      <alignment horizontal="center" vertical="center"/>
    </xf>
    <xf numFmtId="0" fontId="39" fillId="0" borderId="10" xfId="0" applyFont="1" applyBorder="1"/>
    <xf numFmtId="0" fontId="39" fillId="0" borderId="10" xfId="0" applyFont="1" applyBorder="1" applyAlignment="1">
      <alignment horizontal="center" vertical="center"/>
    </xf>
    <xf numFmtId="0" fontId="35" fillId="0" borderId="0" xfId="0" applyFont="1"/>
    <xf numFmtId="14" fontId="21" fillId="0" borderId="0" xfId="0" applyNumberFormat="1" applyFont="1" applyAlignment="1">
      <alignment horizontal="center" vertical="center"/>
    </xf>
    <xf numFmtId="14" fontId="21" fillId="39" borderId="0" xfId="0" applyNumberFormat="1" applyFont="1" applyFill="1" applyAlignment="1">
      <alignment horizontal="center" vertical="center"/>
    </xf>
    <xf numFmtId="14" fontId="21" fillId="0" borderId="0" xfId="0" applyNumberFormat="1" applyFont="1" applyAlignment="1">
      <alignment horizontal="center"/>
    </xf>
    <xf numFmtId="14" fontId="35" fillId="0" borderId="0" xfId="0" applyNumberFormat="1" applyFont="1" applyAlignment="1">
      <alignment horizontal="center" vertical="center"/>
    </xf>
    <xf numFmtId="14" fontId="35" fillId="39" borderId="0" xfId="0" applyNumberFormat="1" applyFont="1" applyFill="1" applyAlignment="1">
      <alignment horizontal="center" vertical="center"/>
    </xf>
    <xf numFmtId="14" fontId="35" fillId="0" borderId="0" xfId="0" applyNumberFormat="1" applyFont="1" applyAlignment="1">
      <alignment horizontal="center"/>
    </xf>
    <xf numFmtId="14" fontId="35" fillId="39" borderId="10" xfId="0" applyNumberFormat="1" applyFont="1" applyFill="1" applyBorder="1" applyAlignment="1">
      <alignment horizontal="center"/>
    </xf>
    <xf numFmtId="164" fontId="21" fillId="0" borderId="0" xfId="1" applyNumberFormat="1" applyFont="1" applyAlignment="1">
      <alignment horizontal="center" vertical="center"/>
    </xf>
    <xf numFmtId="164" fontId="21" fillId="0" borderId="0" xfId="1" applyNumberFormat="1" applyFont="1" applyAlignment="1">
      <alignment horizontal="center"/>
    </xf>
    <xf numFmtId="164" fontId="21" fillId="39" borderId="0" xfId="1" applyNumberFormat="1" applyFont="1" applyFill="1" applyAlignment="1">
      <alignment horizontal="center"/>
    </xf>
    <xf numFmtId="164" fontId="21" fillId="0" borderId="0" xfId="1" applyNumberFormat="1" applyFont="1" applyFill="1" applyAlignment="1">
      <alignment horizontal="center"/>
    </xf>
    <xf numFmtId="164" fontId="35" fillId="0" borderId="0" xfId="1" applyNumberFormat="1" applyFont="1" applyAlignment="1">
      <alignment horizontal="center"/>
    </xf>
    <xf numFmtId="164" fontId="35" fillId="39" borderId="0" xfId="1" applyNumberFormat="1" applyFont="1" applyFill="1" applyAlignment="1">
      <alignment horizontal="center"/>
    </xf>
    <xf numFmtId="164" fontId="35" fillId="0" borderId="0" xfId="1" applyNumberFormat="1" applyFont="1" applyBorder="1" applyAlignment="1">
      <alignment horizontal="center"/>
    </xf>
    <xf numFmtId="164" fontId="35" fillId="39" borderId="10" xfId="1" applyNumberFormat="1" applyFont="1" applyFill="1" applyBorder="1" applyAlignment="1">
      <alignment horizontal="center"/>
    </xf>
    <xf numFmtId="0" fontId="21" fillId="0" borderId="0" xfId="0" applyFont="1" applyAlignment="1">
      <alignment horizontal="center" vertical="center"/>
    </xf>
    <xf numFmtId="171" fontId="35" fillId="0" borderId="0" xfId="0" applyNumberFormat="1" applyFont="1" applyAlignment="1">
      <alignment horizontal="center"/>
    </xf>
    <xf numFmtId="172" fontId="21" fillId="0" borderId="0" xfId="0" applyNumberFormat="1" applyFont="1" applyAlignment="1">
      <alignment horizontal="center" vertical="center"/>
    </xf>
    <xf numFmtId="173" fontId="21" fillId="0" borderId="0" xfId="1" applyNumberFormat="1" applyFont="1" applyAlignment="1">
      <alignment horizontal="center" vertical="center"/>
    </xf>
    <xf numFmtId="174" fontId="21" fillId="0" borderId="0" xfId="0" applyNumberFormat="1" applyFont="1" applyAlignment="1">
      <alignment horizontal="center" vertical="center"/>
    </xf>
    <xf numFmtId="174" fontId="37" fillId="0" borderId="0" xfId="0" applyNumberFormat="1" applyFont="1" applyAlignment="1">
      <alignment horizontal="center" vertical="center"/>
    </xf>
    <xf numFmtId="174" fontId="40" fillId="0" borderId="0" xfId="0" applyNumberFormat="1" applyFont="1" applyAlignment="1">
      <alignment horizontal="center" vertical="center"/>
    </xf>
    <xf numFmtId="174" fontId="38" fillId="0" borderId="0" xfId="0" applyNumberFormat="1" applyFont="1" applyAlignment="1">
      <alignment horizontal="center" vertical="center"/>
    </xf>
    <xf numFmtId="174" fontId="35" fillId="0" borderId="0" xfId="0" applyNumberFormat="1" applyFont="1"/>
    <xf numFmtId="0" fontId="41" fillId="0" borderId="0" xfId="0" applyFont="1" applyAlignment="1">
      <alignment horizontal="center" vertical="center"/>
    </xf>
    <xf numFmtId="14" fontId="35" fillId="0" borderId="0" xfId="0" applyNumberFormat="1" applyFont="1"/>
    <xf numFmtId="164" fontId="35" fillId="0" borderId="0" xfId="0" applyNumberFormat="1" applyFont="1" applyAlignment="1">
      <alignment horizontal="center" vertical="center"/>
    </xf>
    <xf numFmtId="164" fontId="35" fillId="37" borderId="0" xfId="0" applyNumberFormat="1" applyFont="1" applyFill="1" applyAlignment="1">
      <alignment horizontal="center" vertical="center"/>
    </xf>
    <xf numFmtId="174" fontId="35" fillId="0" borderId="0" xfId="0" applyNumberFormat="1" applyFont="1" applyAlignment="1">
      <alignment horizontal="center" vertical="center"/>
    </xf>
    <xf numFmtId="0" fontId="41" fillId="0" borderId="10" xfId="0" applyFont="1" applyBorder="1" applyAlignment="1">
      <alignment horizontal="center" vertical="center"/>
    </xf>
    <xf numFmtId="14" fontId="35" fillId="0" borderId="10" xfId="0" applyNumberFormat="1" applyFont="1" applyBorder="1"/>
    <xf numFmtId="164" fontId="35" fillId="0" borderId="10" xfId="0" applyNumberFormat="1" applyFont="1" applyBorder="1" applyAlignment="1">
      <alignment horizontal="center" vertical="center"/>
    </xf>
    <xf numFmtId="164" fontId="35" fillId="37" borderId="10" xfId="0" applyNumberFormat="1" applyFont="1" applyFill="1" applyBorder="1" applyAlignment="1">
      <alignment horizontal="center" vertical="center"/>
    </xf>
    <xf numFmtId="174" fontId="35" fillId="0" borderId="10" xfId="0" applyNumberFormat="1" applyFont="1" applyBorder="1" applyAlignment="1">
      <alignment horizontal="center" vertical="center"/>
    </xf>
    <xf numFmtId="0" fontId="39" fillId="0" borderId="0" xfId="0" applyFont="1" applyAlignment="1">
      <alignment horizontal="center" vertical="center"/>
    </xf>
    <xf numFmtId="10" fontId="39" fillId="0" borderId="0" xfId="1" applyNumberFormat="1" applyFont="1" applyAlignment="1">
      <alignment horizontal="center" vertical="center"/>
    </xf>
    <xf numFmtId="0" fontId="35" fillId="0" borderId="0" xfId="0" applyFont="1" applyAlignment="1">
      <alignment horizontal="center" vertical="center"/>
    </xf>
    <xf numFmtId="0" fontId="42" fillId="33" borderId="0" xfId="0" applyFont="1" applyFill="1" applyAlignment="1">
      <alignment horizontal="center" vertical="center"/>
    </xf>
    <xf numFmtId="0" fontId="35" fillId="33" borderId="0" xfId="0" applyFont="1" applyFill="1" applyAlignment="1">
      <alignment horizontal="center" vertical="center"/>
    </xf>
    <xf numFmtId="164" fontId="35" fillId="0" borderId="0" xfId="1" applyNumberFormat="1" applyFont="1" applyAlignment="1">
      <alignment horizontal="left" vertical="center"/>
    </xf>
    <xf numFmtId="164" fontId="43" fillId="0" borderId="0" xfId="1" applyNumberFormat="1" applyFont="1" applyAlignment="1">
      <alignment horizontal="center" vertical="center"/>
    </xf>
    <xf numFmtId="0" fontId="35" fillId="0" borderId="0" xfId="0" applyFont="1" applyAlignment="1">
      <alignment horizontal="center"/>
    </xf>
    <xf numFmtId="164" fontId="35" fillId="0" borderId="0" xfId="1" applyNumberFormat="1" applyFont="1" applyFill="1" applyBorder="1" applyAlignment="1">
      <alignment horizontal="center" vertical="center"/>
    </xf>
    <xf numFmtId="164" fontId="35" fillId="0" borderId="0" xfId="0" applyNumberFormat="1" applyFont="1" applyAlignment="1">
      <alignment horizontal="left" vertical="center"/>
    </xf>
    <xf numFmtId="164" fontId="35" fillId="0" borderId="0" xfId="0" applyNumberFormat="1" applyFont="1"/>
    <xf numFmtId="0" fontId="42" fillId="0" borderId="0" xfId="0" applyFont="1" applyAlignment="1">
      <alignment horizontal="center" vertical="center"/>
    </xf>
    <xf numFmtId="0" fontId="45" fillId="0" borderId="0" xfId="43" applyFont="1"/>
    <xf numFmtId="0" fontId="35" fillId="39" borderId="0" xfId="0" applyFont="1" applyFill="1"/>
    <xf numFmtId="164" fontId="21" fillId="39" borderId="0" xfId="1" applyNumberFormat="1" applyFont="1" applyFill="1" applyAlignment="1">
      <alignment horizontal="center" vertical="center"/>
    </xf>
    <xf numFmtId="0" fontId="21" fillId="39" borderId="0" xfId="0" applyFont="1" applyFill="1" applyAlignment="1">
      <alignment horizontal="center" vertical="center"/>
    </xf>
    <xf numFmtId="171" fontId="35" fillId="39" borderId="0" xfId="0" applyNumberFormat="1" applyFont="1" applyFill="1" applyAlignment="1">
      <alignment horizontal="center"/>
    </xf>
    <xf numFmtId="172" fontId="21" fillId="39" borderId="0" xfId="0" applyNumberFormat="1" applyFont="1" applyFill="1" applyAlignment="1">
      <alignment horizontal="center" vertical="center"/>
    </xf>
    <xf numFmtId="173" fontId="21" fillId="39" borderId="0" xfId="1" applyNumberFormat="1" applyFont="1" applyFill="1" applyAlignment="1">
      <alignment horizontal="center" vertical="center"/>
    </xf>
    <xf numFmtId="174" fontId="21" fillId="39" borderId="0" xfId="0" applyNumberFormat="1" applyFont="1" applyFill="1" applyAlignment="1">
      <alignment horizontal="center" vertical="center"/>
    </xf>
    <xf numFmtId="174" fontId="37" fillId="39" borderId="0" xfId="0" applyNumberFormat="1" applyFont="1" applyFill="1" applyAlignment="1">
      <alignment horizontal="center" vertical="center"/>
    </xf>
    <xf numFmtId="174" fontId="40" fillId="39" borderId="0" xfId="0" applyNumberFormat="1" applyFont="1" applyFill="1" applyAlignment="1">
      <alignment horizontal="center" vertical="center"/>
    </xf>
    <xf numFmtId="174" fontId="38" fillId="39" borderId="0" xfId="0" applyNumberFormat="1" applyFont="1" applyFill="1" applyAlignment="1">
      <alignment horizontal="center" vertical="center"/>
    </xf>
    <xf numFmtId="174" fontId="35" fillId="39" borderId="0" xfId="0" applyNumberFormat="1" applyFont="1" applyFill="1"/>
    <xf numFmtId="0" fontId="35" fillId="0" borderId="0" xfId="0" applyFont="1" applyAlignment="1">
      <alignment horizontal="left" vertical="center"/>
    </xf>
    <xf numFmtId="10" fontId="35" fillId="0" borderId="0" xfId="0" applyNumberFormat="1" applyFont="1" applyAlignment="1">
      <alignment horizontal="left" vertical="center"/>
    </xf>
    <xf numFmtId="10" fontId="43" fillId="0" borderId="0" xfId="1" applyNumberFormat="1" applyFont="1" applyAlignment="1">
      <alignment horizontal="center" vertical="center"/>
    </xf>
    <xf numFmtId="0" fontId="46" fillId="0" borderId="0" xfId="0" applyFont="1" applyAlignment="1">
      <alignment horizontal="left" vertical="center"/>
    </xf>
    <xf numFmtId="10" fontId="47" fillId="0" borderId="0" xfId="1" applyNumberFormat="1" applyFont="1" applyAlignment="1">
      <alignment horizontal="center" vertical="center"/>
    </xf>
    <xf numFmtId="0" fontId="0" fillId="0" borderId="0" xfId="0" applyAlignment="1">
      <alignment horizontal="center" vertical="center"/>
    </xf>
    <xf numFmtId="0" fontId="46" fillId="0" borderId="0" xfId="0" applyFont="1"/>
    <xf numFmtId="0" fontId="44" fillId="0" borderId="0" xfId="43"/>
    <xf numFmtId="10" fontId="46" fillId="0" borderId="0" xfId="0" applyNumberFormat="1" applyFont="1" applyAlignment="1">
      <alignment horizontal="left"/>
    </xf>
    <xf numFmtId="0" fontId="46" fillId="0" borderId="0" xfId="0" applyFont="1" applyAlignment="1">
      <alignment horizontal="left"/>
    </xf>
    <xf numFmtId="0" fontId="0" fillId="0" borderId="0" xfId="0" applyAlignment="1">
      <alignment horizontal="left" vertical="center"/>
    </xf>
    <xf numFmtId="0" fontId="48" fillId="33" borderId="0" xfId="0" applyFont="1" applyFill="1"/>
    <xf numFmtId="0" fontId="49" fillId="33" borderId="0" xfId="0" applyFont="1" applyFill="1"/>
    <xf numFmtId="164" fontId="0" fillId="0" borderId="0" xfId="0" applyNumberFormat="1" applyAlignment="1">
      <alignment horizontal="center" vertical="center"/>
    </xf>
    <xf numFmtId="0" fontId="0" fillId="0" borderId="0" xfId="0" applyAlignment="1">
      <alignment horizontal="left"/>
    </xf>
    <xf numFmtId="10" fontId="48" fillId="33" borderId="0" xfId="1" applyNumberFormat="1" applyFont="1" applyFill="1"/>
    <xf numFmtId="10" fontId="0" fillId="0" borderId="0" xfId="1" applyNumberFormat="1" applyFont="1" applyAlignment="1">
      <alignment horizontal="center" vertical="center"/>
    </xf>
    <xf numFmtId="0" fontId="44" fillId="0" borderId="0" xfId="43" applyAlignment="1">
      <alignment horizontal="center" vertical="center"/>
    </xf>
    <xf numFmtId="0" fontId="35" fillId="39" borderId="10" xfId="0" applyFont="1" applyFill="1" applyBorder="1"/>
    <xf numFmtId="0" fontId="21" fillId="39" borderId="10" xfId="0" applyFont="1" applyFill="1" applyBorder="1" applyAlignment="1">
      <alignment horizontal="center" vertical="center"/>
    </xf>
    <xf numFmtId="171" fontId="35" fillId="39" borderId="10" xfId="0" applyNumberFormat="1" applyFont="1" applyFill="1" applyBorder="1" applyAlignment="1">
      <alignment horizontal="center"/>
    </xf>
    <xf numFmtId="172" fontId="21" fillId="39" borderId="10" xfId="0" applyNumberFormat="1" applyFont="1" applyFill="1" applyBorder="1" applyAlignment="1">
      <alignment horizontal="center" vertical="center"/>
    </xf>
    <xf numFmtId="173" fontId="21" fillId="39" borderId="10" xfId="1" applyNumberFormat="1" applyFont="1" applyFill="1" applyBorder="1" applyAlignment="1">
      <alignment horizontal="center" vertical="center"/>
    </xf>
    <xf numFmtId="174" fontId="21" fillId="39" borderId="10" xfId="0" applyNumberFormat="1" applyFont="1" applyFill="1" applyBorder="1" applyAlignment="1">
      <alignment horizontal="center" vertical="center"/>
    </xf>
    <xf numFmtId="174" fontId="37" fillId="39" borderId="10" xfId="0" applyNumberFormat="1" applyFont="1" applyFill="1" applyBorder="1" applyAlignment="1">
      <alignment horizontal="center" vertical="center"/>
    </xf>
    <xf numFmtId="174" fontId="40" fillId="39" borderId="10" xfId="0" applyNumberFormat="1" applyFont="1" applyFill="1" applyBorder="1" applyAlignment="1">
      <alignment horizontal="center" vertical="center"/>
    </xf>
    <xf numFmtId="174" fontId="38" fillId="39" borderId="10" xfId="0" applyNumberFormat="1" applyFont="1" applyFill="1" applyBorder="1" applyAlignment="1">
      <alignment horizontal="center" vertical="center"/>
    </xf>
    <xf numFmtId="174" fontId="35" fillId="39" borderId="10" xfId="0" applyNumberFormat="1" applyFont="1" applyFill="1" applyBorder="1"/>
    <xf numFmtId="164" fontId="35" fillId="0" borderId="0" xfId="0" applyNumberFormat="1" applyFont="1" applyAlignment="1">
      <alignment horizontal="center"/>
    </xf>
    <xf numFmtId="0" fontId="50" fillId="0" borderId="0" xfId="0" applyFont="1" applyAlignment="1">
      <alignment horizontal="center"/>
    </xf>
    <xf numFmtId="164" fontId="50" fillId="0" borderId="0" xfId="1" applyNumberFormat="1" applyFont="1" applyBorder="1" applyAlignment="1">
      <alignment horizontal="center" vertical="center"/>
    </xf>
    <xf numFmtId="174" fontId="51" fillId="0" borderId="0" xfId="0" applyNumberFormat="1" applyFont="1" applyAlignment="1">
      <alignment horizontal="center" vertical="center"/>
    </xf>
    <xf numFmtId="0" fontId="50" fillId="0" borderId="0" xfId="0" applyFont="1" applyAlignment="1">
      <alignment horizontal="center" vertical="center"/>
    </xf>
    <xf numFmtId="164" fontId="50" fillId="0" borderId="0" xfId="0" applyNumberFormat="1" applyFont="1" applyAlignment="1">
      <alignment horizontal="center" vertical="center"/>
    </xf>
    <xf numFmtId="175" fontId="21" fillId="0" borderId="0" xfId="0" applyNumberFormat="1" applyFont="1" applyAlignment="1">
      <alignment horizontal="center" vertical="center"/>
    </xf>
    <xf numFmtId="0" fontId="52" fillId="0" borderId="0" xfId="0" applyFont="1" applyAlignment="1">
      <alignment horizontal="center"/>
    </xf>
    <xf numFmtId="164" fontId="52" fillId="0" borderId="0" xfId="1" applyNumberFormat="1" applyFont="1" applyBorder="1" applyAlignment="1">
      <alignment horizontal="center" vertical="center"/>
    </xf>
    <xf numFmtId="0" fontId="0" fillId="0" borderId="0" xfId="0" applyAlignment="1">
      <alignment vertical="center"/>
    </xf>
    <xf numFmtId="0" fontId="0" fillId="0" borderId="10" xfId="0" applyBorder="1" applyAlignment="1">
      <alignment horizontal="center" vertical="center"/>
    </xf>
    <xf numFmtId="0" fontId="55" fillId="0" borderId="10" xfId="0" applyFont="1" applyBorder="1" applyAlignment="1">
      <alignment horizontal="center" vertical="center"/>
    </xf>
    <xf numFmtId="14" fontId="0" fillId="0" borderId="10" xfId="0" applyNumberFormat="1" applyBorder="1" applyAlignment="1">
      <alignment horizontal="center" vertical="center"/>
    </xf>
    <xf numFmtId="164" fontId="0" fillId="0" borderId="0" xfId="1" applyNumberFormat="1" applyFont="1" applyAlignment="1">
      <alignment horizontal="center" vertical="center"/>
    </xf>
    <xf numFmtId="164" fontId="0" fillId="0" borderId="10" xfId="1" applyNumberFormat="1" applyFont="1" applyBorder="1" applyAlignment="1">
      <alignment horizontal="center" vertical="center"/>
    </xf>
    <xf numFmtId="172" fontId="0" fillId="0" borderId="0" xfId="1" applyNumberFormat="1" applyFont="1" applyAlignment="1">
      <alignment horizontal="center" vertical="center"/>
    </xf>
    <xf numFmtId="176" fontId="0" fillId="0" borderId="0" xfId="0" applyNumberFormat="1" applyAlignment="1">
      <alignment horizontal="center" vertical="center"/>
    </xf>
    <xf numFmtId="176" fontId="55" fillId="0" borderId="0" xfId="0" applyNumberFormat="1" applyFont="1" applyAlignment="1">
      <alignment horizontal="center" vertical="center"/>
    </xf>
    <xf numFmtId="177" fontId="55" fillId="0" borderId="0" xfId="0" applyNumberFormat="1" applyFont="1" applyAlignment="1">
      <alignment horizontal="center" vertical="center"/>
    </xf>
    <xf numFmtId="172" fontId="0" fillId="0" borderId="10" xfId="1" applyNumberFormat="1" applyFont="1" applyBorder="1" applyAlignment="1">
      <alignment horizontal="center" vertical="center"/>
    </xf>
    <xf numFmtId="176" fontId="0" fillId="0" borderId="10" xfId="0" applyNumberFormat="1" applyBorder="1" applyAlignment="1">
      <alignment horizontal="center" vertical="center"/>
    </xf>
    <xf numFmtId="176" fontId="55" fillId="0" borderId="10" xfId="0" applyNumberFormat="1" applyFont="1" applyBorder="1" applyAlignment="1">
      <alignment horizontal="center" vertical="center"/>
    </xf>
    <xf numFmtId="177" fontId="55" fillId="0" borderId="10" xfId="0" applyNumberFormat="1" applyFont="1" applyBorder="1" applyAlignment="1">
      <alignment horizontal="center" vertical="center"/>
    </xf>
    <xf numFmtId="0" fontId="56" fillId="0" borderId="10" xfId="0" applyFont="1" applyBorder="1" applyAlignment="1">
      <alignment horizontal="center" vertical="center"/>
    </xf>
    <xf numFmtId="164" fontId="56" fillId="0" borderId="10" xfId="1" applyNumberFormat="1" applyFont="1" applyBorder="1" applyAlignment="1">
      <alignment horizontal="center" vertical="center"/>
    </xf>
    <xf numFmtId="0" fontId="0" fillId="0" borderId="10" xfId="0" applyBorder="1"/>
    <xf numFmtId="177" fontId="57" fillId="0" borderId="10" xfId="0" applyNumberFormat="1" applyFont="1" applyBorder="1" applyAlignment="1">
      <alignment horizontal="center" vertical="center"/>
    </xf>
    <xf numFmtId="0" fontId="0" fillId="0" borderId="0" xfId="1" applyNumberFormat="1" applyFont="1" applyAlignment="1">
      <alignment horizontal="center" vertical="center"/>
    </xf>
    <xf numFmtId="0" fontId="0" fillId="0" borderId="10" xfId="1" applyNumberFormat="1" applyFont="1" applyBorder="1" applyAlignment="1">
      <alignment horizontal="center" vertical="center"/>
    </xf>
    <xf numFmtId="0" fontId="0" fillId="0" borderId="11" xfId="0" applyBorder="1" applyAlignment="1">
      <alignment horizontal="center" vertical="center"/>
    </xf>
    <xf numFmtId="0" fontId="55" fillId="0" borderId="0" xfId="0" applyFont="1" applyAlignment="1">
      <alignment horizontal="center" vertical="center"/>
    </xf>
    <xf numFmtId="164" fontId="0" fillId="0" borderId="0" xfId="1" applyNumberFormat="1" applyFont="1" applyBorder="1" applyAlignment="1">
      <alignment horizontal="center" vertical="center"/>
    </xf>
    <xf numFmtId="172" fontId="0" fillId="0" borderId="0" xfId="1" applyNumberFormat="1" applyFont="1" applyBorder="1" applyAlignment="1">
      <alignment horizontal="center" vertical="center"/>
    </xf>
    <xf numFmtId="0" fontId="56" fillId="0" borderId="0" xfId="0" applyFont="1" applyAlignment="1">
      <alignment horizontal="center" vertical="center"/>
    </xf>
    <xf numFmtId="164" fontId="56" fillId="0" borderId="0" xfId="1" applyNumberFormat="1" applyFont="1" applyBorder="1" applyAlignment="1">
      <alignment horizontal="center" vertical="center"/>
    </xf>
    <xf numFmtId="177" fontId="57" fillId="0" borderId="0" xfId="0" applyNumberFormat="1" applyFont="1" applyAlignment="1">
      <alignment horizontal="center" vertical="center"/>
    </xf>
    <xf numFmtId="14" fontId="0" fillId="0" borderId="0" xfId="0" applyNumberFormat="1" applyAlignment="1">
      <alignment horizontal="center"/>
    </xf>
    <xf numFmtId="14" fontId="0" fillId="0" borderId="0" xfId="0" applyNumberFormat="1" applyFont="1" applyBorder="1" applyAlignment="1">
      <alignment horizontal="center" vertical="center" wrapText="1"/>
    </xf>
    <xf numFmtId="0" fontId="18" fillId="0" borderId="10" xfId="0" applyNumberFormat="1" applyFont="1" applyBorder="1" applyAlignment="1">
      <alignment horizontal="center" vertical="center"/>
    </xf>
    <xf numFmtId="168" fontId="18" fillId="0" borderId="10" xfId="0" applyNumberFormat="1" applyFont="1" applyBorder="1" applyAlignment="1">
      <alignment horizontal="center" vertical="center"/>
    </xf>
    <xf numFmtId="167" fontId="30" fillId="0" borderId="10" xfId="1" applyNumberFormat="1" applyFont="1" applyFill="1" applyBorder="1" applyAlignment="1">
      <alignment horizontal="center" vertical="center"/>
    </xf>
    <xf numFmtId="164" fontId="21" fillId="0" borderId="10" xfId="1" applyNumberFormat="1" applyFont="1" applyFill="1" applyBorder="1" applyAlignment="1">
      <alignment horizontal="center" vertical="center"/>
    </xf>
    <xf numFmtId="14" fontId="18" fillId="0" borderId="10" xfId="0" applyNumberFormat="1" applyFont="1" applyBorder="1" applyAlignment="1">
      <alignment horizontal="center" vertical="center"/>
    </xf>
    <xf numFmtId="0" fontId="32" fillId="0" borderId="0" xfId="0" applyFont="1" applyFill="1" applyBorder="1" applyAlignment="1">
      <alignment horizontal="center" vertical="center"/>
    </xf>
    <xf numFmtId="0" fontId="59" fillId="0" borderId="0" xfId="0" applyFont="1" applyAlignment="1">
      <alignment horizontal="center" vertical="center"/>
    </xf>
    <xf numFmtId="14" fontId="59" fillId="0" borderId="0" xfId="0" applyNumberFormat="1" applyFont="1" applyAlignment="1">
      <alignment horizontal="center" vertical="center"/>
    </xf>
    <xf numFmtId="10" fontId="60" fillId="0" borderId="0" xfId="0" applyNumberFormat="1" applyFont="1" applyAlignment="1">
      <alignment horizontal="center" vertical="center"/>
    </xf>
    <xf numFmtId="10" fontId="60" fillId="0" borderId="0" xfId="0" applyNumberFormat="1" applyFont="1" applyBorder="1" applyAlignment="1">
      <alignment horizontal="center" vertical="center"/>
    </xf>
    <xf numFmtId="0" fontId="59" fillId="0" borderId="0" xfId="0" applyFont="1" applyBorder="1" applyAlignment="1">
      <alignment horizontal="center" vertical="center"/>
    </xf>
    <xf numFmtId="14" fontId="59" fillId="0" borderId="0" xfId="0" applyNumberFormat="1" applyFont="1" applyBorder="1" applyAlignment="1">
      <alignment horizontal="center" vertical="center"/>
    </xf>
    <xf numFmtId="14" fontId="18" fillId="0" borderId="0" xfId="0" applyNumberFormat="1" applyFont="1" applyBorder="1" applyAlignment="1">
      <alignment horizontal="center" vertical="center" wrapText="1"/>
    </xf>
    <xf numFmtId="10" fontId="60" fillId="0" borderId="10" xfId="0" applyNumberFormat="1" applyFont="1" applyBorder="1" applyAlignment="1">
      <alignment horizontal="center" vertical="center"/>
    </xf>
    <xf numFmtId="0" fontId="59" fillId="0" borderId="10" xfId="0" applyFont="1" applyBorder="1" applyAlignment="1">
      <alignment horizontal="center" vertical="center"/>
    </xf>
    <xf numFmtId="14" fontId="59" fillId="0" borderId="10" xfId="0" applyNumberFormat="1" applyFont="1" applyBorder="1" applyAlignment="1">
      <alignment horizontal="center" vertical="center"/>
    </xf>
    <xf numFmtId="0" fontId="18" fillId="0" borderId="0" xfId="0" applyNumberFormat="1" applyFont="1" applyFill="1" applyBorder="1" applyAlignment="1">
      <alignment horizontal="center" vertical="center"/>
    </xf>
    <xf numFmtId="167" fontId="18" fillId="0" borderId="0" xfId="0" applyNumberFormat="1" applyFont="1" applyFill="1" applyBorder="1" applyAlignment="1">
      <alignment horizontal="center" vertical="center"/>
    </xf>
    <xf numFmtId="0" fontId="30" fillId="0" borderId="0" xfId="1" applyNumberFormat="1" applyFont="1" applyFill="1" applyAlignment="1">
      <alignment horizontal="center" vertical="center"/>
    </xf>
    <xf numFmtId="0" fontId="18" fillId="0" borderId="0" xfId="1" applyNumberFormat="1" applyFont="1" applyAlignment="1">
      <alignment vertical="center"/>
    </xf>
    <xf numFmtId="168" fontId="18" fillId="0" borderId="0" xfId="0" applyNumberFormat="1" applyFont="1" applyFill="1" applyBorder="1" applyAlignment="1">
      <alignment horizontal="center" vertical="center"/>
    </xf>
    <xf numFmtId="0" fontId="18" fillId="0" borderId="0" xfId="0" applyFont="1" applyFill="1" applyBorder="1" applyAlignment="1">
      <alignment horizontal="center" vertical="center"/>
    </xf>
    <xf numFmtId="0" fontId="0" fillId="0" borderId="0" xfId="0" applyBorder="1" applyAlignment="1">
      <alignment horizontal="center"/>
    </xf>
    <xf numFmtId="0" fontId="0" fillId="0" borderId="10" xfId="0" applyBorder="1" applyAlignment="1">
      <alignment horizontal="center"/>
    </xf>
    <xf numFmtId="0" fontId="0" fillId="40" borderId="10" xfId="0" applyFill="1" applyBorder="1"/>
    <xf numFmtId="14" fontId="18" fillId="0" borderId="10" xfId="0" applyNumberFormat="1" applyFont="1" applyBorder="1" applyAlignment="1">
      <alignment horizontal="center" vertical="center" wrapText="1"/>
    </xf>
    <xf numFmtId="164" fontId="18" fillId="0" borderId="0" xfId="1" applyNumberFormat="1" applyFont="1" applyFill="1" applyBorder="1" applyAlignment="1">
      <alignment horizontal="center" vertical="center"/>
    </xf>
    <xf numFmtId="164" fontId="18" fillId="0" borderId="10" xfId="1" applyNumberFormat="1" applyFont="1" applyFill="1" applyBorder="1" applyAlignment="1">
      <alignment horizontal="center" vertical="center"/>
    </xf>
    <xf numFmtId="178" fontId="0" fillId="0" borderId="0" xfId="0" applyNumberFormat="1" applyBorder="1" applyAlignment="1">
      <alignment horizontal="center"/>
    </xf>
    <xf numFmtId="178" fontId="0" fillId="0" borderId="10" xfId="0" applyNumberFormat="1" applyBorder="1" applyAlignment="1">
      <alignment horizontal="center"/>
    </xf>
    <xf numFmtId="0" fontId="27" fillId="0" borderId="0" xfId="0" applyFont="1" applyFill="1" applyBorder="1" applyAlignment="1">
      <alignment horizontal="left" vertical="center"/>
    </xf>
    <xf numFmtId="0" fontId="18" fillId="0" borderId="0" xfId="1" applyNumberFormat="1" applyFont="1" applyFill="1" applyBorder="1" applyAlignment="1">
      <alignment horizontal="center" vertical="center"/>
    </xf>
    <xf numFmtId="0" fontId="27" fillId="0" borderId="0" xfId="0" applyFont="1" applyFill="1" applyBorder="1" applyAlignment="1">
      <alignment horizontal="center" vertical="center"/>
    </xf>
    <xf numFmtId="10" fontId="18" fillId="0" borderId="0" xfId="0" applyNumberFormat="1" applyFont="1" applyFill="1" applyBorder="1"/>
    <xf numFmtId="10" fontId="18" fillId="0" borderId="0" xfId="0" applyNumberFormat="1" applyFont="1" applyFill="1" applyBorder="1" applyAlignment="1">
      <alignment horizontal="center" vertical="center"/>
    </xf>
    <xf numFmtId="0" fontId="44" fillId="0" borderId="0" xfId="43" applyAlignment="1">
      <alignment vertical="center"/>
    </xf>
    <xf numFmtId="0" fontId="18" fillId="41" borderId="0" xfId="0" applyNumberFormat="1" applyFont="1" applyFill="1" applyBorder="1" applyAlignment="1">
      <alignment horizontal="center" vertical="center"/>
    </xf>
    <xf numFmtId="178" fontId="0" fillId="41" borderId="0" xfId="0" applyNumberFormat="1" applyFill="1" applyBorder="1" applyAlignment="1">
      <alignment horizontal="center"/>
    </xf>
    <xf numFmtId="167" fontId="30" fillId="41" borderId="0" xfId="1" applyNumberFormat="1" applyFont="1" applyFill="1" applyBorder="1" applyAlignment="1">
      <alignment horizontal="center" vertical="center"/>
    </xf>
    <xf numFmtId="164" fontId="0" fillId="0" borderId="0" xfId="0" applyNumberFormat="1" applyFont="1" applyAlignment="1">
      <alignment horizontal="center" vertical="center"/>
    </xf>
    <xf numFmtId="0" fontId="27" fillId="0" borderId="0" xfId="0" applyFont="1" applyFill="1" applyBorder="1" applyAlignment="1">
      <alignment vertical="center"/>
    </xf>
    <xf numFmtId="0" fontId="29" fillId="0" borderId="0" xfId="0" applyFont="1" applyFill="1" applyAlignment="1">
      <alignment vertical="center"/>
    </xf>
    <xf numFmtId="0" fontId="29" fillId="0" borderId="0" xfId="0" applyFont="1" applyFill="1" applyBorder="1" applyAlignment="1">
      <alignment vertical="center"/>
    </xf>
    <xf numFmtId="0" fontId="18" fillId="35" borderId="0" xfId="0" applyNumberFormat="1" applyFont="1" applyFill="1" applyBorder="1" applyAlignment="1">
      <alignment horizontal="center" vertical="center"/>
    </xf>
    <xf numFmtId="168" fontId="18" fillId="35" borderId="0" xfId="0" applyNumberFormat="1" applyFont="1" applyFill="1" applyBorder="1" applyAlignment="1">
      <alignment horizontal="center" vertical="center"/>
    </xf>
    <xf numFmtId="178" fontId="0" fillId="35" borderId="0" xfId="0" applyNumberFormat="1" applyFill="1" applyBorder="1" applyAlignment="1">
      <alignment horizontal="center"/>
    </xf>
    <xf numFmtId="0" fontId="61" fillId="0" borderId="0" xfId="0" applyFont="1" applyBorder="1" applyAlignment="1">
      <alignment horizontal="center"/>
    </xf>
    <xf numFmtId="0" fontId="27" fillId="0" borderId="0" xfId="0" applyNumberFormat="1" applyFont="1" applyFill="1" applyBorder="1" applyAlignment="1">
      <alignment horizontal="center" vertical="center"/>
    </xf>
    <xf numFmtId="164" fontId="0" fillId="0" borderId="0" xfId="0" applyNumberFormat="1" applyBorder="1" applyAlignment="1">
      <alignment horizontal="center" vertical="center"/>
    </xf>
    <xf numFmtId="164" fontId="0" fillId="0" borderId="10" xfId="0" applyNumberFormat="1" applyBorder="1" applyAlignment="1">
      <alignment horizontal="center" vertical="center"/>
    </xf>
    <xf numFmtId="0" fontId="60" fillId="40" borderId="10" xfId="0" applyFont="1" applyFill="1" applyBorder="1" applyAlignment="1">
      <alignment horizontal="center" vertical="center"/>
    </xf>
    <xf numFmtId="14" fontId="0" fillId="0" borderId="0" xfId="0" applyNumberFormat="1" applyFill="1" applyAlignment="1">
      <alignment horizontal="center"/>
    </xf>
    <xf numFmtId="0" fontId="0" fillId="0" borderId="0" xfId="0" applyFill="1" applyAlignment="1">
      <alignment horizontal="center"/>
    </xf>
    <xf numFmtId="14" fontId="26" fillId="38" borderId="0" xfId="0" applyNumberFormat="1" applyFont="1" applyFill="1" applyAlignment="1">
      <alignment horizontal="center"/>
    </xf>
    <xf numFmtId="164" fontId="26" fillId="38" borderId="0" xfId="0" applyNumberFormat="1" applyFont="1" applyFill="1" applyAlignment="1">
      <alignment horizontal="center"/>
    </xf>
    <xf numFmtId="164" fontId="26" fillId="0" borderId="0" xfId="0" applyNumberFormat="1" applyFont="1" applyAlignment="1">
      <alignment horizontal="center"/>
    </xf>
    <xf numFmtId="14" fontId="0" fillId="35" borderId="0" xfId="0" applyNumberFormat="1" applyFill="1" applyAlignment="1">
      <alignment horizontal="center"/>
    </xf>
    <xf numFmtId="164" fontId="0" fillId="35" borderId="0" xfId="0" applyNumberFormat="1" applyFill="1" applyAlignment="1">
      <alignment horizontal="center"/>
    </xf>
    <xf numFmtId="0" fontId="0" fillId="35" borderId="0" xfId="0" applyFill="1" applyAlignment="1">
      <alignment horizontal="center"/>
    </xf>
    <xf numFmtId="14" fontId="26" fillId="0" borderId="0" xfId="0" applyNumberFormat="1" applyFont="1" applyAlignment="1">
      <alignment horizontal="center"/>
    </xf>
    <xf numFmtId="164" fontId="0" fillId="0" borderId="0" xfId="0" applyNumberFormat="1" applyAlignment="1">
      <alignment horizontal="center"/>
    </xf>
    <xf numFmtId="14" fontId="0" fillId="33" borderId="0" xfId="0" applyNumberFormat="1" applyFill="1" applyAlignment="1">
      <alignment horizontal="center"/>
    </xf>
    <xf numFmtId="164" fontId="0" fillId="33" borderId="0" xfId="0" applyNumberFormat="1" applyFill="1" applyAlignment="1">
      <alignment horizontal="center"/>
    </xf>
    <xf numFmtId="0" fontId="0" fillId="33" borderId="0" xfId="0" applyFill="1" applyAlignment="1">
      <alignment horizontal="center"/>
    </xf>
    <xf numFmtId="14" fontId="26" fillId="33" borderId="0" xfId="0" applyNumberFormat="1" applyFont="1" applyFill="1" applyAlignment="1">
      <alignment horizontal="center"/>
    </xf>
    <xf numFmtId="164" fontId="26" fillId="33" borderId="0" xfId="0" applyNumberFormat="1" applyFont="1" applyFill="1" applyAlignment="1">
      <alignment horizontal="center"/>
    </xf>
    <xf numFmtId="164" fontId="26" fillId="0" borderId="0" xfId="0" applyNumberFormat="1" applyFont="1" applyFill="1" applyAlignment="1">
      <alignment horizontal="center"/>
    </xf>
    <xf numFmtId="0" fontId="0" fillId="0" borderId="0" xfId="0" applyNumberFormat="1" applyFont="1" applyFill="1" applyBorder="1" applyAlignment="1">
      <alignment horizontal="center" vertical="center" wrapText="1"/>
    </xf>
    <xf numFmtId="176" fontId="0" fillId="0" borderId="0" xfId="0" applyNumberFormat="1" applyBorder="1" applyAlignment="1">
      <alignment horizontal="center" vertical="center"/>
    </xf>
    <xf numFmtId="0" fontId="64" fillId="0" borderId="0" xfId="0" applyFont="1"/>
    <xf numFmtId="0" fontId="60" fillId="0" borderId="0" xfId="0" applyFont="1"/>
    <xf numFmtId="0" fontId="59" fillId="0" borderId="0" xfId="0" applyFont="1"/>
    <xf numFmtId="14" fontId="60" fillId="0" borderId="0" xfId="0" applyNumberFormat="1" applyFont="1"/>
    <xf numFmtId="10" fontId="59" fillId="0" borderId="0" xfId="0" applyNumberFormat="1" applyFont="1"/>
    <xf numFmtId="0" fontId="27" fillId="0" borderId="0" xfId="0" applyFont="1" applyAlignment="1">
      <alignment vertical="center"/>
    </xf>
    <xf numFmtId="0" fontId="27" fillId="40" borderId="0" xfId="0" applyFont="1" applyFill="1" applyBorder="1" applyAlignment="1">
      <alignment horizontal="left" vertical="center"/>
    </xf>
    <xf numFmtId="0" fontId="18" fillId="40" borderId="0" xfId="0" applyNumberFormat="1" applyFont="1" applyFill="1" applyBorder="1" applyAlignment="1">
      <alignment horizontal="center" vertical="center"/>
    </xf>
    <xf numFmtId="164" fontId="18" fillId="40" borderId="0" xfId="0" applyNumberFormat="1" applyFont="1" applyFill="1" applyBorder="1" applyAlignment="1">
      <alignment horizontal="center" vertical="center"/>
    </xf>
    <xf numFmtId="167" fontId="30" fillId="0" borderId="0" xfId="1" applyNumberFormat="1" applyFont="1" applyFill="1" applyAlignment="1">
      <alignment horizontal="left" vertical="center"/>
    </xf>
    <xf numFmtId="10" fontId="18" fillId="40" borderId="0" xfId="0" applyNumberFormat="1" applyFont="1" applyFill="1" applyBorder="1" applyAlignment="1">
      <alignment horizontal="center" vertical="center"/>
    </xf>
    <xf numFmtId="0" fontId="27" fillId="0" borderId="12" xfId="0" applyFont="1" applyFill="1" applyBorder="1" applyAlignment="1">
      <alignment horizontal="left" vertical="center"/>
    </xf>
    <xf numFmtId="164" fontId="18" fillId="0" borderId="12" xfId="1" applyNumberFormat="1" applyFont="1" applyFill="1" applyBorder="1" applyAlignment="1">
      <alignment horizontal="center" vertical="center"/>
    </xf>
    <xf numFmtId="14" fontId="27" fillId="40" borderId="12" xfId="0" applyNumberFormat="1" applyFont="1" applyFill="1" applyBorder="1" applyAlignment="1">
      <alignment horizontal="left" vertical="center"/>
    </xf>
    <xf numFmtId="164" fontId="18" fillId="40" borderId="12" xfId="0" applyNumberFormat="1" applyFont="1" applyFill="1" applyBorder="1" applyAlignment="1">
      <alignment horizontal="center" vertical="center"/>
    </xf>
    <xf numFmtId="0" fontId="18" fillId="0" borderId="12" xfId="0" applyFont="1" applyBorder="1" applyAlignment="1">
      <alignment vertical="center"/>
    </xf>
    <xf numFmtId="0" fontId="16" fillId="0" borderId="12" xfId="0" applyFont="1" applyBorder="1"/>
    <xf numFmtId="0" fontId="0" fillId="0" borderId="12" xfId="0" applyFont="1" applyBorder="1"/>
    <xf numFmtId="0" fontId="27" fillId="0" borderId="12" xfId="0" applyFont="1" applyBorder="1" applyAlignment="1">
      <alignment vertical="center"/>
    </xf>
    <xf numFmtId="164" fontId="0" fillId="0" borderId="12" xfId="1" applyNumberFormat="1" applyFont="1" applyBorder="1" applyAlignment="1">
      <alignment horizontal="center" vertical="center"/>
    </xf>
    <xf numFmtId="14" fontId="27" fillId="34" borderId="12" xfId="0" applyNumberFormat="1" applyFont="1" applyFill="1" applyBorder="1" applyAlignment="1">
      <alignment horizontal="left" vertical="center"/>
    </xf>
    <xf numFmtId="164" fontId="18" fillId="34" borderId="12" xfId="0" applyNumberFormat="1" applyFont="1" applyFill="1" applyBorder="1" applyAlignment="1">
      <alignment horizontal="center" vertical="center"/>
    </xf>
    <xf numFmtId="0" fontId="18" fillId="0" borderId="12" xfId="0" applyFont="1" applyFill="1" applyBorder="1" applyAlignment="1">
      <alignment vertical="center"/>
    </xf>
    <xf numFmtId="0" fontId="27" fillId="0" borderId="12" xfId="0" applyFont="1" applyFill="1" applyBorder="1" applyAlignment="1">
      <alignment vertical="center"/>
    </xf>
    <xf numFmtId="0" fontId="19" fillId="0" borderId="12" xfId="0" applyFont="1" applyBorder="1" applyAlignment="1">
      <alignment horizontal="center" vertical="center" wrapText="1"/>
    </xf>
    <xf numFmtId="0" fontId="27" fillId="0" borderId="12" xfId="0" applyFont="1" applyBorder="1" applyAlignment="1">
      <alignment horizontal="center" vertical="center"/>
    </xf>
    <xf numFmtId="10" fontId="58" fillId="0" borderId="0" xfId="0" applyNumberFormat="1" applyFont="1" applyAlignment="1">
      <alignment horizontal="center" vertical="center" wrapText="1"/>
    </xf>
    <xf numFmtId="10" fontId="58" fillId="0" borderId="0" xfId="0" applyNumberFormat="1" applyFont="1" applyBorder="1" applyAlignment="1">
      <alignment horizontal="center" vertical="center" wrapText="1"/>
    </xf>
    <xf numFmtId="10" fontId="58" fillId="0" borderId="12" xfId="0" applyNumberFormat="1" applyFont="1" applyBorder="1" applyAlignment="1">
      <alignment horizontal="center" vertical="center" wrapText="1"/>
    </xf>
    <xf numFmtId="0" fontId="58" fillId="0" borderId="0" xfId="0" applyFont="1" applyAlignment="1">
      <alignment horizontal="left" vertical="center" wrapText="1"/>
    </xf>
    <xf numFmtId="0" fontId="58" fillId="0" borderId="0" xfId="0" applyFont="1" applyBorder="1" applyAlignment="1">
      <alignment horizontal="left" vertical="center" wrapText="1"/>
    </xf>
    <xf numFmtId="0" fontId="58" fillId="0" borderId="12" xfId="0" applyFont="1" applyBorder="1" applyAlignment="1">
      <alignment horizontal="left" vertical="center" wrapText="1"/>
    </xf>
    <xf numFmtId="167" fontId="65" fillId="0" borderId="0" xfId="1" applyNumberFormat="1" applyFont="1" applyFill="1" applyBorder="1" applyAlignment="1">
      <alignment horizontal="center" vertical="center"/>
    </xf>
    <xf numFmtId="167" fontId="65" fillId="41" borderId="0" xfId="1" applyNumberFormat="1" applyFont="1" applyFill="1" applyBorder="1" applyAlignment="1">
      <alignment horizontal="center" vertical="center"/>
    </xf>
    <xf numFmtId="167" fontId="65" fillId="0" borderId="10" xfId="1" applyNumberFormat="1" applyFont="1" applyFill="1" applyBorder="1" applyAlignment="1">
      <alignment horizontal="center" vertical="center"/>
    </xf>
    <xf numFmtId="0" fontId="67" fillId="0" borderId="0" xfId="0" applyNumberFormat="1" applyFont="1" applyFill="1" applyBorder="1" applyAlignment="1">
      <alignment horizontal="center" vertical="center"/>
    </xf>
    <xf numFmtId="0" fontId="65" fillId="0" borderId="0" xfId="0" applyNumberFormat="1" applyFont="1" applyFill="1" applyBorder="1" applyAlignment="1">
      <alignment horizontal="center" vertical="center"/>
    </xf>
    <xf numFmtId="167" fontId="65" fillId="0" borderId="0" xfId="0" applyNumberFormat="1" applyFont="1" applyFill="1" applyBorder="1" applyAlignment="1">
      <alignment horizontal="center" vertical="center"/>
    </xf>
    <xf numFmtId="0" fontId="67" fillId="0" borderId="0" xfId="0" applyNumberFormat="1" applyFont="1" applyBorder="1" applyAlignment="1">
      <alignment horizontal="center" vertical="center"/>
    </xf>
    <xf numFmtId="168" fontId="67" fillId="0" borderId="0" xfId="0" applyNumberFormat="1" applyFont="1" applyBorder="1" applyAlignment="1">
      <alignment horizontal="center" vertical="center"/>
    </xf>
    <xf numFmtId="0" fontId="67" fillId="41" borderId="0" xfId="0" applyNumberFormat="1" applyFont="1" applyFill="1" applyBorder="1" applyAlignment="1">
      <alignment horizontal="center" vertical="center"/>
    </xf>
    <xf numFmtId="168" fontId="67" fillId="41" borderId="0" xfId="0" applyNumberFormat="1" applyFont="1" applyFill="1" applyBorder="1" applyAlignment="1">
      <alignment horizontal="center" vertical="center"/>
    </xf>
    <xf numFmtId="0" fontId="67" fillId="0" borderId="10" xfId="0" applyNumberFormat="1" applyFont="1" applyBorder="1" applyAlignment="1">
      <alignment horizontal="center" vertical="center"/>
    </xf>
    <xf numFmtId="168" fontId="67" fillId="0" borderId="10" xfId="0" applyNumberFormat="1" applyFont="1" applyBorder="1" applyAlignment="1">
      <alignment horizontal="center" vertical="center"/>
    </xf>
    <xf numFmtId="168" fontId="67" fillId="0" borderId="0" xfId="0" applyNumberFormat="1" applyFont="1" applyFill="1" applyBorder="1" applyAlignment="1">
      <alignment horizontal="center" vertical="center"/>
    </xf>
    <xf numFmtId="0" fontId="60" fillId="40" borderId="12" xfId="0" applyFont="1" applyFill="1" applyBorder="1" applyAlignment="1">
      <alignment horizontal="center" vertical="center"/>
    </xf>
    <xf numFmtId="0" fontId="27" fillId="40" borderId="12" xfId="0" applyFont="1" applyFill="1" applyBorder="1" applyAlignment="1">
      <alignment horizontal="center" vertical="center" wrapText="1"/>
    </xf>
    <xf numFmtId="0" fontId="28" fillId="40" borderId="12" xfId="0" applyFont="1" applyFill="1" applyBorder="1" applyAlignment="1">
      <alignment horizontal="center" vertical="center" wrapText="1"/>
    </xf>
    <xf numFmtId="0" fontId="27" fillId="40" borderId="12" xfId="0" applyFont="1" applyFill="1" applyBorder="1" applyAlignment="1">
      <alignment horizontal="center" vertical="center"/>
    </xf>
    <xf numFmtId="178" fontId="27" fillId="40" borderId="12" xfId="0" applyNumberFormat="1" applyFont="1" applyFill="1" applyBorder="1" applyAlignment="1">
      <alignment horizontal="center" vertical="center"/>
    </xf>
    <xf numFmtId="0" fontId="0" fillId="40" borderId="12" xfId="0" applyFill="1" applyBorder="1"/>
    <xf numFmtId="0" fontId="18" fillId="40" borderId="12" xfId="0" applyFont="1" applyFill="1" applyBorder="1" applyAlignment="1">
      <alignment horizontal="center" vertical="center"/>
    </xf>
    <xf numFmtId="0" fontId="0" fillId="0" borderId="0" xfId="0" applyBorder="1" applyAlignment="1">
      <alignment horizontal="center" vertical="center"/>
    </xf>
    <xf numFmtId="0" fontId="25" fillId="0" borderId="12" xfId="0" applyFont="1" applyFill="1" applyBorder="1" applyAlignment="1">
      <alignment horizontal="left" vertical="center"/>
    </xf>
    <xf numFmtId="0" fontId="0" fillId="0" borderId="0" xfId="0" applyBorder="1" applyAlignment="1">
      <alignment vertical="center"/>
    </xf>
    <xf numFmtId="178" fontId="66" fillId="0" borderId="0" xfId="0" applyNumberFormat="1" applyFont="1" applyBorder="1" applyAlignment="1">
      <alignment horizontal="center" vertical="center"/>
    </xf>
    <xf numFmtId="0" fontId="0" fillId="0" borderId="0" xfId="0" applyFont="1" applyAlignment="1">
      <alignment vertical="center"/>
    </xf>
    <xf numFmtId="10" fontId="18" fillId="0" borderId="0" xfId="0" applyNumberFormat="1" applyFont="1" applyFill="1" applyBorder="1" applyAlignment="1">
      <alignment vertical="center"/>
    </xf>
    <xf numFmtId="0" fontId="0" fillId="0" borderId="0" xfId="0" applyFont="1" applyFill="1" applyAlignment="1">
      <alignment vertical="center"/>
    </xf>
    <xf numFmtId="0" fontId="0" fillId="0" borderId="0" xfId="0" applyFont="1" applyAlignment="1">
      <alignment horizontal="center" vertical="center"/>
    </xf>
    <xf numFmtId="0" fontId="16" fillId="0" borderId="12" xfId="0" applyFont="1" applyBorder="1" applyAlignment="1">
      <alignment vertical="center"/>
    </xf>
    <xf numFmtId="0" fontId="0" fillId="0" borderId="12" xfId="0" applyFont="1" applyBorder="1" applyAlignment="1">
      <alignment vertical="center"/>
    </xf>
    <xf numFmtId="0" fontId="44" fillId="0" borderId="12" xfId="43" applyFill="1" applyBorder="1" applyAlignment="1">
      <alignment vertical="center"/>
    </xf>
    <xf numFmtId="0" fontId="69" fillId="0" borderId="12" xfId="0" applyFont="1" applyBorder="1" applyAlignment="1">
      <alignment vertical="center"/>
    </xf>
    <xf numFmtId="0" fontId="0" fillId="0" borderId="12" xfId="0" applyBorder="1" applyAlignment="1">
      <alignment vertical="center"/>
    </xf>
    <xf numFmtId="0" fontId="0" fillId="0" borderId="0" xfId="0" applyFill="1" applyBorder="1" applyAlignment="1">
      <alignment vertical="center"/>
    </xf>
    <xf numFmtId="0" fontId="68" fillId="0" borderId="0" xfId="0" applyFont="1" applyAlignment="1">
      <alignment vertical="center"/>
    </xf>
    <xf numFmtId="10" fontId="68" fillId="0" borderId="0" xfId="0" applyNumberFormat="1" applyFont="1" applyAlignment="1">
      <alignment vertical="center"/>
    </xf>
    <xf numFmtId="11" fontId="68" fillId="0" borderId="0" xfId="0" applyNumberFormat="1" applyFont="1" applyAlignment="1">
      <alignment vertical="center"/>
    </xf>
    <xf numFmtId="0" fontId="0" fillId="0" borderId="10" xfId="0" applyFill="1" applyBorder="1" applyAlignment="1">
      <alignment vertical="center"/>
    </xf>
    <xf numFmtId="178" fontId="66" fillId="41" borderId="0" xfId="0" applyNumberFormat="1" applyFont="1" applyFill="1" applyBorder="1" applyAlignment="1">
      <alignment horizontal="center" vertical="center"/>
    </xf>
    <xf numFmtId="164" fontId="0" fillId="0" borderId="0" xfId="0" applyNumberFormat="1" applyFill="1" applyAlignment="1">
      <alignment horizontal="center" vertical="center"/>
    </xf>
    <xf numFmtId="178" fontId="66" fillId="0" borderId="10" xfId="0" applyNumberFormat="1" applyFont="1" applyBorder="1" applyAlignment="1">
      <alignment horizontal="center" vertical="center"/>
    </xf>
    <xf numFmtId="0" fontId="0" fillId="0" borderId="10" xfId="0" applyBorder="1" applyAlignment="1">
      <alignment vertical="center"/>
    </xf>
    <xf numFmtId="0" fontId="61" fillId="0" borderId="0" xfId="0" applyFont="1" applyBorder="1" applyAlignment="1">
      <alignment horizontal="center" vertical="center"/>
    </xf>
    <xf numFmtId="164" fontId="1" fillId="0" borderId="0" xfId="1" applyNumberFormat="1" applyFont="1" applyFill="1" applyAlignment="1">
      <alignment horizontal="center" vertical="center"/>
    </xf>
    <xf numFmtId="0" fontId="68" fillId="0" borderId="10" xfId="0" applyFont="1" applyBorder="1" applyAlignment="1">
      <alignment vertical="center"/>
    </xf>
    <xf numFmtId="164" fontId="0" fillId="0" borderId="0" xfId="1" applyNumberFormat="1" applyFont="1" applyFill="1" applyBorder="1" applyAlignment="1">
      <alignment vertical="center"/>
    </xf>
    <xf numFmtId="10" fontId="18" fillId="0" borderId="0" xfId="1" applyNumberFormat="1" applyFont="1" applyAlignment="1">
      <alignment vertical="center"/>
    </xf>
    <xf numFmtId="0" fontId="70" fillId="40" borderId="0" xfId="0" applyFont="1" applyFill="1" applyBorder="1" applyAlignment="1">
      <alignment horizontal="left" vertical="top"/>
    </xf>
    <xf numFmtId="0" fontId="16" fillId="40" borderId="0" xfId="0" applyFont="1" applyFill="1" applyBorder="1" applyAlignment="1">
      <alignment horizontal="left"/>
    </xf>
    <xf numFmtId="0" fontId="0" fillId="40" borderId="0" xfId="0" applyFill="1" applyBorder="1" applyAlignment="1">
      <alignment horizontal="left"/>
    </xf>
    <xf numFmtId="0" fontId="62" fillId="40" borderId="0" xfId="0" applyFont="1" applyFill="1" applyBorder="1" applyAlignment="1">
      <alignment horizontal="left"/>
    </xf>
    <xf numFmtId="0" fontId="56" fillId="40" borderId="0" xfId="0" applyFont="1" applyFill="1" applyBorder="1" applyAlignment="1">
      <alignment horizontal="left"/>
    </xf>
    <xf numFmtId="0" fontId="63" fillId="0" borderId="0" xfId="0" applyFont="1" applyAlignment="1">
      <alignment horizontal="left"/>
    </xf>
    <xf numFmtId="14" fontId="63" fillId="0" borderId="0" xfId="0" applyNumberFormat="1" applyFont="1" applyAlignment="1">
      <alignment horizontal="left"/>
    </xf>
    <xf numFmtId="0" fontId="0" fillId="40" borderId="0" xfId="0" quotePrefix="1" applyFont="1" applyFill="1" applyBorder="1" applyAlignment="1">
      <alignment horizontal="left" vertical="center"/>
    </xf>
    <xf numFmtId="0" fontId="71" fillId="40" borderId="0" xfId="0" applyFont="1" applyFill="1" applyBorder="1" applyAlignment="1">
      <alignment horizontal="left"/>
    </xf>
    <xf numFmtId="0" fontId="0" fillId="40" borderId="0" xfId="0" applyFont="1" applyFill="1" applyBorder="1" applyAlignment="1">
      <alignment horizontal="left"/>
    </xf>
    <xf numFmtId="0" fontId="72" fillId="40" borderId="0" xfId="0" applyFont="1" applyFill="1" applyBorder="1" applyAlignment="1">
      <alignment horizontal="left"/>
    </xf>
    <xf numFmtId="0" fontId="73" fillId="40" borderId="0" xfId="0" applyFont="1" applyFill="1" applyBorder="1" applyAlignment="1">
      <alignment horizontal="left"/>
    </xf>
    <xf numFmtId="0" fontId="14" fillId="40" borderId="0" xfId="0" applyFont="1" applyFill="1" applyBorder="1" applyAlignment="1">
      <alignment horizontal="left"/>
    </xf>
    <xf numFmtId="0" fontId="66" fillId="40" borderId="0" xfId="0" applyFont="1" applyFill="1" applyBorder="1" applyAlignment="1">
      <alignment horizontal="left"/>
    </xf>
    <xf numFmtId="0" fontId="74" fillId="40" borderId="0" xfId="43" applyFont="1" applyFill="1" applyBorder="1" applyAlignment="1">
      <alignment horizontal="left"/>
    </xf>
    <xf numFmtId="0" fontId="25" fillId="0" borderId="0" xfId="0" applyFont="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43"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 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colors>
    <mruColors>
      <color rgb="FFAC3AA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5.xml"/><Relationship Id="rId12" Type="http://schemas.openxmlformats.org/officeDocument/2006/relationships/externalLink" Target="externalLinks/externalLink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8.xml"/><Relationship Id="rId5" Type="http://schemas.openxmlformats.org/officeDocument/2006/relationships/chartsheet" Target="chartsheets/sheet2.xml"/><Relationship Id="rId15" Type="http://schemas.openxmlformats.org/officeDocument/2006/relationships/styles" Target="styles.xml"/><Relationship Id="rId10" Type="http://schemas.openxmlformats.org/officeDocument/2006/relationships/chartsheet" Target="chartsheets/sheet3.xml"/><Relationship Id="rId19"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worksheet" Target="worksheets/sheet7.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0646397715658665"/>
          <c:y val="7.861659362898496E-2"/>
          <c:w val="0.83840382010810965"/>
          <c:h val="0.7745418208266136"/>
        </c:manualLayout>
      </c:layout>
      <c:lineChart>
        <c:grouping val="standard"/>
        <c:varyColors val="0"/>
        <c:ser>
          <c:idx val="0"/>
          <c:order val="0"/>
          <c:tx>
            <c:strRef>
              <c:f>'Model MONIA forward'!$Q$11</c:f>
              <c:strCache>
                <c:ptCount val="1"/>
                <c:pt idx="0">
                  <c:v>MONIA forward</c:v>
                </c:pt>
              </c:strCache>
            </c:strRef>
          </c:tx>
          <c:spPr>
            <a:ln>
              <a:solidFill>
                <a:srgbClr val="FF0000"/>
              </a:solidFill>
            </a:ln>
          </c:spPr>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'Model MONIA forward'!$Q$13:$Q$18</c:f>
              <c:strCache>
                <c:ptCount val="6"/>
                <c:pt idx="0">
                  <c:v>1 week</c:v>
                </c:pt>
                <c:pt idx="1">
                  <c:v>2 week</c:v>
                </c:pt>
                <c:pt idx="2">
                  <c:v>1 month</c:v>
                </c:pt>
                <c:pt idx="3">
                  <c:v>3 month</c:v>
                </c:pt>
                <c:pt idx="4">
                  <c:v>6 month</c:v>
                </c:pt>
                <c:pt idx="5">
                  <c:v>12 month</c:v>
                </c:pt>
              </c:strCache>
            </c:strRef>
          </c:cat>
          <c:val>
            <c:numRef>
              <c:f>'Model MONIA forward'!$R$13:$R$18</c:f>
              <c:numCache>
                <c:formatCode>0.000%</c:formatCode>
                <c:ptCount val="6"/>
                <c:pt idx="0">
                  <c:v>1.4201438315833823E-2</c:v>
                </c:pt>
                <c:pt idx="1">
                  <c:v>1.4236272947704291E-2</c:v>
                </c:pt>
                <c:pt idx="2">
                  <c:v>1.4697459383163469E-2</c:v>
                </c:pt>
                <c:pt idx="3">
                  <c:v>1.4404609599509399E-2</c:v>
                </c:pt>
                <c:pt idx="4">
                  <c:v>1.4329259540568184E-2</c:v>
                </c:pt>
                <c:pt idx="5">
                  <c:v>1.7417469241988878E-2</c:v>
                </c:pt>
              </c:numCache>
            </c:numRef>
          </c:val>
          <c:smooth val="0"/>
          <c:extLst>
            <c:ext xmlns:c16="http://schemas.microsoft.com/office/drawing/2014/chart" uri="{C3380CC4-5D6E-409C-BE32-E72D297353CC}">
              <c16:uniqueId val="{00000000-0DBA-CF42-801F-B688164B09EA}"/>
            </c:ext>
          </c:extLst>
        </c:ser>
        <c:dLbls>
          <c:showLegendKey val="0"/>
          <c:showVal val="0"/>
          <c:showCatName val="0"/>
          <c:showSerName val="0"/>
          <c:showPercent val="0"/>
          <c:showBubbleSize val="0"/>
        </c:dLbls>
        <c:smooth val="0"/>
        <c:axId val="58325728"/>
        <c:axId val="1"/>
      </c:lineChart>
      <c:catAx>
        <c:axId val="58325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noMultiLvlLbl val="0"/>
      </c:catAx>
      <c:valAx>
        <c:axId val="1"/>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8325728"/>
        <c:crosses val="autoZero"/>
        <c:crossBetween val="between"/>
      </c:valAx>
      <c:spPr>
        <a:noFill/>
        <a:ln w="12700">
          <a:solidFill>
            <a:srgbClr val="808080"/>
          </a:solidFill>
          <a:prstDash val="solid"/>
        </a:ln>
      </c:spPr>
    </c:plotArea>
    <c:legend>
      <c:legendPos val="b"/>
      <c:overlay val="0"/>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688" r="0.75000000000000688" t="1"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0646397715658665"/>
          <c:y val="7.861659362898496E-2"/>
          <c:w val="0.83840382010810965"/>
          <c:h val="0.7745418208266136"/>
        </c:manualLayout>
      </c:layout>
      <c:lineChart>
        <c:grouping val="standard"/>
        <c:varyColors val="0"/>
        <c:ser>
          <c:idx val="0"/>
          <c:order val="0"/>
          <c:tx>
            <c:strRef>
              <c:f>'Model MONIA forward'!$T$21</c:f>
              <c:strCache>
                <c:ptCount val="1"/>
                <c:pt idx="0">
                  <c:v>Mean Interest Rate</c:v>
                </c:pt>
              </c:strCache>
            </c:strRef>
          </c:tx>
          <c:spPr>
            <a:ln>
              <a:solidFill>
                <a:srgbClr val="FF0000"/>
              </a:solidFill>
            </a:ln>
          </c:spPr>
          <c:marker>
            <c:symbol val="none"/>
          </c:marker>
          <c:cat>
            <c:strRef>
              <c:f>'Model MONIA forward'!$Q$22:$Q$26</c:f>
              <c:strCache>
                <c:ptCount val="5"/>
                <c:pt idx="0">
                  <c:v>Overnight</c:v>
                </c:pt>
                <c:pt idx="1">
                  <c:v>1 week</c:v>
                </c:pt>
                <c:pt idx="2">
                  <c:v>2 week</c:v>
                </c:pt>
                <c:pt idx="3">
                  <c:v>1 month</c:v>
                </c:pt>
                <c:pt idx="4">
                  <c:v>3 month</c:v>
                </c:pt>
              </c:strCache>
            </c:strRef>
          </c:cat>
          <c:val>
            <c:numRef>
              <c:f>'Model MONIA forward'!$T$22:$T$26</c:f>
              <c:numCache>
                <c:formatCode>0.00%</c:formatCode>
                <c:ptCount val="5"/>
                <c:pt idx="0">
                  <c:v>1.55E-2</c:v>
                </c:pt>
                <c:pt idx="1">
                  <c:v>1.5699999999999999E-2</c:v>
                </c:pt>
                <c:pt idx="2">
                  <c:v>1.6E-2</c:v>
                </c:pt>
                <c:pt idx="3">
                  <c:v>1.6199999999999999E-2</c:v>
                </c:pt>
                <c:pt idx="4">
                  <c:v>1.66E-2</c:v>
                </c:pt>
              </c:numCache>
            </c:numRef>
          </c:val>
          <c:smooth val="0"/>
          <c:extLst>
            <c:ext xmlns:c16="http://schemas.microsoft.com/office/drawing/2014/chart" uri="{C3380CC4-5D6E-409C-BE32-E72D297353CC}">
              <c16:uniqueId val="{00000000-0DBA-CF42-801F-B688164B09EA}"/>
            </c:ext>
          </c:extLst>
        </c:ser>
        <c:dLbls>
          <c:showLegendKey val="0"/>
          <c:showVal val="0"/>
          <c:showCatName val="0"/>
          <c:showSerName val="0"/>
          <c:showPercent val="0"/>
          <c:showBubbleSize val="0"/>
        </c:dLbls>
        <c:marker val="1"/>
        <c:smooth val="0"/>
        <c:axId val="58325728"/>
        <c:axId val="1"/>
      </c:lineChart>
      <c:scatterChart>
        <c:scatterStyle val="lineMarker"/>
        <c:varyColors val="0"/>
        <c:ser>
          <c:idx val="1"/>
          <c:order val="1"/>
          <c:tx>
            <c:strRef>
              <c:f>'Model MONIA forward'!$Q$11</c:f>
              <c:strCache>
                <c:ptCount val="1"/>
                <c:pt idx="0">
                  <c:v>MONIA forward</c:v>
                </c:pt>
              </c:strCache>
            </c:strRef>
          </c:tx>
          <c:marker>
            <c:symbol val="none"/>
          </c:marker>
          <c:xVal>
            <c:strRef>
              <c:f>'Model MONIA forward'!$Q$12:$Q$16</c:f>
              <c:strCache>
                <c:ptCount val="5"/>
                <c:pt idx="0">
                  <c:v>Overnight</c:v>
                </c:pt>
                <c:pt idx="1">
                  <c:v>1 week</c:v>
                </c:pt>
                <c:pt idx="2">
                  <c:v>2 week</c:v>
                </c:pt>
                <c:pt idx="3">
                  <c:v>1 month</c:v>
                </c:pt>
                <c:pt idx="4">
                  <c:v>3 month</c:v>
                </c:pt>
              </c:strCache>
            </c:strRef>
          </c:xVal>
          <c:yVal>
            <c:numRef>
              <c:f>'Model MONIA forward'!$R$12:$R$16</c:f>
              <c:numCache>
                <c:formatCode>0.000%</c:formatCode>
                <c:ptCount val="5"/>
                <c:pt idx="0">
                  <c:v>1.418E-2</c:v>
                </c:pt>
                <c:pt idx="1">
                  <c:v>1.4201438315833823E-2</c:v>
                </c:pt>
                <c:pt idx="2">
                  <c:v>1.4236272947704291E-2</c:v>
                </c:pt>
                <c:pt idx="3">
                  <c:v>1.4697459383163469E-2</c:v>
                </c:pt>
                <c:pt idx="4">
                  <c:v>1.4404609599509399E-2</c:v>
                </c:pt>
              </c:numCache>
            </c:numRef>
          </c:yVal>
          <c:smooth val="0"/>
          <c:extLst>
            <c:ext xmlns:c16="http://schemas.microsoft.com/office/drawing/2014/chart" uri="{C3380CC4-5D6E-409C-BE32-E72D297353CC}">
              <c16:uniqueId val="{00000002-136D-9448-BB31-840C7A331604}"/>
            </c:ext>
          </c:extLst>
        </c:ser>
        <c:dLbls>
          <c:showLegendKey val="0"/>
          <c:showVal val="0"/>
          <c:showCatName val="0"/>
          <c:showSerName val="0"/>
          <c:showPercent val="0"/>
          <c:showBubbleSize val="0"/>
        </c:dLbls>
        <c:axId val="58325728"/>
        <c:axId val="1"/>
      </c:scatterChart>
      <c:catAx>
        <c:axId val="58325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noMultiLvlLbl val="0"/>
      </c:catAx>
      <c:valAx>
        <c:axId val="1"/>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8325728"/>
        <c:crosses val="autoZero"/>
        <c:crossBetween val="between"/>
      </c:valAx>
      <c:spPr>
        <a:noFill/>
        <a:ln w="12700">
          <a:solidFill>
            <a:srgbClr val="808080"/>
          </a:solidFill>
          <a:prstDash val="solid"/>
        </a:ln>
      </c:spPr>
    </c:plotArea>
    <c:legend>
      <c:legendPos val="b"/>
      <c:overlay val="0"/>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688" r="0.75000000000000688" t="1" header="0.5" footer="0.5"/>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0646397715658665"/>
          <c:y val="7.861659362898496E-2"/>
          <c:w val="0.83840382010810965"/>
          <c:h val="0.7745418208266136"/>
        </c:manualLayout>
      </c:layout>
      <c:lineChart>
        <c:grouping val="standard"/>
        <c:varyColors val="0"/>
        <c:ser>
          <c:idx val="0"/>
          <c:order val="0"/>
          <c:tx>
            <c:strRef>
              <c:f>'Simulation MONIA forward'!$R$11</c:f>
              <c:strCache>
                <c:ptCount val="1"/>
                <c:pt idx="0">
                  <c:v>Sensitivity analysis of the MONIA forward rate</c:v>
                </c:pt>
              </c:strCache>
            </c:strRef>
          </c:tx>
          <c:spPr>
            <a:ln>
              <a:solidFill>
                <a:srgbClr val="FF0000"/>
              </a:solidFill>
            </a:ln>
          </c:spPr>
          <c:marker>
            <c:symbol val="none"/>
          </c:marker>
          <c:cat>
            <c:strRef>
              <c:f>'Simulation MONIA forward'!$R$13:$R$18</c:f>
              <c:strCache>
                <c:ptCount val="6"/>
                <c:pt idx="0">
                  <c:v>1 week</c:v>
                </c:pt>
                <c:pt idx="1">
                  <c:v>2 week</c:v>
                </c:pt>
                <c:pt idx="2">
                  <c:v>1 month</c:v>
                </c:pt>
                <c:pt idx="3">
                  <c:v>3 month</c:v>
                </c:pt>
                <c:pt idx="4">
                  <c:v>6 month</c:v>
                </c:pt>
                <c:pt idx="5">
                  <c:v>12 month</c:v>
                </c:pt>
              </c:strCache>
            </c:strRef>
          </c:cat>
          <c:val>
            <c:numRef>
              <c:f>'Simulation MONIA forward'!$S$13:$S$18</c:f>
              <c:numCache>
                <c:formatCode>0.000%</c:formatCode>
                <c:ptCount val="6"/>
                <c:pt idx="0">
                  <c:v>9.2006032654065196E-3</c:v>
                </c:pt>
                <c:pt idx="1">
                  <c:v>9.2342942329423239E-3</c:v>
                </c:pt>
                <c:pt idx="2">
                  <c:v>9.5258877298940448E-3</c:v>
                </c:pt>
                <c:pt idx="3">
                  <c:v>9.3344002126736214E-3</c:v>
                </c:pt>
                <c:pt idx="4">
                  <c:v>9.2721723337065853E-3</c:v>
                </c:pt>
                <c:pt idx="5">
                  <c:v>1.2345145557848622E-2</c:v>
                </c:pt>
              </c:numCache>
            </c:numRef>
          </c:val>
          <c:smooth val="1"/>
          <c:extLst>
            <c:ext xmlns:c16="http://schemas.microsoft.com/office/drawing/2014/chart" uri="{C3380CC4-5D6E-409C-BE32-E72D297353CC}">
              <c16:uniqueId val="{00000000-0DBA-CF42-801F-B688164B09EA}"/>
            </c:ext>
          </c:extLst>
        </c:ser>
        <c:dLbls>
          <c:showLegendKey val="0"/>
          <c:showVal val="0"/>
          <c:showCatName val="0"/>
          <c:showSerName val="0"/>
          <c:showPercent val="0"/>
          <c:showBubbleSize val="0"/>
        </c:dLbls>
        <c:smooth val="0"/>
        <c:axId val="58325728"/>
        <c:axId val="1"/>
      </c:lineChart>
      <c:catAx>
        <c:axId val="58325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noMultiLvlLbl val="0"/>
      </c:catAx>
      <c:valAx>
        <c:axId val="1"/>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8325728"/>
        <c:crosses val="autoZero"/>
        <c:crossBetween val="between"/>
      </c:valAx>
      <c:spPr>
        <a:noFill/>
        <a:ln w="12700">
          <a:solidFill>
            <a:srgbClr val="808080"/>
          </a:solidFill>
          <a:prstDash val="solid"/>
        </a:ln>
      </c:spPr>
    </c:plotArea>
    <c:legend>
      <c:legendPos val="b"/>
      <c:overlay val="0"/>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688" r="0.75000000000000688" t="1" header="0.5" footer="0.5"/>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0646397715658665"/>
          <c:y val="7.861659362898496E-2"/>
          <c:w val="0.83840382010810965"/>
          <c:h val="0.7745418208266136"/>
        </c:manualLayout>
      </c:layout>
      <c:lineChart>
        <c:grouping val="standard"/>
        <c:varyColors val="0"/>
        <c:ser>
          <c:idx val="0"/>
          <c:order val="0"/>
          <c:tx>
            <c:strRef>
              <c:f>'Model MONIA forward'!$Q$11</c:f>
              <c:strCache>
                <c:ptCount val="1"/>
                <c:pt idx="0">
                  <c:v>MONIA forward</c:v>
                </c:pt>
              </c:strCache>
            </c:strRef>
          </c:tx>
          <c:spPr>
            <a:ln>
              <a:solidFill>
                <a:srgbClr val="FF0000"/>
              </a:solidFill>
            </a:ln>
          </c:spPr>
          <c:marker>
            <c:symbol val="none"/>
          </c:marker>
          <c:cat>
            <c:strRef>
              <c:f>'Model MONIA forward'!$Q$13:$Q$18</c:f>
              <c:strCache>
                <c:ptCount val="6"/>
                <c:pt idx="0">
                  <c:v>1 week</c:v>
                </c:pt>
                <c:pt idx="1">
                  <c:v>2 week</c:v>
                </c:pt>
                <c:pt idx="2">
                  <c:v>1 month</c:v>
                </c:pt>
                <c:pt idx="3">
                  <c:v>3 month</c:v>
                </c:pt>
                <c:pt idx="4">
                  <c:v>6 month</c:v>
                </c:pt>
                <c:pt idx="5">
                  <c:v>12 month</c:v>
                </c:pt>
              </c:strCache>
            </c:strRef>
          </c:cat>
          <c:val>
            <c:numRef>
              <c:f>'Model MONIA forward'!$R$13:$R$18</c:f>
              <c:numCache>
                <c:formatCode>0.000%</c:formatCode>
                <c:ptCount val="6"/>
                <c:pt idx="0">
                  <c:v>1.4201438315833823E-2</c:v>
                </c:pt>
                <c:pt idx="1">
                  <c:v>1.4236272947704291E-2</c:v>
                </c:pt>
                <c:pt idx="2">
                  <c:v>1.4697459383163469E-2</c:v>
                </c:pt>
                <c:pt idx="3">
                  <c:v>1.4404609599509399E-2</c:v>
                </c:pt>
                <c:pt idx="4">
                  <c:v>1.4329259540568184E-2</c:v>
                </c:pt>
                <c:pt idx="5">
                  <c:v>1.7417469241988878E-2</c:v>
                </c:pt>
              </c:numCache>
            </c:numRef>
          </c:val>
          <c:smooth val="0"/>
          <c:extLst>
            <c:ext xmlns:c16="http://schemas.microsoft.com/office/drawing/2014/chart" uri="{C3380CC4-5D6E-409C-BE32-E72D297353CC}">
              <c16:uniqueId val="{00000000-0DBA-CF42-801F-B688164B09EA}"/>
            </c:ext>
          </c:extLst>
        </c:ser>
        <c:ser>
          <c:idx val="1"/>
          <c:order val="1"/>
          <c:tx>
            <c:strRef>
              <c:f>'Simulation MONIA forward'!$R$11</c:f>
              <c:strCache>
                <c:ptCount val="1"/>
                <c:pt idx="0">
                  <c:v>Sensitivity analysis of the MONIA forward rate</c:v>
                </c:pt>
              </c:strCache>
            </c:strRef>
          </c:tx>
          <c:marker>
            <c:symbol val="none"/>
          </c:marker>
          <c:cat>
            <c:strRef>
              <c:f>'Simulation MONIA forward'!$R$13:$R$18</c:f>
              <c:strCache>
                <c:ptCount val="6"/>
                <c:pt idx="0">
                  <c:v>1 week</c:v>
                </c:pt>
                <c:pt idx="1">
                  <c:v>2 week</c:v>
                </c:pt>
                <c:pt idx="2">
                  <c:v>1 month</c:v>
                </c:pt>
                <c:pt idx="3">
                  <c:v>3 month</c:v>
                </c:pt>
                <c:pt idx="4">
                  <c:v>6 month</c:v>
                </c:pt>
                <c:pt idx="5">
                  <c:v>12 month</c:v>
                </c:pt>
              </c:strCache>
            </c:strRef>
          </c:cat>
          <c:val>
            <c:numRef>
              <c:f>'Simulation MONIA forward'!$S$13:$S$18</c:f>
              <c:numCache>
                <c:formatCode>0.000%</c:formatCode>
                <c:ptCount val="6"/>
                <c:pt idx="0">
                  <c:v>9.2006032654065196E-3</c:v>
                </c:pt>
                <c:pt idx="1">
                  <c:v>9.2342942329423239E-3</c:v>
                </c:pt>
                <c:pt idx="2">
                  <c:v>9.5258877298940448E-3</c:v>
                </c:pt>
                <c:pt idx="3">
                  <c:v>9.3344002126736214E-3</c:v>
                </c:pt>
                <c:pt idx="4">
                  <c:v>9.2721723337065853E-3</c:v>
                </c:pt>
                <c:pt idx="5">
                  <c:v>1.2345145557848622E-2</c:v>
                </c:pt>
              </c:numCache>
            </c:numRef>
          </c:val>
          <c:smooth val="0"/>
          <c:extLst>
            <c:ext xmlns:c16="http://schemas.microsoft.com/office/drawing/2014/chart" uri="{C3380CC4-5D6E-409C-BE32-E72D297353CC}">
              <c16:uniqueId val="{00000002-7CAB-8044-AEA4-D4694D947944}"/>
            </c:ext>
          </c:extLst>
        </c:ser>
        <c:dLbls>
          <c:showLegendKey val="0"/>
          <c:showVal val="0"/>
          <c:showCatName val="0"/>
          <c:showSerName val="0"/>
          <c:showPercent val="0"/>
          <c:showBubbleSize val="0"/>
        </c:dLbls>
        <c:smooth val="0"/>
        <c:axId val="58325728"/>
        <c:axId val="1"/>
      </c:lineChart>
      <c:catAx>
        <c:axId val="58325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noMultiLvlLbl val="0"/>
      </c:catAx>
      <c:valAx>
        <c:axId val="1"/>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8325728"/>
        <c:crosses val="autoZero"/>
        <c:crossBetween val="between"/>
      </c:valAx>
      <c:spPr>
        <a:noFill/>
        <a:ln w="12700">
          <a:solidFill>
            <a:srgbClr val="808080"/>
          </a:solidFill>
          <a:prstDash val="solid"/>
        </a:ln>
      </c:spPr>
    </c:plotArea>
    <c:legend>
      <c:legendPos val="b"/>
      <c:overlay val="0"/>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688" r="0.75000000000000688" t="1" header="0.5" footer="0.5"/>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lineChart>
        <c:grouping val="standard"/>
        <c:varyColors val="0"/>
        <c:ser>
          <c:idx val="0"/>
          <c:order val="0"/>
          <c:tx>
            <c:v>Overnight MONIA rate</c:v>
          </c:tx>
          <c:spPr>
            <a:ln w="19050" cap="rnd" cmpd="sng" algn="ctr">
              <a:solidFill>
                <a:srgbClr val="FF0000"/>
              </a:solidFill>
              <a:prstDash val="solid"/>
              <a:round/>
            </a:ln>
            <a:effectLst/>
          </c:spPr>
          <c:marker>
            <c:symbol val="none"/>
          </c:marker>
          <c:cat>
            <c:numRef>
              <c:f>'Model MONIA forward'!$D$2:$D$242</c:f>
              <c:numCache>
                <c:formatCode>m/d/yy</c:formatCode>
                <c:ptCount val="241"/>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43885</c:v>
                </c:pt>
                <c:pt idx="38">
                  <c:v>43886</c:v>
                </c:pt>
                <c:pt idx="39">
                  <c:v>43887</c:v>
                </c:pt>
                <c:pt idx="40">
                  <c:v>43888</c:v>
                </c:pt>
                <c:pt idx="41">
                  <c:v>43889</c:v>
                </c:pt>
                <c:pt idx="42">
                  <c:v>43892</c:v>
                </c:pt>
                <c:pt idx="43">
                  <c:v>43893</c:v>
                </c:pt>
                <c:pt idx="44">
                  <c:v>43894</c:v>
                </c:pt>
                <c:pt idx="45">
                  <c:v>43895</c:v>
                </c:pt>
                <c:pt idx="46">
                  <c:v>43896</c:v>
                </c:pt>
                <c:pt idx="47">
                  <c:v>43899</c:v>
                </c:pt>
                <c:pt idx="48">
                  <c:v>43900</c:v>
                </c:pt>
                <c:pt idx="49">
                  <c:v>43901</c:v>
                </c:pt>
                <c:pt idx="50">
                  <c:v>43902</c:v>
                </c:pt>
                <c:pt idx="51">
                  <c:v>43903</c:v>
                </c:pt>
                <c:pt idx="52">
                  <c:v>43906</c:v>
                </c:pt>
                <c:pt idx="53">
                  <c:v>43907</c:v>
                </c:pt>
                <c:pt idx="54">
                  <c:v>43908</c:v>
                </c:pt>
                <c:pt idx="55">
                  <c:v>43909</c:v>
                </c:pt>
                <c:pt idx="56">
                  <c:v>43910</c:v>
                </c:pt>
                <c:pt idx="57">
                  <c:v>43913</c:v>
                </c:pt>
                <c:pt idx="58">
                  <c:v>43914</c:v>
                </c:pt>
                <c:pt idx="59">
                  <c:v>43915</c:v>
                </c:pt>
                <c:pt idx="60">
                  <c:v>43916</c:v>
                </c:pt>
                <c:pt idx="61">
                  <c:v>43917</c:v>
                </c:pt>
                <c:pt idx="62">
                  <c:v>43920</c:v>
                </c:pt>
                <c:pt idx="63">
                  <c:v>43921</c:v>
                </c:pt>
                <c:pt idx="64">
                  <c:v>43922</c:v>
                </c:pt>
                <c:pt idx="65">
                  <c:v>43923</c:v>
                </c:pt>
                <c:pt idx="66">
                  <c:v>43924</c:v>
                </c:pt>
                <c:pt idx="67">
                  <c:v>43927</c:v>
                </c:pt>
                <c:pt idx="68">
                  <c:v>43928</c:v>
                </c:pt>
                <c:pt idx="69">
                  <c:v>43929</c:v>
                </c:pt>
                <c:pt idx="70">
                  <c:v>43930</c:v>
                </c:pt>
                <c:pt idx="71">
                  <c:v>43931</c:v>
                </c:pt>
                <c:pt idx="72">
                  <c:v>43934</c:v>
                </c:pt>
                <c:pt idx="73">
                  <c:v>43935</c:v>
                </c:pt>
                <c:pt idx="74">
                  <c:v>43936</c:v>
                </c:pt>
                <c:pt idx="75">
                  <c:v>43937</c:v>
                </c:pt>
                <c:pt idx="76">
                  <c:v>43938</c:v>
                </c:pt>
                <c:pt idx="77">
                  <c:v>43941</c:v>
                </c:pt>
                <c:pt idx="78">
                  <c:v>43942</c:v>
                </c:pt>
                <c:pt idx="79">
                  <c:v>43943</c:v>
                </c:pt>
                <c:pt idx="80">
                  <c:v>43944</c:v>
                </c:pt>
                <c:pt idx="81">
                  <c:v>43945</c:v>
                </c:pt>
                <c:pt idx="82">
                  <c:v>43948</c:v>
                </c:pt>
                <c:pt idx="83">
                  <c:v>43949</c:v>
                </c:pt>
                <c:pt idx="84">
                  <c:v>43950</c:v>
                </c:pt>
                <c:pt idx="85">
                  <c:v>43951</c:v>
                </c:pt>
                <c:pt idx="86">
                  <c:v>43955</c:v>
                </c:pt>
                <c:pt idx="87">
                  <c:v>43956</c:v>
                </c:pt>
                <c:pt idx="88">
                  <c:v>43957</c:v>
                </c:pt>
                <c:pt idx="89">
                  <c:v>43958</c:v>
                </c:pt>
                <c:pt idx="90">
                  <c:v>43959</c:v>
                </c:pt>
                <c:pt idx="91">
                  <c:v>43962</c:v>
                </c:pt>
                <c:pt idx="92">
                  <c:v>43963</c:v>
                </c:pt>
                <c:pt idx="93">
                  <c:v>43964</c:v>
                </c:pt>
                <c:pt idx="94">
                  <c:v>43965</c:v>
                </c:pt>
                <c:pt idx="95">
                  <c:v>43966</c:v>
                </c:pt>
                <c:pt idx="96">
                  <c:v>43969</c:v>
                </c:pt>
                <c:pt idx="97">
                  <c:v>43970</c:v>
                </c:pt>
                <c:pt idx="98">
                  <c:v>43971</c:v>
                </c:pt>
                <c:pt idx="99">
                  <c:v>43972</c:v>
                </c:pt>
                <c:pt idx="100">
                  <c:v>43973</c:v>
                </c:pt>
                <c:pt idx="101">
                  <c:v>43977</c:v>
                </c:pt>
                <c:pt idx="102">
                  <c:v>43978</c:v>
                </c:pt>
                <c:pt idx="103">
                  <c:v>43979</c:v>
                </c:pt>
                <c:pt idx="104">
                  <c:v>43980</c:v>
                </c:pt>
                <c:pt idx="105">
                  <c:v>43983</c:v>
                </c:pt>
                <c:pt idx="106">
                  <c:v>43984</c:v>
                </c:pt>
                <c:pt idx="107">
                  <c:v>43985</c:v>
                </c:pt>
                <c:pt idx="108">
                  <c:v>43986</c:v>
                </c:pt>
                <c:pt idx="109">
                  <c:v>43987</c:v>
                </c:pt>
                <c:pt idx="110">
                  <c:v>43990</c:v>
                </c:pt>
                <c:pt idx="111">
                  <c:v>43991</c:v>
                </c:pt>
                <c:pt idx="112">
                  <c:v>43992</c:v>
                </c:pt>
                <c:pt idx="113">
                  <c:v>43993</c:v>
                </c:pt>
                <c:pt idx="114">
                  <c:v>43994</c:v>
                </c:pt>
                <c:pt idx="115">
                  <c:v>43997</c:v>
                </c:pt>
                <c:pt idx="116">
                  <c:v>43998</c:v>
                </c:pt>
                <c:pt idx="117">
                  <c:v>43999</c:v>
                </c:pt>
                <c:pt idx="118">
                  <c:v>44000</c:v>
                </c:pt>
                <c:pt idx="119">
                  <c:v>44001</c:v>
                </c:pt>
                <c:pt idx="120">
                  <c:v>44003</c:v>
                </c:pt>
                <c:pt idx="121">
                  <c:v>44005</c:v>
                </c:pt>
                <c:pt idx="122">
                  <c:v>44006</c:v>
                </c:pt>
                <c:pt idx="123">
                  <c:v>44007</c:v>
                </c:pt>
                <c:pt idx="124">
                  <c:v>44008</c:v>
                </c:pt>
                <c:pt idx="125">
                  <c:v>44011</c:v>
                </c:pt>
                <c:pt idx="126">
                  <c:v>44012</c:v>
                </c:pt>
                <c:pt idx="127">
                  <c:v>44013</c:v>
                </c:pt>
                <c:pt idx="128">
                  <c:v>44014</c:v>
                </c:pt>
                <c:pt idx="129">
                  <c:v>44015</c:v>
                </c:pt>
                <c:pt idx="130">
                  <c:v>44018</c:v>
                </c:pt>
                <c:pt idx="131">
                  <c:v>44019</c:v>
                </c:pt>
                <c:pt idx="132">
                  <c:v>44020</c:v>
                </c:pt>
                <c:pt idx="133">
                  <c:v>44021</c:v>
                </c:pt>
                <c:pt idx="134">
                  <c:v>44022</c:v>
                </c:pt>
                <c:pt idx="135">
                  <c:v>44025</c:v>
                </c:pt>
                <c:pt idx="136">
                  <c:v>44026</c:v>
                </c:pt>
                <c:pt idx="137">
                  <c:v>44027</c:v>
                </c:pt>
                <c:pt idx="138">
                  <c:v>44028</c:v>
                </c:pt>
                <c:pt idx="139">
                  <c:v>44029</c:v>
                </c:pt>
                <c:pt idx="140">
                  <c:v>44032</c:v>
                </c:pt>
                <c:pt idx="141">
                  <c:v>44033</c:v>
                </c:pt>
                <c:pt idx="142">
                  <c:v>44034</c:v>
                </c:pt>
                <c:pt idx="143">
                  <c:v>44035</c:v>
                </c:pt>
                <c:pt idx="144">
                  <c:v>44036</c:v>
                </c:pt>
                <c:pt idx="145">
                  <c:v>44039</c:v>
                </c:pt>
                <c:pt idx="146">
                  <c:v>44040</c:v>
                </c:pt>
                <c:pt idx="147">
                  <c:v>44041</c:v>
                </c:pt>
                <c:pt idx="148">
                  <c:v>44046</c:v>
                </c:pt>
                <c:pt idx="149">
                  <c:v>44047</c:v>
                </c:pt>
                <c:pt idx="150">
                  <c:v>44048</c:v>
                </c:pt>
                <c:pt idx="151">
                  <c:v>44049</c:v>
                </c:pt>
                <c:pt idx="152">
                  <c:v>44050</c:v>
                </c:pt>
                <c:pt idx="153">
                  <c:v>44053</c:v>
                </c:pt>
                <c:pt idx="154">
                  <c:v>44054</c:v>
                </c:pt>
                <c:pt idx="155">
                  <c:v>44055</c:v>
                </c:pt>
                <c:pt idx="156">
                  <c:v>44056</c:v>
                </c:pt>
                <c:pt idx="157">
                  <c:v>44060</c:v>
                </c:pt>
                <c:pt idx="158">
                  <c:v>44061</c:v>
                </c:pt>
                <c:pt idx="159">
                  <c:v>44062</c:v>
                </c:pt>
                <c:pt idx="160">
                  <c:v>44067</c:v>
                </c:pt>
                <c:pt idx="161">
                  <c:v>44068</c:v>
                </c:pt>
                <c:pt idx="162">
                  <c:v>44069</c:v>
                </c:pt>
                <c:pt idx="163">
                  <c:v>44070</c:v>
                </c:pt>
                <c:pt idx="164">
                  <c:v>44071</c:v>
                </c:pt>
                <c:pt idx="165">
                  <c:v>44074</c:v>
                </c:pt>
                <c:pt idx="166">
                  <c:v>44075</c:v>
                </c:pt>
                <c:pt idx="167">
                  <c:v>44076</c:v>
                </c:pt>
                <c:pt idx="168">
                  <c:v>44077</c:v>
                </c:pt>
                <c:pt idx="169">
                  <c:v>44078</c:v>
                </c:pt>
                <c:pt idx="170">
                  <c:v>44081</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44116</c:v>
                </c:pt>
                <c:pt idx="196">
                  <c:v>44117</c:v>
                </c:pt>
                <c:pt idx="197">
                  <c:v>44118</c:v>
                </c:pt>
                <c:pt idx="198">
                  <c:v>44119</c:v>
                </c:pt>
                <c:pt idx="199">
                  <c:v>44120</c:v>
                </c:pt>
                <c:pt idx="200">
                  <c:v>44123</c:v>
                </c:pt>
                <c:pt idx="201">
                  <c:v>44124</c:v>
                </c:pt>
                <c:pt idx="202">
                  <c:v>44125</c:v>
                </c:pt>
                <c:pt idx="203">
                  <c:v>44126</c:v>
                </c:pt>
                <c:pt idx="204">
                  <c:v>44127</c:v>
                </c:pt>
                <c:pt idx="205">
                  <c:v>44130</c:v>
                </c:pt>
                <c:pt idx="206">
                  <c:v>44131</c:v>
                </c:pt>
                <c:pt idx="207">
                  <c:v>44132</c:v>
                </c:pt>
                <c:pt idx="208">
                  <c:v>44137</c:v>
                </c:pt>
                <c:pt idx="209">
                  <c:v>44138</c:v>
                </c:pt>
                <c:pt idx="210">
                  <c:v>44139</c:v>
                </c:pt>
                <c:pt idx="211">
                  <c:v>44140</c:v>
                </c:pt>
                <c:pt idx="212">
                  <c:v>44144</c:v>
                </c:pt>
                <c:pt idx="213">
                  <c:v>44145</c:v>
                </c:pt>
                <c:pt idx="214">
                  <c:v>44146</c:v>
                </c:pt>
                <c:pt idx="215">
                  <c:v>44147</c:v>
                </c:pt>
                <c:pt idx="216">
                  <c:v>44148</c:v>
                </c:pt>
                <c:pt idx="217">
                  <c:v>44151</c:v>
                </c:pt>
                <c:pt idx="218">
                  <c:v>44152</c:v>
                </c:pt>
                <c:pt idx="219">
                  <c:v>44154</c:v>
                </c:pt>
                <c:pt idx="220">
                  <c:v>44155</c:v>
                </c:pt>
                <c:pt idx="221">
                  <c:v>44158</c:v>
                </c:pt>
                <c:pt idx="222">
                  <c:v>44159</c:v>
                </c:pt>
                <c:pt idx="223">
                  <c:v>44160</c:v>
                </c:pt>
                <c:pt idx="224">
                  <c:v>44161</c:v>
                </c:pt>
                <c:pt idx="225">
                  <c:v>44162</c:v>
                </c:pt>
                <c:pt idx="226">
                  <c:v>44165</c:v>
                </c:pt>
                <c:pt idx="227">
                  <c:v>44166</c:v>
                </c:pt>
                <c:pt idx="228">
                  <c:v>44167</c:v>
                </c:pt>
                <c:pt idx="229">
                  <c:v>44168</c:v>
                </c:pt>
                <c:pt idx="230">
                  <c:v>44169</c:v>
                </c:pt>
                <c:pt idx="231">
                  <c:v>44172</c:v>
                </c:pt>
                <c:pt idx="232">
                  <c:v>44173</c:v>
                </c:pt>
                <c:pt idx="233">
                  <c:v>44174</c:v>
                </c:pt>
                <c:pt idx="234">
                  <c:v>44175</c:v>
                </c:pt>
                <c:pt idx="235">
                  <c:v>44176</c:v>
                </c:pt>
                <c:pt idx="236">
                  <c:v>44179</c:v>
                </c:pt>
                <c:pt idx="237">
                  <c:v>44180</c:v>
                </c:pt>
                <c:pt idx="238">
                  <c:v>44181</c:v>
                </c:pt>
                <c:pt idx="239">
                  <c:v>44182</c:v>
                </c:pt>
                <c:pt idx="240">
                  <c:v>44183</c:v>
                </c:pt>
              </c:numCache>
              <c:extLst xmlns:c15="http://schemas.microsoft.com/office/drawing/2012/chart"/>
            </c:numRef>
          </c:cat>
          <c:val>
            <c:numRef>
              <c:f>'Model MONIA forward'!$A$2:$A$242</c:f>
              <c:numCache>
                <c:formatCode>0.00%</c:formatCode>
                <c:ptCount val="241"/>
                <c:pt idx="0">
                  <c:v>2.223E-2</c:v>
                </c:pt>
                <c:pt idx="1">
                  <c:v>2.197E-2</c:v>
                </c:pt>
                <c:pt idx="2">
                  <c:v>2.1829999999999999E-2</c:v>
                </c:pt>
                <c:pt idx="3">
                  <c:v>2.1930000000000002E-2</c:v>
                </c:pt>
                <c:pt idx="4">
                  <c:v>2.172E-2</c:v>
                </c:pt>
                <c:pt idx="5">
                  <c:v>2.1760000000000002E-2</c:v>
                </c:pt>
                <c:pt idx="6">
                  <c:v>2.172E-2</c:v>
                </c:pt>
                <c:pt idx="7">
                  <c:v>2.18E-2</c:v>
                </c:pt>
                <c:pt idx="8">
                  <c:v>2.1999999999999999E-2</c:v>
                </c:pt>
                <c:pt idx="9">
                  <c:v>2.1760000000000002E-2</c:v>
                </c:pt>
                <c:pt idx="10">
                  <c:v>2.164E-2</c:v>
                </c:pt>
                <c:pt idx="11">
                  <c:v>2.1610000000000001E-2</c:v>
                </c:pt>
                <c:pt idx="12">
                  <c:v>2.1999999999999999E-2</c:v>
                </c:pt>
                <c:pt idx="13">
                  <c:v>2.1770000000000001E-2</c:v>
                </c:pt>
                <c:pt idx="14">
                  <c:v>2.1579999999999998E-2</c:v>
                </c:pt>
                <c:pt idx="15">
                  <c:v>2.1440000000000001E-2</c:v>
                </c:pt>
                <c:pt idx="16">
                  <c:v>2.1770000000000001E-2</c:v>
                </c:pt>
                <c:pt idx="17">
                  <c:v>2.2249999999999999E-2</c:v>
                </c:pt>
                <c:pt idx="18">
                  <c:v>2.2280000000000001E-2</c:v>
                </c:pt>
                <c:pt idx="19">
                  <c:v>2.247E-2</c:v>
                </c:pt>
                <c:pt idx="20">
                  <c:v>2.2849999999999999E-2</c:v>
                </c:pt>
                <c:pt idx="21">
                  <c:v>2.2179999999999998E-2</c:v>
                </c:pt>
                <c:pt idx="22">
                  <c:v>2.247E-2</c:v>
                </c:pt>
                <c:pt idx="23">
                  <c:v>2.2110000000000001E-2</c:v>
                </c:pt>
                <c:pt idx="24">
                  <c:v>2.1780000000000001E-2</c:v>
                </c:pt>
                <c:pt idx="25">
                  <c:v>2.1399999999999999E-2</c:v>
                </c:pt>
                <c:pt idx="26">
                  <c:v>2.1700000000000001E-2</c:v>
                </c:pt>
                <c:pt idx="27">
                  <c:v>2.1729999999999999E-2</c:v>
                </c:pt>
                <c:pt idx="28">
                  <c:v>2.171E-2</c:v>
                </c:pt>
                <c:pt idx="29">
                  <c:v>2.1610000000000001E-2</c:v>
                </c:pt>
                <c:pt idx="30">
                  <c:v>2.1780000000000001E-2</c:v>
                </c:pt>
                <c:pt idx="31">
                  <c:v>2.188E-2</c:v>
                </c:pt>
                <c:pt idx="32">
                  <c:v>2.181E-2</c:v>
                </c:pt>
                <c:pt idx="33">
                  <c:v>2.1649999999999999E-2</c:v>
                </c:pt>
                <c:pt idx="34">
                  <c:v>2.205E-2</c:v>
                </c:pt>
                <c:pt idx="35">
                  <c:v>2.197E-2</c:v>
                </c:pt>
                <c:pt idx="36">
                  <c:v>2.1999999999999999E-2</c:v>
                </c:pt>
                <c:pt idx="37">
                  <c:v>2.1919999999999999E-2</c:v>
                </c:pt>
                <c:pt idx="38">
                  <c:v>2.1930000000000002E-2</c:v>
                </c:pt>
                <c:pt idx="39">
                  <c:v>2.1950000000000001E-2</c:v>
                </c:pt>
                <c:pt idx="40">
                  <c:v>2.198E-2</c:v>
                </c:pt>
                <c:pt idx="41">
                  <c:v>2.1729999999999999E-2</c:v>
                </c:pt>
                <c:pt idx="42">
                  <c:v>2.198E-2</c:v>
                </c:pt>
                <c:pt idx="43">
                  <c:v>2.188E-2</c:v>
                </c:pt>
                <c:pt idx="44">
                  <c:v>2.1850000000000001E-2</c:v>
                </c:pt>
                <c:pt idx="45">
                  <c:v>2.1919999999999999E-2</c:v>
                </c:pt>
                <c:pt idx="46">
                  <c:v>2.1999999999999999E-2</c:v>
                </c:pt>
                <c:pt idx="47">
                  <c:v>2.2020000000000001E-2</c:v>
                </c:pt>
                <c:pt idx="48">
                  <c:v>2.197E-2</c:v>
                </c:pt>
                <c:pt idx="49">
                  <c:v>2.18E-2</c:v>
                </c:pt>
                <c:pt idx="50">
                  <c:v>2.1899999999999999E-2</c:v>
                </c:pt>
                <c:pt idx="51">
                  <c:v>2.2100000000000002E-2</c:v>
                </c:pt>
                <c:pt idx="52">
                  <c:v>2.1999999999999999E-2</c:v>
                </c:pt>
                <c:pt idx="53">
                  <c:v>2.2689999999999998E-2</c:v>
                </c:pt>
                <c:pt idx="54">
                  <c:v>2.4570000000000002E-2</c:v>
                </c:pt>
                <c:pt idx="55">
                  <c:v>2.1530000000000001E-2</c:v>
                </c:pt>
                <c:pt idx="56">
                  <c:v>1.9400000000000001E-2</c:v>
                </c:pt>
                <c:pt idx="57">
                  <c:v>1.9550000000000001E-2</c:v>
                </c:pt>
                <c:pt idx="58">
                  <c:v>1.9290000000000002E-2</c:v>
                </c:pt>
                <c:pt idx="59">
                  <c:v>1.883E-2</c:v>
                </c:pt>
                <c:pt idx="60">
                  <c:v>1.925E-2</c:v>
                </c:pt>
                <c:pt idx="61">
                  <c:v>1.924E-2</c:v>
                </c:pt>
                <c:pt idx="62">
                  <c:v>1.9369999999999998E-2</c:v>
                </c:pt>
                <c:pt idx="63">
                  <c:v>1.9380000000000001E-2</c:v>
                </c:pt>
                <c:pt idx="64">
                  <c:v>1.9310000000000001E-2</c:v>
                </c:pt>
                <c:pt idx="65">
                  <c:v>1.9269999999999999E-2</c:v>
                </c:pt>
                <c:pt idx="66">
                  <c:v>1.9E-2</c:v>
                </c:pt>
                <c:pt idx="67">
                  <c:v>1.9439999999999999E-2</c:v>
                </c:pt>
                <c:pt idx="68">
                  <c:v>1.9449999999999999E-2</c:v>
                </c:pt>
                <c:pt idx="69">
                  <c:v>0.02</c:v>
                </c:pt>
                <c:pt idx="70">
                  <c:v>1.9140000000000001E-2</c:v>
                </c:pt>
                <c:pt idx="71">
                  <c:v>2.01E-2</c:v>
                </c:pt>
                <c:pt idx="72">
                  <c:v>1.968E-2</c:v>
                </c:pt>
                <c:pt idx="73">
                  <c:v>1.983E-2</c:v>
                </c:pt>
                <c:pt idx="74">
                  <c:v>1.9539999999999998E-2</c:v>
                </c:pt>
                <c:pt idx="75">
                  <c:v>1.9560000000000001E-2</c:v>
                </c:pt>
                <c:pt idx="76">
                  <c:v>2.01E-2</c:v>
                </c:pt>
                <c:pt idx="77">
                  <c:v>1.942E-2</c:v>
                </c:pt>
                <c:pt idx="78">
                  <c:v>2.044E-2</c:v>
                </c:pt>
                <c:pt idx="79">
                  <c:v>2.0299999999999999E-2</c:v>
                </c:pt>
                <c:pt idx="80">
                  <c:v>2.0150000000000001E-2</c:v>
                </c:pt>
                <c:pt idx="81">
                  <c:v>1.9140000000000001E-2</c:v>
                </c:pt>
                <c:pt idx="82">
                  <c:v>1.916E-2</c:v>
                </c:pt>
                <c:pt idx="83">
                  <c:v>1.917E-2</c:v>
                </c:pt>
                <c:pt idx="84">
                  <c:v>1.9099999999999999E-2</c:v>
                </c:pt>
                <c:pt idx="85">
                  <c:v>1.9130000000000001E-2</c:v>
                </c:pt>
                <c:pt idx="86">
                  <c:v>1.9210000000000001E-2</c:v>
                </c:pt>
                <c:pt idx="87">
                  <c:v>1.9220000000000001E-2</c:v>
                </c:pt>
                <c:pt idx="88">
                  <c:v>1.9120000000000002E-2</c:v>
                </c:pt>
                <c:pt idx="89">
                  <c:v>1.9089999999999999E-2</c:v>
                </c:pt>
                <c:pt idx="90">
                  <c:v>1.9220000000000001E-2</c:v>
                </c:pt>
                <c:pt idx="91">
                  <c:v>1.924E-2</c:v>
                </c:pt>
                <c:pt idx="92">
                  <c:v>1.9210000000000001E-2</c:v>
                </c:pt>
                <c:pt idx="93">
                  <c:v>1.915E-2</c:v>
                </c:pt>
                <c:pt idx="94">
                  <c:v>1.8929999999999999E-2</c:v>
                </c:pt>
                <c:pt idx="95">
                  <c:v>1.934E-2</c:v>
                </c:pt>
                <c:pt idx="96">
                  <c:v>1.933E-2</c:v>
                </c:pt>
                <c:pt idx="97">
                  <c:v>1.9220000000000001E-2</c:v>
                </c:pt>
                <c:pt idx="98">
                  <c:v>1.917E-2</c:v>
                </c:pt>
                <c:pt idx="99">
                  <c:v>1.9179999999999999E-2</c:v>
                </c:pt>
                <c:pt idx="100">
                  <c:v>1.9220000000000001E-2</c:v>
                </c:pt>
                <c:pt idx="101">
                  <c:v>1.9040000000000001E-2</c:v>
                </c:pt>
                <c:pt idx="102">
                  <c:v>1.9E-2</c:v>
                </c:pt>
                <c:pt idx="103">
                  <c:v>1.9199999999999998E-2</c:v>
                </c:pt>
                <c:pt idx="104">
                  <c:v>1.9230000000000001E-2</c:v>
                </c:pt>
                <c:pt idx="105">
                  <c:v>1.9220000000000001E-2</c:v>
                </c:pt>
                <c:pt idx="106">
                  <c:v>1.949E-2</c:v>
                </c:pt>
                <c:pt idx="107">
                  <c:v>1.9220000000000001E-2</c:v>
                </c:pt>
                <c:pt idx="108">
                  <c:v>1.915E-2</c:v>
                </c:pt>
                <c:pt idx="109">
                  <c:v>1.915E-2</c:v>
                </c:pt>
                <c:pt idx="110">
                  <c:v>1.917E-2</c:v>
                </c:pt>
                <c:pt idx="111">
                  <c:v>1.915E-2</c:v>
                </c:pt>
                <c:pt idx="112">
                  <c:v>1.916E-2</c:v>
                </c:pt>
                <c:pt idx="113">
                  <c:v>1.9130000000000001E-2</c:v>
                </c:pt>
                <c:pt idx="114">
                  <c:v>1.9480000000000001E-2</c:v>
                </c:pt>
                <c:pt idx="115">
                  <c:v>1.932E-2</c:v>
                </c:pt>
                <c:pt idx="116">
                  <c:v>2.0109999999999999E-2</c:v>
                </c:pt>
                <c:pt idx="117">
                  <c:v>2.1930000000000002E-2</c:v>
                </c:pt>
                <c:pt idx="118">
                  <c:v>1.6070000000000001E-2</c:v>
                </c:pt>
                <c:pt idx="119">
                  <c:v>1.431E-2</c:v>
                </c:pt>
                <c:pt idx="120">
                  <c:v>1.4189999999999999E-2</c:v>
                </c:pt>
                <c:pt idx="121">
                  <c:v>1.413E-2</c:v>
                </c:pt>
                <c:pt idx="122">
                  <c:v>1.4120000000000001E-2</c:v>
                </c:pt>
                <c:pt idx="123">
                  <c:v>1.4109999999999999E-2</c:v>
                </c:pt>
                <c:pt idx="124">
                  <c:v>1.418E-2</c:v>
                </c:pt>
                <c:pt idx="125">
                  <c:v>1.4109999999999999E-2</c:v>
                </c:pt>
                <c:pt idx="126">
                  <c:v>1.422E-2</c:v>
                </c:pt>
                <c:pt idx="127">
                  <c:v>1.423E-2</c:v>
                </c:pt>
                <c:pt idx="128">
                  <c:v>1.4120000000000001E-2</c:v>
                </c:pt>
                <c:pt idx="129">
                  <c:v>1.4189999999999999E-2</c:v>
                </c:pt>
                <c:pt idx="130">
                  <c:v>1.4279999999999999E-2</c:v>
                </c:pt>
                <c:pt idx="131">
                  <c:v>1.4200000000000001E-2</c:v>
                </c:pt>
                <c:pt idx="132">
                  <c:v>1.418E-2</c:v>
                </c:pt>
                <c:pt idx="133">
                  <c:v>1.418E-2</c:v>
                </c:pt>
                <c:pt idx="134">
                  <c:v>1.417E-2</c:v>
                </c:pt>
                <c:pt idx="135">
                  <c:v>1.4080000000000001E-2</c:v>
                </c:pt>
                <c:pt idx="136">
                  <c:v>1.41E-2</c:v>
                </c:pt>
                <c:pt idx="137">
                  <c:v>1.409E-2</c:v>
                </c:pt>
                <c:pt idx="138">
                  <c:v>1.4149999999999999E-2</c:v>
                </c:pt>
                <c:pt idx="139">
                  <c:v>1.405E-2</c:v>
                </c:pt>
                <c:pt idx="140">
                  <c:v>1.4189999999999999E-2</c:v>
                </c:pt>
                <c:pt idx="141">
                  <c:v>1.41E-2</c:v>
                </c:pt>
                <c:pt idx="142">
                  <c:v>1.4069999999999999E-2</c:v>
                </c:pt>
                <c:pt idx="143">
                  <c:v>1.3690000000000001E-2</c:v>
                </c:pt>
                <c:pt idx="144">
                  <c:v>1.414E-2</c:v>
                </c:pt>
                <c:pt idx="145">
                  <c:v>1.417E-2</c:v>
                </c:pt>
                <c:pt idx="146">
                  <c:v>1.4239999999999999E-2</c:v>
                </c:pt>
                <c:pt idx="147">
                  <c:v>1.418E-2</c:v>
                </c:pt>
                <c:pt idx="148">
                  <c:v>1.4239999999999999E-2</c:v>
                </c:pt>
                <c:pt idx="149">
                  <c:v>1.431E-2</c:v>
                </c:pt>
                <c:pt idx="150">
                  <c:v>1.477E-2</c:v>
                </c:pt>
                <c:pt idx="151">
                  <c:v>1.4789999999999999E-2</c:v>
                </c:pt>
                <c:pt idx="152">
                  <c:v>1.4189999999999999E-2</c:v>
                </c:pt>
                <c:pt idx="153">
                  <c:v>1.4189999999999999E-2</c:v>
                </c:pt>
                <c:pt idx="154">
                  <c:v>1.423E-2</c:v>
                </c:pt>
                <c:pt idx="155">
                  <c:v>1.421E-2</c:v>
                </c:pt>
                <c:pt idx="156">
                  <c:v>1.423E-2</c:v>
                </c:pt>
                <c:pt idx="157">
                  <c:v>1.4160000000000001E-2</c:v>
                </c:pt>
                <c:pt idx="158">
                  <c:v>1.413E-2</c:v>
                </c:pt>
                <c:pt idx="159">
                  <c:v>1.423E-2</c:v>
                </c:pt>
                <c:pt idx="160">
                  <c:v>1.4160000000000001E-2</c:v>
                </c:pt>
                <c:pt idx="161">
                  <c:v>1.418E-2</c:v>
                </c:pt>
                <c:pt idx="162">
                  <c:v>1.414E-2</c:v>
                </c:pt>
                <c:pt idx="163">
                  <c:v>1.4239999999999999E-2</c:v>
                </c:pt>
                <c:pt idx="164">
                  <c:v>1.388E-2</c:v>
                </c:pt>
                <c:pt idx="165">
                  <c:v>1.421E-2</c:v>
                </c:pt>
                <c:pt idx="166">
                  <c:v>1.4200000000000001E-2</c:v>
                </c:pt>
                <c:pt idx="167">
                  <c:v>1.409E-2</c:v>
                </c:pt>
                <c:pt idx="168">
                  <c:v>1.4109999999999999E-2</c:v>
                </c:pt>
                <c:pt idx="169">
                  <c:v>1.4149999999999999E-2</c:v>
                </c:pt>
                <c:pt idx="170">
                  <c:v>1.4080000000000001E-2</c:v>
                </c:pt>
                <c:pt idx="171">
                  <c:v>1.4239999999999999E-2</c:v>
                </c:pt>
                <c:pt idx="172">
                  <c:v>1.4160000000000001E-2</c:v>
                </c:pt>
                <c:pt idx="173">
                  <c:v>1.421E-2</c:v>
                </c:pt>
                <c:pt idx="174">
                  <c:v>1.423E-2</c:v>
                </c:pt>
                <c:pt idx="175">
                  <c:v>1.423E-2</c:v>
                </c:pt>
                <c:pt idx="176">
                  <c:v>1.426E-2</c:v>
                </c:pt>
                <c:pt idx="177">
                  <c:v>1.409E-2</c:v>
                </c:pt>
                <c:pt idx="178">
                  <c:v>1.41E-2</c:v>
                </c:pt>
                <c:pt idx="179">
                  <c:v>1.4189999999999999E-2</c:v>
                </c:pt>
                <c:pt idx="180">
                  <c:v>1.422E-2</c:v>
                </c:pt>
                <c:pt idx="181">
                  <c:v>1.421E-2</c:v>
                </c:pt>
                <c:pt idx="182">
                  <c:v>1.413E-2</c:v>
                </c:pt>
                <c:pt idx="183">
                  <c:v>1.4160000000000001E-2</c:v>
                </c:pt>
                <c:pt idx="184">
                  <c:v>1.4250000000000001E-2</c:v>
                </c:pt>
                <c:pt idx="185">
                  <c:v>1.4189999999999999E-2</c:v>
                </c:pt>
                <c:pt idx="186">
                  <c:v>1.417E-2</c:v>
                </c:pt>
                <c:pt idx="187">
                  <c:v>1.409E-2</c:v>
                </c:pt>
                <c:pt idx="188">
                  <c:v>1.436E-2</c:v>
                </c:pt>
                <c:pt idx="189">
                  <c:v>1.423E-2</c:v>
                </c:pt>
                <c:pt idx="190">
                  <c:v>1.422E-2</c:v>
                </c:pt>
                <c:pt idx="191">
                  <c:v>1.4189999999999999E-2</c:v>
                </c:pt>
                <c:pt idx="192">
                  <c:v>1.421E-2</c:v>
                </c:pt>
                <c:pt idx="193">
                  <c:v>1.417E-2</c:v>
                </c:pt>
                <c:pt idx="194">
                  <c:v>1.421E-2</c:v>
                </c:pt>
                <c:pt idx="195">
                  <c:v>1.417E-2</c:v>
                </c:pt>
                <c:pt idx="196">
                  <c:v>1.417E-2</c:v>
                </c:pt>
                <c:pt idx="197">
                  <c:v>1.4250000000000001E-2</c:v>
                </c:pt>
                <c:pt idx="198">
                  <c:v>1.4189999999999999E-2</c:v>
                </c:pt>
                <c:pt idx="199">
                  <c:v>1.3809999999999999E-2</c:v>
                </c:pt>
                <c:pt idx="200">
                  <c:v>1.4160000000000001E-2</c:v>
                </c:pt>
                <c:pt idx="201">
                  <c:v>1.43E-2</c:v>
                </c:pt>
                <c:pt idx="202">
                  <c:v>1.43E-2</c:v>
                </c:pt>
                <c:pt idx="203">
                  <c:v>1.422E-2</c:v>
                </c:pt>
                <c:pt idx="204">
                  <c:v>1.427E-2</c:v>
                </c:pt>
                <c:pt idx="205">
                  <c:v>1.427E-2</c:v>
                </c:pt>
                <c:pt idx="206">
                  <c:v>1.384E-2</c:v>
                </c:pt>
                <c:pt idx="207">
                  <c:v>1.421E-2</c:v>
                </c:pt>
                <c:pt idx="208">
                  <c:v>1.443E-2</c:v>
                </c:pt>
                <c:pt idx="209">
                  <c:v>1.4250000000000001E-2</c:v>
                </c:pt>
                <c:pt idx="210">
                  <c:v>1.427E-2</c:v>
                </c:pt>
                <c:pt idx="211">
                  <c:v>1.423E-2</c:v>
                </c:pt>
                <c:pt idx="212">
                  <c:v>1.4319999999999999E-2</c:v>
                </c:pt>
                <c:pt idx="213">
                  <c:v>1.422E-2</c:v>
                </c:pt>
                <c:pt idx="214">
                  <c:v>1.418E-2</c:v>
                </c:pt>
                <c:pt idx="215">
                  <c:v>1.4319999999999999E-2</c:v>
                </c:pt>
                <c:pt idx="216">
                  <c:v>1.423E-2</c:v>
                </c:pt>
                <c:pt idx="217">
                  <c:v>1.417E-2</c:v>
                </c:pt>
                <c:pt idx="218">
                  <c:v>1.4200000000000001E-2</c:v>
                </c:pt>
                <c:pt idx="219">
                  <c:v>1.418E-2</c:v>
                </c:pt>
                <c:pt idx="220">
                  <c:v>1.4189999999999999E-2</c:v>
                </c:pt>
                <c:pt idx="221">
                  <c:v>1.4200000000000001E-2</c:v>
                </c:pt>
                <c:pt idx="222">
                  <c:v>1.414E-2</c:v>
                </c:pt>
                <c:pt idx="223">
                  <c:v>1.4200000000000001E-2</c:v>
                </c:pt>
                <c:pt idx="224">
                  <c:v>1.423E-2</c:v>
                </c:pt>
                <c:pt idx="225">
                  <c:v>1.388E-2</c:v>
                </c:pt>
                <c:pt idx="226">
                  <c:v>1.423E-2</c:v>
                </c:pt>
                <c:pt idx="227">
                  <c:v>1.4279999999999999E-2</c:v>
                </c:pt>
                <c:pt idx="228">
                  <c:v>1.4319999999999999E-2</c:v>
                </c:pt>
                <c:pt idx="229">
                  <c:v>1.426E-2</c:v>
                </c:pt>
                <c:pt idx="230">
                  <c:v>1.426E-2</c:v>
                </c:pt>
                <c:pt idx="231">
                  <c:v>1.427E-2</c:v>
                </c:pt>
                <c:pt idx="232">
                  <c:v>1.4279999999999999E-2</c:v>
                </c:pt>
                <c:pt idx="233">
                  <c:v>1.423E-2</c:v>
                </c:pt>
                <c:pt idx="234">
                  <c:v>1.43E-2</c:v>
                </c:pt>
                <c:pt idx="235">
                  <c:v>1.4239999999999999E-2</c:v>
                </c:pt>
                <c:pt idx="236">
                  <c:v>1.426E-2</c:v>
                </c:pt>
                <c:pt idx="237">
                  <c:v>1.413E-2</c:v>
                </c:pt>
                <c:pt idx="238">
                  <c:v>1.423E-2</c:v>
                </c:pt>
                <c:pt idx="239">
                  <c:v>1.4080000000000001E-2</c:v>
                </c:pt>
                <c:pt idx="240">
                  <c:v>1.418E-2</c:v>
                </c:pt>
              </c:numCache>
            </c:numRef>
          </c:val>
          <c:smooth val="1"/>
          <c:extLst>
            <c:ext xmlns:c16="http://schemas.microsoft.com/office/drawing/2014/chart" uri="{C3380CC4-5D6E-409C-BE32-E72D297353CC}">
              <c16:uniqueId val="{00000000-5060-844F-8F38-6D64D445EB46}"/>
            </c:ext>
          </c:extLst>
        </c:ser>
        <c:dLbls>
          <c:showLegendKey val="0"/>
          <c:showVal val="0"/>
          <c:showCatName val="0"/>
          <c:showSerName val="0"/>
          <c:showPercent val="0"/>
          <c:showBubbleSize val="0"/>
        </c:dLbls>
        <c:smooth val="0"/>
        <c:axId val="58325728"/>
        <c:axId val="1"/>
      </c:lineChart>
      <c:dateAx>
        <c:axId val="58325728"/>
        <c:scaling>
          <c:orientation val="minMax"/>
        </c:scaling>
        <c:delete val="0"/>
        <c:axPos val="b"/>
        <c:numFmt formatCode="m/d/yy" sourceLinked="1"/>
        <c:majorTickMark val="none"/>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50" b="0" i="0" u="none" strike="noStrike" kern="1200" baseline="0">
                <a:solidFill>
                  <a:srgbClr val="000000"/>
                </a:solidFill>
                <a:latin typeface="Arial"/>
                <a:ea typeface="Arial"/>
                <a:cs typeface="Arial"/>
              </a:defRPr>
            </a:pPr>
            <a:endParaRPr lang="en-US"/>
          </a:p>
        </c:txPr>
        <c:crossAx val="1"/>
        <c:crosses val="autoZero"/>
        <c:auto val="1"/>
        <c:lblOffset val="100"/>
        <c:baseTimeUnit val="days"/>
      </c:dateAx>
      <c:valAx>
        <c:axId val="1"/>
        <c:scaling>
          <c:orientation val="minMax"/>
        </c:scaling>
        <c:delete val="0"/>
        <c:axPos val="l"/>
        <c:numFmt formatCode="0.00%" sourceLinked="0"/>
        <c:majorTickMark val="none"/>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50" b="0" i="0" u="none" strike="noStrike" kern="1200" baseline="0">
                <a:solidFill>
                  <a:srgbClr val="000000"/>
                </a:solidFill>
                <a:latin typeface="Arial"/>
                <a:ea typeface="Arial"/>
                <a:cs typeface="Arial"/>
              </a:defRPr>
            </a:pPr>
            <a:endParaRPr lang="en-US"/>
          </a:p>
        </c:txPr>
        <c:crossAx val="58325728"/>
        <c:crosses val="autoZero"/>
        <c:crossBetween val="between"/>
      </c:valAx>
      <c:spPr>
        <a:noFill/>
        <a:ln w="12700">
          <a:solidFill>
            <a:srgbClr val="808080"/>
          </a:solidFill>
          <a:prstDash val="solid"/>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cap="flat" cmpd="sng" algn="ctr">
      <a:solidFill>
        <a:srgbClr val="000000"/>
      </a:solidFill>
      <a:prstDash val="solid"/>
      <a:round/>
    </a:ln>
    <a:effectLst/>
  </c:spPr>
  <c:txPr>
    <a:bodyPr/>
    <a:lstStyle/>
    <a:p>
      <a:pPr>
        <a:defRPr sz="800" b="0" i="0" u="none" strike="noStrike" baseline="0">
          <a:solidFill>
            <a:srgbClr val="000000"/>
          </a:solidFill>
          <a:latin typeface="Arial"/>
          <a:ea typeface="Arial"/>
          <a:cs typeface="Arial"/>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lineChart>
        <c:grouping val="standard"/>
        <c:varyColors val="0"/>
        <c:ser>
          <c:idx val="0"/>
          <c:order val="0"/>
          <c:tx>
            <c:strRef>
              <c:f>'Model MONIA forward'!$Q$11</c:f>
              <c:strCache>
                <c:ptCount val="1"/>
                <c:pt idx="0">
                  <c:v>MONIA forward</c:v>
                </c:pt>
              </c:strCache>
            </c:strRef>
          </c:tx>
          <c:spPr>
            <a:ln>
              <a:solidFill>
                <a:srgbClr val="FF0000"/>
              </a:solidFill>
            </a:ln>
          </c:spPr>
          <c:marker>
            <c:symbol val="none"/>
          </c:marker>
          <c:cat>
            <c:strRef>
              <c:f>'Model MONIA forward'!$Q$13:$Q$18</c:f>
              <c:strCache>
                <c:ptCount val="6"/>
                <c:pt idx="0">
                  <c:v>1 week</c:v>
                </c:pt>
                <c:pt idx="1">
                  <c:v>2 week</c:v>
                </c:pt>
                <c:pt idx="2">
                  <c:v>1 month</c:v>
                </c:pt>
                <c:pt idx="3">
                  <c:v>3 month</c:v>
                </c:pt>
                <c:pt idx="4">
                  <c:v>6 month</c:v>
                </c:pt>
                <c:pt idx="5">
                  <c:v>12 month</c:v>
                </c:pt>
              </c:strCache>
            </c:strRef>
          </c:cat>
          <c:val>
            <c:numRef>
              <c:f>'Model MONIA forward'!$R$13:$R$18</c:f>
              <c:numCache>
                <c:formatCode>0.000%</c:formatCode>
                <c:ptCount val="6"/>
                <c:pt idx="0">
                  <c:v>1.4201438315833823E-2</c:v>
                </c:pt>
                <c:pt idx="1">
                  <c:v>1.4236272947704291E-2</c:v>
                </c:pt>
                <c:pt idx="2">
                  <c:v>1.4697459383163469E-2</c:v>
                </c:pt>
                <c:pt idx="3">
                  <c:v>1.4404609599509399E-2</c:v>
                </c:pt>
                <c:pt idx="4">
                  <c:v>1.4329259540568184E-2</c:v>
                </c:pt>
                <c:pt idx="5">
                  <c:v>1.7417469241988878E-2</c:v>
                </c:pt>
              </c:numCache>
            </c:numRef>
          </c:val>
          <c:smooth val="0"/>
          <c:extLst>
            <c:ext xmlns:c16="http://schemas.microsoft.com/office/drawing/2014/chart" uri="{C3380CC4-5D6E-409C-BE32-E72D297353CC}">
              <c16:uniqueId val="{00000000-A708-AE4E-A87C-8AD793A7AB83}"/>
            </c:ext>
          </c:extLst>
        </c:ser>
        <c:dLbls>
          <c:showLegendKey val="0"/>
          <c:showVal val="0"/>
          <c:showCatName val="0"/>
          <c:showSerName val="0"/>
          <c:showPercent val="0"/>
          <c:showBubbleSize val="0"/>
        </c:dLbls>
        <c:smooth val="0"/>
        <c:axId val="58325728"/>
        <c:axId val="1"/>
      </c:lineChart>
      <c:catAx>
        <c:axId val="58325728"/>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a:pPr>
            <a:endParaRPr lang="en-US"/>
          </a:p>
        </c:txPr>
        <c:crossAx val="1"/>
        <c:crosses val="autoZero"/>
        <c:auto val="1"/>
        <c:lblAlgn val="ctr"/>
        <c:lblOffset val="100"/>
        <c:noMultiLvlLbl val="0"/>
      </c:catAx>
      <c:valAx>
        <c:axId val="1"/>
        <c:scaling>
          <c:orientation val="minMax"/>
        </c:scaling>
        <c:delete val="0"/>
        <c:axPos val="l"/>
        <c:numFmt formatCode="0.00%" sourceLinked="0"/>
        <c:majorTickMark val="none"/>
        <c:minorTickMark val="none"/>
        <c:tickLblPos val="nextTo"/>
        <c:spPr>
          <a:ln w="3175">
            <a:solidFill>
              <a:srgbClr val="000000"/>
            </a:solidFill>
            <a:prstDash val="solid"/>
          </a:ln>
        </c:spPr>
        <c:txPr>
          <a:bodyPr rot="0" vert="horz"/>
          <a:lstStyle/>
          <a:p>
            <a:pPr>
              <a:defRPr/>
            </a:pPr>
            <a:endParaRPr lang="en-US"/>
          </a:p>
        </c:txPr>
        <c:crossAx val="58325728"/>
        <c:crosses val="autoZero"/>
        <c:crossBetween val="between"/>
      </c:valAx>
      <c:spPr>
        <a:noFill/>
        <a:ln w="12700">
          <a:solidFill>
            <a:srgbClr val="808080"/>
          </a:solidFill>
          <a:prstDash val="solid"/>
        </a:ln>
      </c:spPr>
    </c:plotArea>
    <c:legend>
      <c:legendPos val="b"/>
      <c:overlay val="0"/>
    </c:legend>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t>Nelson-Seigel-Svensson </a:t>
            </a:r>
            <a:r>
              <a:rPr lang="fr-FR" b="1" baseline="0"/>
              <a:t>yield curve on MONIA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'MONIA-SOFR average Index model '!$T$12</c:f>
              <c:strCache>
                <c:ptCount val="1"/>
                <c:pt idx="0">
                  <c:v>Spot rates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'MONIA-SOFR average Index model '!$R$13:$R$23</c:f>
              <c:strCache>
                <c:ptCount val="11"/>
                <c:pt idx="0">
                  <c:v>1S</c:v>
                </c:pt>
                <c:pt idx="1">
                  <c:v>1M</c:v>
                </c:pt>
                <c:pt idx="2">
                  <c:v>2M</c:v>
                </c:pt>
                <c:pt idx="3">
                  <c:v>3M</c:v>
                </c:pt>
                <c:pt idx="4">
                  <c:v>4M</c:v>
                </c:pt>
                <c:pt idx="5">
                  <c:v>5M</c:v>
                </c:pt>
                <c:pt idx="6">
                  <c:v>6M</c:v>
                </c:pt>
                <c:pt idx="7">
                  <c:v>7M</c:v>
                </c:pt>
                <c:pt idx="8">
                  <c:v>8M</c:v>
                </c:pt>
                <c:pt idx="9">
                  <c:v>9M</c:v>
                </c:pt>
                <c:pt idx="10">
                  <c:v>1A</c:v>
                </c:pt>
              </c:strCache>
            </c:strRef>
          </c:cat>
          <c:val>
            <c:numRef>
              <c:f>'MONIA-SOFR average Index model '!$T$13:$T$23</c:f>
              <c:numCache>
                <c:formatCode>0.000%</c:formatCode>
                <c:ptCount val="11"/>
                <c:pt idx="1">
                  <c:v>2.1964492783904888E-2</c:v>
                </c:pt>
                <c:pt idx="2">
                  <c:v>2.1967757610428598E-2</c:v>
                </c:pt>
                <c:pt idx="3">
                  <c:v>2.1953454206723677E-2</c:v>
                </c:pt>
              </c:numCache>
            </c:numRef>
          </c:val>
          <c:smooth val="0"/>
          <c:extLst>
            <c:ext xmlns:c16="http://schemas.microsoft.com/office/drawing/2014/chart" uri="{C3380CC4-5D6E-409C-BE32-E72D297353CC}">
              <c16:uniqueId val="{00000000-577C-B847-8D72-9004BF3902A4}"/>
            </c:ext>
          </c:extLst>
        </c:ser>
        <c:ser>
          <c:idx val="1"/>
          <c:order val="1"/>
          <c:tx>
            <c:strRef>
              <c:f>'MONIA-SOFR average Index model '!$U$12</c:f>
              <c:strCache>
                <c:ptCount val="1"/>
                <c:pt idx="0">
                  <c:v>NSS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'MONIA-SOFR average Index model '!$R$13:$R$23</c:f>
              <c:strCache>
                <c:ptCount val="11"/>
                <c:pt idx="0">
                  <c:v>1S</c:v>
                </c:pt>
                <c:pt idx="1">
                  <c:v>1M</c:v>
                </c:pt>
                <c:pt idx="2">
                  <c:v>2M</c:v>
                </c:pt>
                <c:pt idx="3">
                  <c:v>3M</c:v>
                </c:pt>
                <c:pt idx="4">
                  <c:v>4M</c:v>
                </c:pt>
                <c:pt idx="5">
                  <c:v>5M</c:v>
                </c:pt>
                <c:pt idx="6">
                  <c:v>6M</c:v>
                </c:pt>
                <c:pt idx="7">
                  <c:v>7M</c:v>
                </c:pt>
                <c:pt idx="8">
                  <c:v>8M</c:v>
                </c:pt>
                <c:pt idx="9">
                  <c:v>9M</c:v>
                </c:pt>
                <c:pt idx="10">
                  <c:v>1A</c:v>
                </c:pt>
              </c:strCache>
            </c:strRef>
          </c:cat>
          <c:val>
            <c:numRef>
              <c:f>'MONIA-SOFR average Index model '!$U$13:$U$21</c:f>
              <c:numCache>
                <c:formatCode>0.000%</c:formatCode>
                <c:ptCount val="9"/>
                <c:pt idx="0">
                  <c:v>2.1966785675502809E-2</c:v>
                </c:pt>
                <c:pt idx="1">
                  <c:v>2.1990822368485968E-2</c:v>
                </c:pt>
                <c:pt idx="2">
                  <c:v>2.1985119116779275E-2</c:v>
                </c:pt>
                <c:pt idx="3">
                  <c:v>2.1941804814962145E-2</c:v>
                </c:pt>
                <c:pt idx="4">
                  <c:v>2.186627399003517E-2</c:v>
                </c:pt>
                <c:pt idx="5">
                  <c:v>2.1763304162492319E-2</c:v>
                </c:pt>
                <c:pt idx="6">
                  <c:v>2.1637121137682944E-2</c:v>
                </c:pt>
                <c:pt idx="7">
                  <c:v>2.1491457636947417E-2</c:v>
                </c:pt>
                <c:pt idx="8">
                  <c:v>2.1329605934227298E-2</c:v>
                </c:pt>
              </c:numCache>
            </c:numRef>
          </c:val>
          <c:smooth val="0"/>
          <c:extLst>
            <c:ext xmlns:c16="http://schemas.microsoft.com/office/drawing/2014/chart" uri="{C3380CC4-5D6E-409C-BE32-E72D297353CC}">
              <c16:uniqueId val="{00000001-577C-B847-8D72-9004BF3902A4}"/>
            </c:ext>
          </c:extLst>
        </c:ser>
        <c:ser>
          <c:idx val="2"/>
          <c:order val="2"/>
          <c:tx>
            <c:v>Inferred compound rates</c:v>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'MONIA-SOFR average Index model '!$R$13:$R$23</c:f>
              <c:strCache>
                <c:ptCount val="11"/>
                <c:pt idx="0">
                  <c:v>1S</c:v>
                </c:pt>
                <c:pt idx="1">
                  <c:v>1M</c:v>
                </c:pt>
                <c:pt idx="2">
                  <c:v>2M</c:v>
                </c:pt>
                <c:pt idx="3">
                  <c:v>3M</c:v>
                </c:pt>
                <c:pt idx="4">
                  <c:v>4M</c:v>
                </c:pt>
                <c:pt idx="5">
                  <c:v>5M</c:v>
                </c:pt>
                <c:pt idx="6">
                  <c:v>6M</c:v>
                </c:pt>
                <c:pt idx="7">
                  <c:v>7M</c:v>
                </c:pt>
                <c:pt idx="8">
                  <c:v>8M</c:v>
                </c:pt>
                <c:pt idx="9">
                  <c:v>9M</c:v>
                </c:pt>
                <c:pt idx="10">
                  <c:v>1A</c:v>
                </c:pt>
              </c:strCache>
            </c:strRef>
          </c:cat>
          <c:val>
            <c:numRef>
              <c:f>'MONIA-SOFR average Index model '!$T$2:$T$4</c:f>
              <c:numCache>
                <c:formatCode>0.000%</c:formatCode>
                <c:ptCount val="3"/>
                <c:pt idx="0">
                  <c:v>2.1964492783904888E-2</c:v>
                </c:pt>
                <c:pt idx="1">
                  <c:v>2.1967757610428598E-2</c:v>
                </c:pt>
                <c:pt idx="2">
                  <c:v>2.1708018303499443E-2</c:v>
                </c:pt>
              </c:numCache>
            </c:numRef>
          </c:val>
          <c:smooth val="0"/>
          <c:extLst>
            <c:ext xmlns:c16="http://schemas.microsoft.com/office/drawing/2014/chart" uri="{C3380CC4-5D6E-409C-BE32-E72D297353CC}">
              <c16:uniqueId val="{00000002-577C-B847-8D72-9004BF3902A4}"/>
            </c:ext>
          </c:extLst>
        </c:ser>
        <c:dLbls>
          <c:showLegendKey val="0"/>
          <c:showVal val="0"/>
          <c:showCatName val="0"/>
          <c:showSerName val="0"/>
          <c:showPercent val="0"/>
          <c:showBubbleSize val="0"/>
        </c:dLbls>
        <c:marker val="1"/>
        <c:smooth val="0"/>
        <c:axId val="1031098255"/>
        <c:axId val="1030877119"/>
      </c:lineChart>
      <c:catAx>
        <c:axId val="10310982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b="1"/>
                  <a:t>Maturity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0877119"/>
        <c:crosses val="autoZero"/>
        <c:auto val="1"/>
        <c:lblAlgn val="ctr"/>
        <c:lblOffset val="100"/>
        <c:noMultiLvlLbl val="0"/>
      </c:catAx>
      <c:valAx>
        <c:axId val="1030877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b="1"/>
                  <a:t>Yields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0982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strRef>
              <c:f>'MONIA-SOFR average Index model '!$C$1</c:f>
              <c:strCache>
                <c:ptCount val="1"/>
                <c:pt idx="0">
                  <c:v>Taux MONIA</c:v>
                </c:pt>
              </c:strCache>
            </c:strRef>
          </c:tx>
          <c:spPr>
            <a:ln w="19050" cap="rnd" cmpd="sng" algn="ctr">
              <a:solidFill>
                <a:schemeClr val="accent4"/>
              </a:solidFill>
              <a:prstDash val="solid"/>
              <a:round/>
            </a:ln>
            <a:effectLst/>
          </c:spPr>
          <c:marker>
            <c:spPr>
              <a:solidFill>
                <a:schemeClr val="accent4"/>
              </a:solidFill>
              <a:ln w="6350" cap="flat" cmpd="sng" algn="ctr">
                <a:solidFill>
                  <a:schemeClr val="accent4"/>
                </a:solidFill>
                <a:prstDash val="solid"/>
                <a:round/>
              </a:ln>
              <a:effectLst/>
            </c:spPr>
          </c:marker>
          <c:xVal>
            <c:numRef>
              <c:f>'MONIA-SOFR average Index model '!$B$2:$B$64</c:f>
              <c:numCache>
                <c:formatCode>m/d/yy</c:formatCode>
                <c:ptCount val="63"/>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43885</c:v>
                </c:pt>
                <c:pt idx="38">
                  <c:v>43886</c:v>
                </c:pt>
                <c:pt idx="39">
                  <c:v>43887</c:v>
                </c:pt>
                <c:pt idx="40">
                  <c:v>43888</c:v>
                </c:pt>
                <c:pt idx="41">
                  <c:v>43889</c:v>
                </c:pt>
                <c:pt idx="42">
                  <c:v>43892</c:v>
                </c:pt>
                <c:pt idx="43">
                  <c:v>43893</c:v>
                </c:pt>
                <c:pt idx="44">
                  <c:v>43894</c:v>
                </c:pt>
                <c:pt idx="45">
                  <c:v>43895</c:v>
                </c:pt>
                <c:pt idx="46">
                  <c:v>43896</c:v>
                </c:pt>
                <c:pt idx="47">
                  <c:v>43899</c:v>
                </c:pt>
                <c:pt idx="48">
                  <c:v>43900</c:v>
                </c:pt>
                <c:pt idx="49">
                  <c:v>43901</c:v>
                </c:pt>
                <c:pt idx="50">
                  <c:v>43902</c:v>
                </c:pt>
                <c:pt idx="51">
                  <c:v>43903</c:v>
                </c:pt>
                <c:pt idx="52">
                  <c:v>43906</c:v>
                </c:pt>
                <c:pt idx="53">
                  <c:v>43907</c:v>
                </c:pt>
                <c:pt idx="54">
                  <c:v>43908</c:v>
                </c:pt>
                <c:pt idx="55">
                  <c:v>43909</c:v>
                </c:pt>
                <c:pt idx="56">
                  <c:v>43910</c:v>
                </c:pt>
                <c:pt idx="57">
                  <c:v>43913</c:v>
                </c:pt>
                <c:pt idx="58">
                  <c:v>43914</c:v>
                </c:pt>
                <c:pt idx="59">
                  <c:v>43915</c:v>
                </c:pt>
                <c:pt idx="60">
                  <c:v>43916</c:v>
                </c:pt>
                <c:pt idx="61">
                  <c:v>43917</c:v>
                </c:pt>
                <c:pt idx="62">
                  <c:v>43920</c:v>
                </c:pt>
              </c:numCache>
            </c:numRef>
          </c:xVal>
          <c:yVal>
            <c:numRef>
              <c:f>'MONIA-SOFR average Index model '!$C$2:$C$64</c:f>
              <c:numCache>
                <c:formatCode>0.000%</c:formatCode>
                <c:ptCount val="63"/>
                <c:pt idx="0">
                  <c:v>2.223E-2</c:v>
                </c:pt>
                <c:pt idx="1">
                  <c:v>2.197E-2</c:v>
                </c:pt>
                <c:pt idx="2">
                  <c:v>2.1829999999999999E-2</c:v>
                </c:pt>
                <c:pt idx="3">
                  <c:v>2.1930000000000002E-2</c:v>
                </c:pt>
                <c:pt idx="4">
                  <c:v>2.172E-2</c:v>
                </c:pt>
                <c:pt idx="5">
                  <c:v>2.1760000000000002E-2</c:v>
                </c:pt>
                <c:pt idx="6">
                  <c:v>2.172E-2</c:v>
                </c:pt>
                <c:pt idx="7">
                  <c:v>2.18E-2</c:v>
                </c:pt>
                <c:pt idx="8">
                  <c:v>2.1999999999999999E-2</c:v>
                </c:pt>
                <c:pt idx="9">
                  <c:v>2.1760000000000002E-2</c:v>
                </c:pt>
                <c:pt idx="10">
                  <c:v>2.164E-2</c:v>
                </c:pt>
                <c:pt idx="11">
                  <c:v>2.1610000000000001E-2</c:v>
                </c:pt>
                <c:pt idx="12">
                  <c:v>2.1999999999999999E-2</c:v>
                </c:pt>
                <c:pt idx="13">
                  <c:v>2.1770000000000001E-2</c:v>
                </c:pt>
                <c:pt idx="14">
                  <c:v>2.1579999999999998E-2</c:v>
                </c:pt>
                <c:pt idx="15">
                  <c:v>2.1440000000000001E-2</c:v>
                </c:pt>
                <c:pt idx="16">
                  <c:v>2.1770000000000001E-2</c:v>
                </c:pt>
                <c:pt idx="17">
                  <c:v>2.2249999999999999E-2</c:v>
                </c:pt>
                <c:pt idx="18">
                  <c:v>2.2280000000000001E-2</c:v>
                </c:pt>
                <c:pt idx="19">
                  <c:v>2.247E-2</c:v>
                </c:pt>
                <c:pt idx="20">
                  <c:v>2.2849999999999999E-2</c:v>
                </c:pt>
                <c:pt idx="21">
                  <c:v>2.2179999999999998E-2</c:v>
                </c:pt>
                <c:pt idx="22">
                  <c:v>2.247E-2</c:v>
                </c:pt>
                <c:pt idx="23">
                  <c:v>2.2110000000000001E-2</c:v>
                </c:pt>
                <c:pt idx="24">
                  <c:v>2.1780000000000001E-2</c:v>
                </c:pt>
                <c:pt idx="25">
                  <c:v>2.1399999999999999E-2</c:v>
                </c:pt>
                <c:pt idx="26">
                  <c:v>2.1700000000000001E-2</c:v>
                </c:pt>
                <c:pt idx="27">
                  <c:v>2.1729999999999999E-2</c:v>
                </c:pt>
                <c:pt idx="28">
                  <c:v>2.171E-2</c:v>
                </c:pt>
                <c:pt idx="29">
                  <c:v>2.1610000000000001E-2</c:v>
                </c:pt>
                <c:pt idx="30">
                  <c:v>2.1780000000000001E-2</c:v>
                </c:pt>
                <c:pt idx="31">
                  <c:v>2.188E-2</c:v>
                </c:pt>
                <c:pt idx="32">
                  <c:v>2.181E-2</c:v>
                </c:pt>
                <c:pt idx="33">
                  <c:v>2.1649999999999999E-2</c:v>
                </c:pt>
                <c:pt idx="34">
                  <c:v>2.205E-2</c:v>
                </c:pt>
                <c:pt idx="35">
                  <c:v>2.197E-2</c:v>
                </c:pt>
                <c:pt idx="36">
                  <c:v>2.1999999999999999E-2</c:v>
                </c:pt>
                <c:pt idx="37">
                  <c:v>2.1919999999999999E-2</c:v>
                </c:pt>
                <c:pt idx="38">
                  <c:v>2.1930000000000002E-2</c:v>
                </c:pt>
                <c:pt idx="39">
                  <c:v>2.1950000000000001E-2</c:v>
                </c:pt>
                <c:pt idx="40">
                  <c:v>2.198E-2</c:v>
                </c:pt>
                <c:pt idx="41">
                  <c:v>2.1729999999999999E-2</c:v>
                </c:pt>
                <c:pt idx="42">
                  <c:v>2.198E-2</c:v>
                </c:pt>
                <c:pt idx="43">
                  <c:v>2.188E-2</c:v>
                </c:pt>
                <c:pt idx="44">
                  <c:v>2.1850000000000001E-2</c:v>
                </c:pt>
                <c:pt idx="45">
                  <c:v>2.1919999999999999E-2</c:v>
                </c:pt>
                <c:pt idx="46">
                  <c:v>2.1999999999999999E-2</c:v>
                </c:pt>
                <c:pt idx="47">
                  <c:v>2.2020000000000001E-2</c:v>
                </c:pt>
                <c:pt idx="48">
                  <c:v>2.197E-2</c:v>
                </c:pt>
                <c:pt idx="49">
                  <c:v>2.18E-2</c:v>
                </c:pt>
                <c:pt idx="50">
                  <c:v>2.1899999999999999E-2</c:v>
                </c:pt>
                <c:pt idx="51">
                  <c:v>2.2100000000000002E-2</c:v>
                </c:pt>
                <c:pt idx="52">
                  <c:v>2.1999999999999999E-2</c:v>
                </c:pt>
                <c:pt idx="53">
                  <c:v>2.2689999999999998E-2</c:v>
                </c:pt>
                <c:pt idx="54">
                  <c:v>2.4570000000000002E-2</c:v>
                </c:pt>
                <c:pt idx="55">
                  <c:v>2.1530000000000001E-2</c:v>
                </c:pt>
                <c:pt idx="56">
                  <c:v>1.9400000000000001E-2</c:v>
                </c:pt>
                <c:pt idx="57">
                  <c:v>1.9550000000000001E-2</c:v>
                </c:pt>
                <c:pt idx="58">
                  <c:v>1.9290000000000002E-2</c:v>
                </c:pt>
                <c:pt idx="59">
                  <c:v>1.883E-2</c:v>
                </c:pt>
                <c:pt idx="60">
                  <c:v>1.925E-2</c:v>
                </c:pt>
                <c:pt idx="61">
                  <c:v>1.924E-2</c:v>
                </c:pt>
                <c:pt idx="62">
                  <c:v>1.9369999999999998E-2</c:v>
                </c:pt>
              </c:numCache>
            </c:numRef>
          </c:yVal>
          <c:smooth val="1"/>
          <c:extLst>
            <c:ext xmlns:c16="http://schemas.microsoft.com/office/drawing/2014/chart" uri="{C3380CC4-5D6E-409C-BE32-E72D297353CC}">
              <c16:uniqueId val="{00000000-89E2-4740-837B-8BBC37C7F4DB}"/>
            </c:ext>
          </c:extLst>
        </c:ser>
        <c:ser>
          <c:idx val="0"/>
          <c:order val="1"/>
          <c:tx>
            <c:v>MONIA Index</c:v>
          </c:tx>
          <c:spPr>
            <a:ln w="25400" cap="rnd" cmpd="sng" algn="ctr">
              <a:noFill/>
              <a:prstDash val="solid"/>
              <a:round/>
            </a:ln>
            <a:effectLst/>
          </c:spPr>
          <c:marker>
            <c:symbol val="circle"/>
            <c:size val="5"/>
            <c:spPr>
              <a:solidFill>
                <a:schemeClr val="accent2"/>
              </a:solidFill>
              <a:ln w="6350" cap="flat" cmpd="sng" algn="ctr">
                <a:solidFill>
                  <a:schemeClr val="accent2"/>
                </a:solidFill>
                <a:prstDash val="solid"/>
                <a:round/>
              </a:ln>
              <a:effectLst/>
            </c:spPr>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xVal>
            <c:numRef>
              <c:f>'MONIA-SOFR average Index model '!$S$7:$S$9</c:f>
              <c:numCache>
                <c:formatCode>m/d/yy</c:formatCode>
                <c:ptCount val="3"/>
                <c:pt idx="0">
                  <c:v>43831</c:v>
                </c:pt>
                <c:pt idx="1">
                  <c:v>43863</c:v>
                </c:pt>
                <c:pt idx="2">
                  <c:v>43920</c:v>
                </c:pt>
              </c:numCache>
            </c:numRef>
          </c:xVal>
          <c:yVal>
            <c:numRef>
              <c:f>'MONIA-SOFR average Index model '!$T$7:$T$9</c:f>
              <c:numCache>
                <c:formatCode>0.000%</c:formatCode>
                <c:ptCount val="3"/>
                <c:pt idx="0">
                  <c:v>2.1230863778133546E-2</c:v>
                </c:pt>
                <c:pt idx="1">
                  <c:v>-5.806451612903226</c:v>
                </c:pt>
                <c:pt idx="2">
                  <c:v>-4</c:v>
                </c:pt>
              </c:numCache>
            </c:numRef>
          </c:yVal>
          <c:smooth val="0"/>
          <c:extLst>
            <c:ext xmlns:c16="http://schemas.microsoft.com/office/drawing/2014/chart" uri="{C3380CC4-5D6E-409C-BE32-E72D297353CC}">
              <c16:uniqueId val="{00000001-89E2-4740-837B-8BBC37C7F4DB}"/>
            </c:ext>
          </c:extLst>
        </c:ser>
        <c:ser>
          <c:idx val="2"/>
          <c:order val="2"/>
          <c:tx>
            <c:v>MONIA Moyenne</c:v>
          </c:tx>
          <c:spPr>
            <a:ln w="25400" cap="rnd" cmpd="sng" algn="ctr">
              <a:noFill/>
              <a:prstDash val="solid"/>
              <a:round/>
            </a:ln>
            <a:effectLst/>
          </c:spPr>
          <c:marker>
            <c:spPr>
              <a:solidFill>
                <a:schemeClr val="accent6"/>
              </a:solidFill>
              <a:ln w="6350" cap="flat" cmpd="sng" algn="ctr">
                <a:solidFill>
                  <a:schemeClr val="accent6"/>
                </a:solidFill>
                <a:prstDash val="solid"/>
                <a:round/>
              </a:ln>
              <a:effectLst/>
            </c:spPr>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xVal>
            <c:numRef>
              <c:f>'MONIA-SOFR average Index model '!$S$2:$S$4</c:f>
              <c:numCache>
                <c:formatCode>m/d/yy</c:formatCode>
                <c:ptCount val="3"/>
                <c:pt idx="0">
                  <c:v>43831</c:v>
                </c:pt>
                <c:pt idx="1">
                  <c:v>43863</c:v>
                </c:pt>
                <c:pt idx="2">
                  <c:v>43920</c:v>
                </c:pt>
              </c:numCache>
            </c:numRef>
          </c:xVal>
          <c:yVal>
            <c:numRef>
              <c:f>'MONIA-SOFR average Index model '!$T$2:$T$4</c:f>
              <c:numCache>
                <c:formatCode>0.000%</c:formatCode>
                <c:ptCount val="3"/>
                <c:pt idx="0">
                  <c:v>2.1964492783904888E-2</c:v>
                </c:pt>
                <c:pt idx="1">
                  <c:v>2.1967757610428598E-2</c:v>
                </c:pt>
                <c:pt idx="2">
                  <c:v>2.1708018303499443E-2</c:v>
                </c:pt>
              </c:numCache>
            </c:numRef>
          </c:yVal>
          <c:smooth val="0"/>
          <c:extLst>
            <c:ext xmlns:c16="http://schemas.microsoft.com/office/drawing/2014/chart" uri="{C3380CC4-5D6E-409C-BE32-E72D297353CC}">
              <c16:uniqueId val="{00000002-89E2-4740-837B-8BBC37C7F4DB}"/>
            </c:ext>
          </c:extLst>
        </c:ser>
        <c:dLbls>
          <c:showLegendKey val="0"/>
          <c:showVal val="0"/>
          <c:showCatName val="0"/>
          <c:showSerName val="0"/>
          <c:showPercent val="0"/>
          <c:showBubbleSize val="0"/>
        </c:dLbls>
        <c:axId val="223046735"/>
        <c:axId val="246787023"/>
      </c:scatterChart>
      <c:scatterChart>
        <c:scatterStyle val="smoothMarker"/>
        <c:varyColors val="0"/>
        <c:ser>
          <c:idx val="3"/>
          <c:order val="3"/>
          <c:tx>
            <c:v>TMIB</c:v>
          </c:tx>
          <c:spPr>
            <a:ln w="19050" cap="rnd" cmpd="sng" algn="ctr">
              <a:solidFill>
                <a:schemeClr val="accent2">
                  <a:lumMod val="60000"/>
                </a:schemeClr>
              </a:solidFill>
              <a:prstDash val="solid"/>
              <a:round/>
            </a:ln>
            <a:effectLst/>
          </c:spPr>
          <c:marker>
            <c:spPr>
              <a:noFill/>
              <a:ln w="6350" cap="flat" cmpd="sng" algn="ctr">
                <a:solidFill>
                  <a:schemeClr val="accent2">
                    <a:lumMod val="60000"/>
                  </a:schemeClr>
                </a:solidFill>
                <a:prstDash val="solid"/>
                <a:round/>
              </a:ln>
              <a:effectLst/>
            </c:spPr>
          </c:marker>
          <c:xVal>
            <c:numRef>
              <c:f>'[1]TMIB calculation'!$A$4:$A$151</c:f>
              <c:numCache>
                <c:formatCode>General</c:formatCode>
                <c:ptCount val="148"/>
                <c:pt idx="0">
                  <c:v>43979</c:v>
                </c:pt>
                <c:pt idx="1">
                  <c:v>43978</c:v>
                </c:pt>
                <c:pt idx="2">
                  <c:v>43977</c:v>
                </c:pt>
                <c:pt idx="3">
                  <c:v>43976</c:v>
                </c:pt>
                <c:pt idx="4">
                  <c:v>43975</c:v>
                </c:pt>
                <c:pt idx="5">
                  <c:v>43974</c:v>
                </c:pt>
                <c:pt idx="6">
                  <c:v>43973</c:v>
                </c:pt>
                <c:pt idx="7">
                  <c:v>43972</c:v>
                </c:pt>
                <c:pt idx="8">
                  <c:v>43971</c:v>
                </c:pt>
                <c:pt idx="9">
                  <c:v>43970</c:v>
                </c:pt>
                <c:pt idx="10">
                  <c:v>43969</c:v>
                </c:pt>
                <c:pt idx="11">
                  <c:v>43968</c:v>
                </c:pt>
                <c:pt idx="12">
                  <c:v>43967</c:v>
                </c:pt>
                <c:pt idx="13">
                  <c:v>43966</c:v>
                </c:pt>
                <c:pt idx="14">
                  <c:v>43965</c:v>
                </c:pt>
                <c:pt idx="15">
                  <c:v>43964</c:v>
                </c:pt>
                <c:pt idx="16">
                  <c:v>43963</c:v>
                </c:pt>
                <c:pt idx="17">
                  <c:v>43962</c:v>
                </c:pt>
                <c:pt idx="18">
                  <c:v>43961</c:v>
                </c:pt>
                <c:pt idx="19">
                  <c:v>43960</c:v>
                </c:pt>
                <c:pt idx="20">
                  <c:v>43959</c:v>
                </c:pt>
                <c:pt idx="21">
                  <c:v>43958</c:v>
                </c:pt>
                <c:pt idx="22">
                  <c:v>43957</c:v>
                </c:pt>
                <c:pt idx="23">
                  <c:v>43956</c:v>
                </c:pt>
                <c:pt idx="24">
                  <c:v>43955</c:v>
                </c:pt>
                <c:pt idx="25">
                  <c:v>43954</c:v>
                </c:pt>
                <c:pt idx="26">
                  <c:v>43953</c:v>
                </c:pt>
                <c:pt idx="27">
                  <c:v>43952</c:v>
                </c:pt>
                <c:pt idx="28">
                  <c:v>43951</c:v>
                </c:pt>
                <c:pt idx="29">
                  <c:v>43950</c:v>
                </c:pt>
                <c:pt idx="30">
                  <c:v>43949</c:v>
                </c:pt>
                <c:pt idx="31">
                  <c:v>43948</c:v>
                </c:pt>
                <c:pt idx="32">
                  <c:v>43947</c:v>
                </c:pt>
                <c:pt idx="33">
                  <c:v>43946</c:v>
                </c:pt>
                <c:pt idx="34">
                  <c:v>43945</c:v>
                </c:pt>
                <c:pt idx="35">
                  <c:v>43944</c:v>
                </c:pt>
                <c:pt idx="36">
                  <c:v>43943</c:v>
                </c:pt>
                <c:pt idx="37">
                  <c:v>43942</c:v>
                </c:pt>
                <c:pt idx="38">
                  <c:v>43941</c:v>
                </c:pt>
                <c:pt idx="39">
                  <c:v>43940</c:v>
                </c:pt>
                <c:pt idx="40">
                  <c:v>43939</c:v>
                </c:pt>
                <c:pt idx="41">
                  <c:v>43938</c:v>
                </c:pt>
                <c:pt idx="42">
                  <c:v>43937</c:v>
                </c:pt>
                <c:pt idx="43">
                  <c:v>43936</c:v>
                </c:pt>
                <c:pt idx="44">
                  <c:v>43935</c:v>
                </c:pt>
                <c:pt idx="45">
                  <c:v>43934</c:v>
                </c:pt>
                <c:pt idx="46">
                  <c:v>43933</c:v>
                </c:pt>
                <c:pt idx="47">
                  <c:v>43932</c:v>
                </c:pt>
                <c:pt idx="48">
                  <c:v>43931</c:v>
                </c:pt>
                <c:pt idx="49">
                  <c:v>43930</c:v>
                </c:pt>
                <c:pt idx="50">
                  <c:v>43929</c:v>
                </c:pt>
                <c:pt idx="51">
                  <c:v>43928</c:v>
                </c:pt>
                <c:pt idx="52">
                  <c:v>43927</c:v>
                </c:pt>
                <c:pt idx="53">
                  <c:v>43926</c:v>
                </c:pt>
                <c:pt idx="54">
                  <c:v>43925</c:v>
                </c:pt>
                <c:pt idx="55">
                  <c:v>43924</c:v>
                </c:pt>
                <c:pt idx="56">
                  <c:v>43923</c:v>
                </c:pt>
                <c:pt idx="57">
                  <c:v>43922</c:v>
                </c:pt>
                <c:pt idx="58">
                  <c:v>43921</c:v>
                </c:pt>
                <c:pt idx="59">
                  <c:v>43920</c:v>
                </c:pt>
                <c:pt idx="60">
                  <c:v>43919</c:v>
                </c:pt>
                <c:pt idx="61">
                  <c:v>43918</c:v>
                </c:pt>
                <c:pt idx="62">
                  <c:v>43917</c:v>
                </c:pt>
                <c:pt idx="63">
                  <c:v>43916</c:v>
                </c:pt>
                <c:pt idx="64">
                  <c:v>43915</c:v>
                </c:pt>
                <c:pt idx="65">
                  <c:v>43914</c:v>
                </c:pt>
                <c:pt idx="66">
                  <c:v>43913</c:v>
                </c:pt>
                <c:pt idx="67">
                  <c:v>43912</c:v>
                </c:pt>
                <c:pt idx="68">
                  <c:v>43911</c:v>
                </c:pt>
                <c:pt idx="69">
                  <c:v>43910</c:v>
                </c:pt>
                <c:pt idx="70">
                  <c:v>43909</c:v>
                </c:pt>
                <c:pt idx="71">
                  <c:v>43908</c:v>
                </c:pt>
                <c:pt idx="72">
                  <c:v>43907</c:v>
                </c:pt>
                <c:pt idx="73">
                  <c:v>43906</c:v>
                </c:pt>
                <c:pt idx="74">
                  <c:v>43905</c:v>
                </c:pt>
                <c:pt idx="75">
                  <c:v>43904</c:v>
                </c:pt>
                <c:pt idx="76">
                  <c:v>43903</c:v>
                </c:pt>
                <c:pt idx="77">
                  <c:v>43902</c:v>
                </c:pt>
                <c:pt idx="78">
                  <c:v>43901</c:v>
                </c:pt>
                <c:pt idx="79">
                  <c:v>43900</c:v>
                </c:pt>
                <c:pt idx="80">
                  <c:v>43899</c:v>
                </c:pt>
                <c:pt idx="81">
                  <c:v>43898</c:v>
                </c:pt>
                <c:pt idx="82">
                  <c:v>43897</c:v>
                </c:pt>
                <c:pt idx="83">
                  <c:v>43896</c:v>
                </c:pt>
                <c:pt idx="84">
                  <c:v>43895</c:v>
                </c:pt>
                <c:pt idx="85">
                  <c:v>43894</c:v>
                </c:pt>
                <c:pt idx="86">
                  <c:v>43893</c:v>
                </c:pt>
                <c:pt idx="87">
                  <c:v>43892</c:v>
                </c:pt>
                <c:pt idx="88">
                  <c:v>43891</c:v>
                </c:pt>
                <c:pt idx="89">
                  <c:v>43890</c:v>
                </c:pt>
                <c:pt idx="90">
                  <c:v>43889</c:v>
                </c:pt>
                <c:pt idx="91">
                  <c:v>43888</c:v>
                </c:pt>
                <c:pt idx="92">
                  <c:v>43887</c:v>
                </c:pt>
                <c:pt idx="93">
                  <c:v>43886</c:v>
                </c:pt>
                <c:pt idx="94">
                  <c:v>43885</c:v>
                </c:pt>
                <c:pt idx="95">
                  <c:v>43884</c:v>
                </c:pt>
                <c:pt idx="96">
                  <c:v>43883</c:v>
                </c:pt>
                <c:pt idx="97">
                  <c:v>43882</c:v>
                </c:pt>
                <c:pt idx="98">
                  <c:v>43881</c:v>
                </c:pt>
                <c:pt idx="99">
                  <c:v>43880</c:v>
                </c:pt>
                <c:pt idx="100">
                  <c:v>43879</c:v>
                </c:pt>
                <c:pt idx="101">
                  <c:v>43878</c:v>
                </c:pt>
                <c:pt idx="102">
                  <c:v>43877</c:v>
                </c:pt>
                <c:pt idx="103">
                  <c:v>43876</c:v>
                </c:pt>
                <c:pt idx="104">
                  <c:v>43875</c:v>
                </c:pt>
                <c:pt idx="105">
                  <c:v>43874</c:v>
                </c:pt>
                <c:pt idx="106">
                  <c:v>43873</c:v>
                </c:pt>
                <c:pt idx="107">
                  <c:v>43872</c:v>
                </c:pt>
                <c:pt idx="108">
                  <c:v>43871</c:v>
                </c:pt>
                <c:pt idx="109">
                  <c:v>43870</c:v>
                </c:pt>
                <c:pt idx="110">
                  <c:v>43869</c:v>
                </c:pt>
                <c:pt idx="111">
                  <c:v>43868</c:v>
                </c:pt>
                <c:pt idx="112">
                  <c:v>43867</c:v>
                </c:pt>
                <c:pt idx="113">
                  <c:v>43866</c:v>
                </c:pt>
                <c:pt idx="114">
                  <c:v>43865</c:v>
                </c:pt>
                <c:pt idx="115">
                  <c:v>43864</c:v>
                </c:pt>
                <c:pt idx="116">
                  <c:v>43863</c:v>
                </c:pt>
                <c:pt idx="117">
                  <c:v>43862</c:v>
                </c:pt>
                <c:pt idx="118">
                  <c:v>43861</c:v>
                </c:pt>
                <c:pt idx="119">
                  <c:v>43860</c:v>
                </c:pt>
                <c:pt idx="120">
                  <c:v>43859</c:v>
                </c:pt>
                <c:pt idx="121">
                  <c:v>43858</c:v>
                </c:pt>
                <c:pt idx="122">
                  <c:v>43857</c:v>
                </c:pt>
                <c:pt idx="123">
                  <c:v>43856</c:v>
                </c:pt>
                <c:pt idx="124">
                  <c:v>43855</c:v>
                </c:pt>
                <c:pt idx="125">
                  <c:v>43854</c:v>
                </c:pt>
                <c:pt idx="126">
                  <c:v>43853</c:v>
                </c:pt>
                <c:pt idx="127">
                  <c:v>43852</c:v>
                </c:pt>
                <c:pt idx="128">
                  <c:v>43851</c:v>
                </c:pt>
                <c:pt idx="129">
                  <c:v>43850</c:v>
                </c:pt>
                <c:pt idx="130">
                  <c:v>43849</c:v>
                </c:pt>
                <c:pt idx="131">
                  <c:v>43848</c:v>
                </c:pt>
                <c:pt idx="132">
                  <c:v>43847</c:v>
                </c:pt>
                <c:pt idx="133">
                  <c:v>43846</c:v>
                </c:pt>
                <c:pt idx="134">
                  <c:v>43845</c:v>
                </c:pt>
                <c:pt idx="135">
                  <c:v>43844</c:v>
                </c:pt>
                <c:pt idx="136">
                  <c:v>43843</c:v>
                </c:pt>
                <c:pt idx="137">
                  <c:v>43842</c:v>
                </c:pt>
                <c:pt idx="138">
                  <c:v>43841</c:v>
                </c:pt>
                <c:pt idx="139">
                  <c:v>43840</c:v>
                </c:pt>
                <c:pt idx="140">
                  <c:v>43839</c:v>
                </c:pt>
                <c:pt idx="141">
                  <c:v>43838</c:v>
                </c:pt>
                <c:pt idx="142">
                  <c:v>43837</c:v>
                </c:pt>
                <c:pt idx="143">
                  <c:v>43836</c:v>
                </c:pt>
                <c:pt idx="144">
                  <c:v>43835</c:v>
                </c:pt>
                <c:pt idx="145">
                  <c:v>43834</c:v>
                </c:pt>
                <c:pt idx="146">
                  <c:v>43833</c:v>
                </c:pt>
                <c:pt idx="147">
                  <c:v>43832</c:v>
                </c:pt>
              </c:numCache>
            </c:numRef>
          </c:xVal>
          <c:yVal>
            <c:numRef>
              <c:f>'[1]TMIB calculation'!$B$4:$B$151</c:f>
              <c:numCache>
                <c:formatCode>General</c:formatCode>
                <c:ptCount val="148"/>
                <c:pt idx="0">
                  <c:v>0.02</c:v>
                </c:pt>
                <c:pt idx="1">
                  <c:v>0.02</c:v>
                </c:pt>
                <c:pt idx="2">
                  <c:v>0.02</c:v>
                </c:pt>
                <c:pt idx="3">
                  <c:v>0.02</c:v>
                </c:pt>
                <c:pt idx="4">
                  <c:v>0.02</c:v>
                </c:pt>
                <c:pt idx="5">
                  <c:v>0.02</c:v>
                </c:pt>
                <c:pt idx="6">
                  <c:v>0.02</c:v>
                </c:pt>
                <c:pt idx="7">
                  <c:v>0.02</c:v>
                </c:pt>
                <c:pt idx="8">
                  <c:v>0.02</c:v>
                </c:pt>
                <c:pt idx="9">
                  <c:v>0.02</c:v>
                </c:pt>
                <c:pt idx="10">
                  <c:v>0.02</c:v>
                </c:pt>
                <c:pt idx="11">
                  <c:v>2.0029999999999999E-2</c:v>
                </c:pt>
                <c:pt idx="12">
                  <c:v>2.0029999999999999E-2</c:v>
                </c:pt>
                <c:pt idx="13">
                  <c:v>2.0029999999999999E-2</c:v>
                </c:pt>
                <c:pt idx="14">
                  <c:v>0.02</c:v>
                </c:pt>
                <c:pt idx="15">
                  <c:v>2.001E-2</c:v>
                </c:pt>
                <c:pt idx="16">
                  <c:v>0.02</c:v>
                </c:pt>
                <c:pt idx="17">
                  <c:v>0.02</c:v>
                </c:pt>
                <c:pt idx="18">
                  <c:v>0.02</c:v>
                </c:pt>
                <c:pt idx="19">
                  <c:v>0.02</c:v>
                </c:pt>
                <c:pt idx="20">
                  <c:v>0.02</c:v>
                </c:pt>
                <c:pt idx="21">
                  <c:v>0.02</c:v>
                </c:pt>
                <c:pt idx="22">
                  <c:v>0.02</c:v>
                </c:pt>
                <c:pt idx="23">
                  <c:v>0.02</c:v>
                </c:pt>
                <c:pt idx="24">
                  <c:v>0.02</c:v>
                </c:pt>
                <c:pt idx="25">
                  <c:v>2.001E-2</c:v>
                </c:pt>
                <c:pt idx="26">
                  <c:v>2.001E-2</c:v>
                </c:pt>
                <c:pt idx="27">
                  <c:v>2.001E-2</c:v>
                </c:pt>
                <c:pt idx="28">
                  <c:v>2.001E-2</c:v>
                </c:pt>
                <c:pt idx="29">
                  <c:v>0.02</c:v>
                </c:pt>
                <c:pt idx="30">
                  <c:v>2.001E-2</c:v>
                </c:pt>
                <c:pt idx="31">
                  <c:v>0.02</c:v>
                </c:pt>
                <c:pt idx="32">
                  <c:v>0.02</c:v>
                </c:pt>
                <c:pt idx="33">
                  <c:v>0.02</c:v>
                </c:pt>
                <c:pt idx="34">
                  <c:v>0.02</c:v>
                </c:pt>
                <c:pt idx="35">
                  <c:v>0.02</c:v>
                </c:pt>
                <c:pt idx="36">
                  <c:v>2.0289999999999999E-2</c:v>
                </c:pt>
                <c:pt idx="37">
                  <c:v>2.0310000000000002E-2</c:v>
                </c:pt>
                <c:pt idx="38">
                  <c:v>2.0209999999999999E-2</c:v>
                </c:pt>
                <c:pt idx="39">
                  <c:v>2.019E-2</c:v>
                </c:pt>
                <c:pt idx="40">
                  <c:v>2.019E-2</c:v>
                </c:pt>
                <c:pt idx="41">
                  <c:v>2.019E-2</c:v>
                </c:pt>
                <c:pt idx="42">
                  <c:v>2.0199999999999999E-2</c:v>
                </c:pt>
                <c:pt idx="43">
                  <c:v>2.0330000000000001E-2</c:v>
                </c:pt>
                <c:pt idx="44">
                  <c:v>2.0160000000000001E-2</c:v>
                </c:pt>
                <c:pt idx="45">
                  <c:v>2.0209999999999999E-2</c:v>
                </c:pt>
                <c:pt idx="46">
                  <c:v>2.0060000000000001E-2</c:v>
                </c:pt>
                <c:pt idx="47">
                  <c:v>2.0060000000000001E-2</c:v>
                </c:pt>
                <c:pt idx="48">
                  <c:v>2.0060000000000001E-2</c:v>
                </c:pt>
                <c:pt idx="49">
                  <c:v>2.0070000000000001E-2</c:v>
                </c:pt>
                <c:pt idx="50">
                  <c:v>0.02</c:v>
                </c:pt>
                <c:pt idx="51">
                  <c:v>0.02</c:v>
                </c:pt>
                <c:pt idx="52">
                  <c:v>0.02</c:v>
                </c:pt>
                <c:pt idx="53">
                  <c:v>2.0060000000000001E-2</c:v>
                </c:pt>
                <c:pt idx="54">
                  <c:v>2.0060000000000001E-2</c:v>
                </c:pt>
                <c:pt idx="55">
                  <c:v>2.0060000000000001E-2</c:v>
                </c:pt>
                <c:pt idx="56">
                  <c:v>0.02</c:v>
                </c:pt>
                <c:pt idx="57">
                  <c:v>0.02</c:v>
                </c:pt>
                <c:pt idx="58">
                  <c:v>0.02</c:v>
                </c:pt>
                <c:pt idx="59">
                  <c:v>0.02</c:v>
                </c:pt>
                <c:pt idx="60">
                  <c:v>0.02</c:v>
                </c:pt>
                <c:pt idx="61">
                  <c:v>0.02</c:v>
                </c:pt>
                <c:pt idx="62">
                  <c:v>0.02</c:v>
                </c:pt>
                <c:pt idx="63">
                  <c:v>0.02</c:v>
                </c:pt>
                <c:pt idx="64">
                  <c:v>0.02</c:v>
                </c:pt>
                <c:pt idx="65">
                  <c:v>0.02</c:v>
                </c:pt>
                <c:pt idx="66">
                  <c:v>0.02</c:v>
                </c:pt>
                <c:pt idx="67">
                  <c:v>2.0039999999999999E-2</c:v>
                </c:pt>
                <c:pt idx="68">
                  <c:v>2.0039999999999999E-2</c:v>
                </c:pt>
                <c:pt idx="69">
                  <c:v>2.0039999999999999E-2</c:v>
                </c:pt>
                <c:pt idx="70">
                  <c:v>2.0039999999999999E-2</c:v>
                </c:pt>
                <c:pt idx="71">
                  <c:v>2.027E-2</c:v>
                </c:pt>
                <c:pt idx="72">
                  <c:v>2.2599999999999999E-2</c:v>
                </c:pt>
                <c:pt idx="73">
                  <c:v>2.2790000000000001E-2</c:v>
                </c:pt>
                <c:pt idx="74">
                  <c:v>2.264E-2</c:v>
                </c:pt>
                <c:pt idx="75">
                  <c:v>2.264E-2</c:v>
                </c:pt>
                <c:pt idx="76">
                  <c:v>2.264E-2</c:v>
                </c:pt>
                <c:pt idx="77">
                  <c:v>2.2530000000000001E-2</c:v>
                </c:pt>
                <c:pt idx="78">
                  <c:v>2.2499999999999999E-2</c:v>
                </c:pt>
                <c:pt idx="79">
                  <c:v>2.2530000000000001E-2</c:v>
                </c:pt>
                <c:pt idx="80">
                  <c:v>2.2499999999999999E-2</c:v>
                </c:pt>
                <c:pt idx="81">
                  <c:v>2.2579999999999999E-2</c:v>
                </c:pt>
                <c:pt idx="82">
                  <c:v>2.2579999999999999E-2</c:v>
                </c:pt>
                <c:pt idx="83">
                  <c:v>2.2579999999999999E-2</c:v>
                </c:pt>
                <c:pt idx="84">
                  <c:v>2.2610000000000002E-2</c:v>
                </c:pt>
                <c:pt idx="85">
                  <c:v>2.2589999999999999E-2</c:v>
                </c:pt>
                <c:pt idx="86">
                  <c:v>2.2499999999999999E-2</c:v>
                </c:pt>
                <c:pt idx="87">
                  <c:v>2.2499999999999999E-2</c:v>
                </c:pt>
                <c:pt idx="88">
                  <c:v>2.2499999999999999E-2</c:v>
                </c:pt>
                <c:pt idx="89">
                  <c:v>2.2499999999999999E-2</c:v>
                </c:pt>
                <c:pt idx="90">
                  <c:v>2.2499999999999999E-2</c:v>
                </c:pt>
                <c:pt idx="91">
                  <c:v>2.2499999999999999E-2</c:v>
                </c:pt>
                <c:pt idx="92">
                  <c:v>2.2499999999999999E-2</c:v>
                </c:pt>
                <c:pt idx="93">
                  <c:v>2.2499999999999999E-2</c:v>
                </c:pt>
                <c:pt idx="94">
                  <c:v>2.2499999999999999E-2</c:v>
                </c:pt>
                <c:pt idx="95">
                  <c:v>2.2540000000000001E-2</c:v>
                </c:pt>
                <c:pt idx="96">
                  <c:v>2.2540000000000001E-2</c:v>
                </c:pt>
                <c:pt idx="97">
                  <c:v>2.2540000000000001E-2</c:v>
                </c:pt>
                <c:pt idx="98">
                  <c:v>2.2499999999999999E-2</c:v>
                </c:pt>
                <c:pt idx="99">
                  <c:v>2.2499999999999999E-2</c:v>
                </c:pt>
                <c:pt idx="100">
                  <c:v>2.2499999999999999E-2</c:v>
                </c:pt>
                <c:pt idx="101">
                  <c:v>2.257E-2</c:v>
                </c:pt>
                <c:pt idx="102">
                  <c:v>2.2499999999999999E-2</c:v>
                </c:pt>
                <c:pt idx="103">
                  <c:v>2.2499999999999999E-2</c:v>
                </c:pt>
                <c:pt idx="104">
                  <c:v>2.2499999999999999E-2</c:v>
                </c:pt>
                <c:pt idx="105">
                  <c:v>2.2499999999999999E-2</c:v>
                </c:pt>
                <c:pt idx="106">
                  <c:v>2.2530000000000001E-2</c:v>
                </c:pt>
                <c:pt idx="107">
                  <c:v>2.2499999999999999E-2</c:v>
                </c:pt>
                <c:pt idx="108">
                  <c:v>2.2499999999999999E-2</c:v>
                </c:pt>
                <c:pt idx="109">
                  <c:v>2.2499999999999999E-2</c:v>
                </c:pt>
                <c:pt idx="110">
                  <c:v>2.2499999999999999E-2</c:v>
                </c:pt>
                <c:pt idx="111">
                  <c:v>2.2499999999999999E-2</c:v>
                </c:pt>
                <c:pt idx="112">
                  <c:v>2.2499999999999999E-2</c:v>
                </c:pt>
                <c:pt idx="113">
                  <c:v>2.2499999999999999E-2</c:v>
                </c:pt>
                <c:pt idx="114">
                  <c:v>2.2499999999999999E-2</c:v>
                </c:pt>
                <c:pt idx="115">
                  <c:v>2.2499999999999999E-2</c:v>
                </c:pt>
                <c:pt idx="116">
                  <c:v>2.2499999999999999E-2</c:v>
                </c:pt>
                <c:pt idx="117">
                  <c:v>2.2499999999999999E-2</c:v>
                </c:pt>
                <c:pt idx="118">
                  <c:v>2.2499999999999999E-2</c:v>
                </c:pt>
                <c:pt idx="119">
                  <c:v>2.2509999999999999E-2</c:v>
                </c:pt>
                <c:pt idx="120">
                  <c:v>2.2919999999999999E-2</c:v>
                </c:pt>
                <c:pt idx="121">
                  <c:v>2.2800000000000001E-2</c:v>
                </c:pt>
                <c:pt idx="122">
                  <c:v>2.2780000000000002E-2</c:v>
                </c:pt>
                <c:pt idx="123">
                  <c:v>2.3019999999999999E-2</c:v>
                </c:pt>
                <c:pt idx="124">
                  <c:v>2.3019999999999999E-2</c:v>
                </c:pt>
                <c:pt idx="125">
                  <c:v>2.3019999999999999E-2</c:v>
                </c:pt>
                <c:pt idx="126">
                  <c:v>2.2579999999999999E-2</c:v>
                </c:pt>
                <c:pt idx="127">
                  <c:v>2.2589999999999999E-2</c:v>
                </c:pt>
                <c:pt idx="128">
                  <c:v>2.2499999999999999E-2</c:v>
                </c:pt>
                <c:pt idx="129">
                  <c:v>2.2499999999999999E-2</c:v>
                </c:pt>
                <c:pt idx="130">
                  <c:v>2.2550000000000001E-2</c:v>
                </c:pt>
                <c:pt idx="131">
                  <c:v>2.2550000000000001E-2</c:v>
                </c:pt>
                <c:pt idx="132">
                  <c:v>2.2550000000000001E-2</c:v>
                </c:pt>
                <c:pt idx="133">
                  <c:v>2.2499999999999999E-2</c:v>
                </c:pt>
                <c:pt idx="134">
                  <c:v>2.2499999999999999E-2</c:v>
                </c:pt>
                <c:pt idx="135">
                  <c:v>2.2499999999999999E-2</c:v>
                </c:pt>
                <c:pt idx="136">
                  <c:v>2.2499999999999999E-2</c:v>
                </c:pt>
                <c:pt idx="137">
                  <c:v>2.2499999999999999E-2</c:v>
                </c:pt>
                <c:pt idx="138">
                  <c:v>2.2499999999999999E-2</c:v>
                </c:pt>
                <c:pt idx="139">
                  <c:v>2.2499999999999999E-2</c:v>
                </c:pt>
                <c:pt idx="140">
                  <c:v>2.2499999999999999E-2</c:v>
                </c:pt>
                <c:pt idx="141">
                  <c:v>2.2499999999999999E-2</c:v>
                </c:pt>
                <c:pt idx="142">
                  <c:v>2.2499999999999999E-2</c:v>
                </c:pt>
                <c:pt idx="143">
                  <c:v>2.2499999999999999E-2</c:v>
                </c:pt>
                <c:pt idx="144">
                  <c:v>2.2509999999999999E-2</c:v>
                </c:pt>
                <c:pt idx="145">
                  <c:v>2.2509999999999999E-2</c:v>
                </c:pt>
                <c:pt idx="146">
                  <c:v>2.2509999999999999E-2</c:v>
                </c:pt>
                <c:pt idx="147">
                  <c:v>2.2499999999999999E-2</c:v>
                </c:pt>
              </c:numCache>
            </c:numRef>
          </c:yVal>
          <c:smooth val="1"/>
          <c:extLst>
            <c:ext xmlns:c16="http://schemas.microsoft.com/office/drawing/2014/chart" uri="{C3380CC4-5D6E-409C-BE32-E72D297353CC}">
              <c16:uniqueId val="{00000003-89E2-4740-837B-8BBC37C7F4DB}"/>
            </c:ext>
          </c:extLst>
        </c:ser>
        <c:dLbls>
          <c:showLegendKey val="0"/>
          <c:showVal val="0"/>
          <c:showCatName val="0"/>
          <c:showSerName val="0"/>
          <c:showPercent val="0"/>
          <c:showBubbleSize val="0"/>
        </c:dLbls>
        <c:axId val="1429236944"/>
        <c:axId val="1393854576"/>
      </c:scatterChart>
      <c:valAx>
        <c:axId val="223046735"/>
        <c:scaling>
          <c:orientation val="minMax"/>
          <c:max val="43930"/>
          <c:min val="43830"/>
        </c:scaling>
        <c:delete val="0"/>
        <c:axPos val="b"/>
        <c:majorGridlines>
          <c:spPr>
            <a:ln w="9525" cap="flat" cmpd="sng" algn="ctr">
              <a:solidFill>
                <a:schemeClr val="tx1">
                  <a:lumMod val="15000"/>
                  <a:lumOff val="85000"/>
                </a:schemeClr>
              </a:solidFill>
              <a:prstDash val="solid"/>
              <a:round/>
            </a:ln>
            <a:effectLst/>
          </c:spPr>
        </c:majorGridlines>
        <c:numFmt formatCode="m/d/yy" sourceLinked="0"/>
        <c:majorTickMark val="none"/>
        <c:minorTickMark val="none"/>
        <c:tickLblPos val="nextTo"/>
        <c:spPr>
          <a:noFill/>
          <a:ln w="9525" cap="flat" cmpd="sng" algn="ctr">
            <a:solidFill>
              <a:schemeClr val="tx1">
                <a:lumMod val="25000"/>
                <a:lumOff val="75000"/>
              </a:schemeClr>
            </a:solidFill>
            <a:prstDash val="solid"/>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46787023"/>
        <c:crosses val="autoZero"/>
        <c:crossBetween val="midCat"/>
        <c:majorUnit val="15"/>
      </c:valAx>
      <c:valAx>
        <c:axId val="246787023"/>
        <c:scaling>
          <c:orientation val="minMax"/>
          <c:max val="3.0000000000000006E-2"/>
          <c:min val="0"/>
        </c:scaling>
        <c:delete val="0"/>
        <c:axPos val="l"/>
        <c:majorGridlines>
          <c:spPr>
            <a:ln w="9525" cap="flat" cmpd="sng" algn="ctr">
              <a:solidFill>
                <a:schemeClr val="tx1">
                  <a:lumMod val="15000"/>
                  <a:lumOff val="85000"/>
                </a:schemeClr>
              </a:solidFill>
              <a:prstDash val="solid"/>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prstDash val="solid"/>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23046735"/>
        <c:crosses val="autoZero"/>
        <c:crossBetween val="midCat"/>
        <c:minorUnit val="1.0000000000000002E-3"/>
      </c:valAx>
      <c:valAx>
        <c:axId val="1393854576"/>
        <c:scaling>
          <c:orientation val="minMax"/>
          <c:max val="3.0000000000000006E-2"/>
          <c:min val="0"/>
        </c:scaling>
        <c:delete val="1"/>
        <c:axPos val="r"/>
        <c:numFmt formatCode="General" sourceLinked="1"/>
        <c:majorTickMark val="out"/>
        <c:minorTickMark val="none"/>
        <c:tickLblPos val="nextTo"/>
        <c:crossAx val="1429236944"/>
        <c:crosses val="max"/>
        <c:crossBetween val="midCat"/>
      </c:valAx>
      <c:valAx>
        <c:axId val="1429236944"/>
        <c:scaling>
          <c:orientation val="minMax"/>
        </c:scaling>
        <c:delete val="1"/>
        <c:axPos val="b"/>
        <c:numFmt formatCode="General" sourceLinked="1"/>
        <c:majorTickMark val="out"/>
        <c:minorTickMark val="none"/>
        <c:tickLblPos val="nextTo"/>
        <c:crossAx val="139385457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Moving Average</a:t>
            </a:r>
          </a:p>
        </c:rich>
      </c:tx>
      <c:overlay val="0"/>
    </c:title>
    <c:autoTitleDeleted val="0"/>
    <c:plotArea>
      <c:layout/>
      <c:lineChart>
        <c:grouping val="standard"/>
        <c:varyColors val="0"/>
        <c:ser>
          <c:idx val="0"/>
          <c:order val="0"/>
          <c:tx>
            <c:v>Actual</c:v>
          </c:tx>
          <c:cat>
            <c:numRef>
              <c:f>'MONIA-SOFR average Index model '!$B$2:$B$22</c:f>
              <c:numCache>
                <c:formatCode>m/d/yy</c:formatCode>
                <c:ptCount val="21"/>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numCache>
            </c:numRef>
          </c:cat>
          <c:val>
            <c:numRef>
              <c:f>'MONIA-SOFR average Index model '!$C$2:$C$22</c:f>
              <c:numCache>
                <c:formatCode>0.000%</c:formatCode>
                <c:ptCount val="21"/>
                <c:pt idx="0">
                  <c:v>2.223E-2</c:v>
                </c:pt>
                <c:pt idx="1">
                  <c:v>2.197E-2</c:v>
                </c:pt>
                <c:pt idx="2">
                  <c:v>2.1829999999999999E-2</c:v>
                </c:pt>
                <c:pt idx="3">
                  <c:v>2.1930000000000002E-2</c:v>
                </c:pt>
                <c:pt idx="4">
                  <c:v>2.172E-2</c:v>
                </c:pt>
                <c:pt idx="5">
                  <c:v>2.1760000000000002E-2</c:v>
                </c:pt>
                <c:pt idx="6">
                  <c:v>2.172E-2</c:v>
                </c:pt>
                <c:pt idx="7">
                  <c:v>2.18E-2</c:v>
                </c:pt>
                <c:pt idx="8">
                  <c:v>2.1999999999999999E-2</c:v>
                </c:pt>
                <c:pt idx="9">
                  <c:v>2.1760000000000002E-2</c:v>
                </c:pt>
                <c:pt idx="10">
                  <c:v>2.164E-2</c:v>
                </c:pt>
                <c:pt idx="11">
                  <c:v>2.1610000000000001E-2</c:v>
                </c:pt>
                <c:pt idx="12">
                  <c:v>2.1999999999999999E-2</c:v>
                </c:pt>
                <c:pt idx="13">
                  <c:v>2.1770000000000001E-2</c:v>
                </c:pt>
                <c:pt idx="14">
                  <c:v>2.1579999999999998E-2</c:v>
                </c:pt>
                <c:pt idx="15">
                  <c:v>2.1440000000000001E-2</c:v>
                </c:pt>
                <c:pt idx="16">
                  <c:v>2.1770000000000001E-2</c:v>
                </c:pt>
                <c:pt idx="17">
                  <c:v>2.2249999999999999E-2</c:v>
                </c:pt>
                <c:pt idx="18">
                  <c:v>2.2280000000000001E-2</c:v>
                </c:pt>
                <c:pt idx="19">
                  <c:v>2.247E-2</c:v>
                </c:pt>
                <c:pt idx="20">
                  <c:v>2.2849999999999999E-2</c:v>
                </c:pt>
              </c:numCache>
            </c:numRef>
          </c:val>
          <c:smooth val="0"/>
          <c:extLst>
            <c:ext xmlns:c16="http://schemas.microsoft.com/office/drawing/2014/chart" uri="{C3380CC4-5D6E-409C-BE32-E72D297353CC}">
              <c16:uniqueId val="{00000000-CDDD-7F47-8C0F-334C60CF5874}"/>
            </c:ext>
          </c:extLst>
        </c:ser>
        <c:ser>
          <c:idx val="1"/>
          <c:order val="1"/>
          <c:tx>
            <c:v>Forecast</c:v>
          </c:tx>
          <c:cat>
            <c:numRef>
              <c:f>'MONIA-SOFR average Index model '!$B$2:$B$22</c:f>
              <c:numCache>
                <c:formatCode>m/d/yy</c:formatCode>
                <c:ptCount val="21"/>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numCache>
            </c:numRef>
          </c:cat>
          <c:val>
            <c:numRef>
              <c:f>'MONIA-SOFR average Index model '!$P$75:$P$95</c:f>
              <c:numCache>
                <c:formatCode>General</c:formatCode>
                <c:ptCount val="21"/>
                <c:pt idx="0">
                  <c:v>#N/A</c:v>
                </c:pt>
                <c:pt idx="1">
                  <c:v>#N/A</c:v>
                </c:pt>
                <c:pt idx="2">
                  <c:v>#N/A</c:v>
                </c:pt>
                <c:pt idx="3">
                  <c:v>#N/A</c:v>
                </c:pt>
                <c:pt idx="4" formatCode="0.000%">
                  <c:v>2.1936000000000004E-2</c:v>
                </c:pt>
                <c:pt idx="5" formatCode="0.000%">
                  <c:v>2.1842E-2</c:v>
                </c:pt>
                <c:pt idx="6" formatCode="0.000%">
                  <c:v>2.1791999999999999E-2</c:v>
                </c:pt>
                <c:pt idx="7" formatCode="0.000%">
                  <c:v>2.1786E-2</c:v>
                </c:pt>
                <c:pt idx="8" formatCode="0.000%">
                  <c:v>2.1800000000000003E-2</c:v>
                </c:pt>
                <c:pt idx="9" formatCode="0.000%">
                  <c:v>2.1808000000000001E-2</c:v>
                </c:pt>
                <c:pt idx="10" formatCode="0.000%">
                  <c:v>2.1783999999999998E-2</c:v>
                </c:pt>
                <c:pt idx="11" formatCode="0.000%">
                  <c:v>2.1762E-2</c:v>
                </c:pt>
                <c:pt idx="12" formatCode="0.000%">
                  <c:v>2.1801999999999998E-2</c:v>
                </c:pt>
                <c:pt idx="13" formatCode="0.000%">
                  <c:v>2.1756000000000001E-2</c:v>
                </c:pt>
                <c:pt idx="14" formatCode="0.000%">
                  <c:v>2.172E-2</c:v>
                </c:pt>
                <c:pt idx="15" formatCode="0.000%">
                  <c:v>2.1679999999999998E-2</c:v>
                </c:pt>
                <c:pt idx="16" formatCode="0.000%">
                  <c:v>2.1712000000000002E-2</c:v>
                </c:pt>
                <c:pt idx="17" formatCode="0.000%">
                  <c:v>2.1761999999999997E-2</c:v>
                </c:pt>
                <c:pt idx="18" formatCode="0.000%">
                  <c:v>2.1864000000000001E-2</c:v>
                </c:pt>
                <c:pt idx="19" formatCode="0.000%">
                  <c:v>2.2041999999999999E-2</c:v>
                </c:pt>
                <c:pt idx="20" formatCode="0.000%">
                  <c:v>2.2324E-2</c:v>
                </c:pt>
              </c:numCache>
            </c:numRef>
          </c:val>
          <c:smooth val="0"/>
          <c:extLst>
            <c:ext xmlns:c16="http://schemas.microsoft.com/office/drawing/2014/chart" uri="{C3380CC4-5D6E-409C-BE32-E72D297353CC}">
              <c16:uniqueId val="{00000001-CDDD-7F47-8C0F-334C60CF5874}"/>
            </c:ext>
          </c:extLst>
        </c:ser>
        <c:dLbls>
          <c:showLegendKey val="0"/>
          <c:showVal val="0"/>
          <c:showCatName val="0"/>
          <c:showSerName val="0"/>
          <c:showPercent val="0"/>
          <c:showBubbleSize val="0"/>
        </c:dLbls>
        <c:marker val="1"/>
        <c:smooth val="0"/>
        <c:axId val="1552496656"/>
        <c:axId val="1542039504"/>
      </c:lineChart>
      <c:dateAx>
        <c:axId val="1552496656"/>
        <c:scaling>
          <c:orientation val="minMax"/>
        </c:scaling>
        <c:delete val="0"/>
        <c:axPos val="b"/>
        <c:title>
          <c:tx>
            <c:rich>
              <a:bodyPr/>
              <a:lstStyle/>
              <a:p>
                <a:pPr>
                  <a:defRPr/>
                </a:pPr>
                <a:r>
                  <a:rPr lang="en-GB"/>
                  <a:t>Data Point</a:t>
                </a:r>
              </a:p>
            </c:rich>
          </c:tx>
          <c:overlay val="0"/>
        </c:title>
        <c:numFmt formatCode="m/d/yy" sourceLinked="1"/>
        <c:majorTickMark val="out"/>
        <c:minorTickMark val="none"/>
        <c:tickLblPos val="nextTo"/>
        <c:crossAx val="1542039504"/>
        <c:crosses val="autoZero"/>
        <c:auto val="1"/>
        <c:lblOffset val="100"/>
        <c:baseTimeUnit val="days"/>
        <c:majorUnit val="7"/>
        <c:majorTimeUnit val="days"/>
      </c:dateAx>
      <c:valAx>
        <c:axId val="1542039504"/>
        <c:scaling>
          <c:orientation val="minMax"/>
          <c:min val="2.1000000000000005E-2"/>
        </c:scaling>
        <c:delete val="0"/>
        <c:axPos val="l"/>
        <c:title>
          <c:tx>
            <c:rich>
              <a:bodyPr/>
              <a:lstStyle/>
              <a:p>
                <a:pPr>
                  <a:defRPr/>
                </a:pPr>
                <a:r>
                  <a:rPr lang="en-GB"/>
                  <a:t>Value</a:t>
                </a:r>
              </a:p>
            </c:rich>
          </c:tx>
          <c:overlay val="0"/>
        </c:title>
        <c:numFmt formatCode="0.000%" sourceLinked="1"/>
        <c:majorTickMark val="out"/>
        <c:minorTickMark val="none"/>
        <c:tickLblPos val="nextTo"/>
        <c:crossAx val="1552496656"/>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Moving Average</a:t>
            </a:r>
          </a:p>
        </c:rich>
      </c:tx>
      <c:overlay val="0"/>
    </c:title>
    <c:autoTitleDeleted val="0"/>
    <c:plotArea>
      <c:layout/>
      <c:lineChart>
        <c:grouping val="standard"/>
        <c:varyColors val="0"/>
        <c:ser>
          <c:idx val="0"/>
          <c:order val="0"/>
          <c:tx>
            <c:v>Actual</c:v>
          </c:tx>
          <c:cat>
            <c:numRef>
              <c:f>'MONIA-SOFR average Index model '!$B$2:$B$44</c:f>
              <c:numCache>
                <c:formatCode>m/d/yy</c:formatCode>
                <c:ptCount val="43"/>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43885</c:v>
                </c:pt>
                <c:pt idx="38">
                  <c:v>43886</c:v>
                </c:pt>
                <c:pt idx="39">
                  <c:v>43887</c:v>
                </c:pt>
                <c:pt idx="40">
                  <c:v>43888</c:v>
                </c:pt>
                <c:pt idx="41">
                  <c:v>43889</c:v>
                </c:pt>
                <c:pt idx="42">
                  <c:v>43892</c:v>
                </c:pt>
              </c:numCache>
            </c:numRef>
          </c:cat>
          <c:val>
            <c:numRef>
              <c:f>'MONIA-SOFR average Index model '!$C$2:$C$44</c:f>
              <c:numCache>
                <c:formatCode>0.000%</c:formatCode>
                <c:ptCount val="43"/>
                <c:pt idx="0">
                  <c:v>2.223E-2</c:v>
                </c:pt>
                <c:pt idx="1">
                  <c:v>2.197E-2</c:v>
                </c:pt>
                <c:pt idx="2">
                  <c:v>2.1829999999999999E-2</c:v>
                </c:pt>
                <c:pt idx="3">
                  <c:v>2.1930000000000002E-2</c:v>
                </c:pt>
                <c:pt idx="4">
                  <c:v>2.172E-2</c:v>
                </c:pt>
                <c:pt idx="5">
                  <c:v>2.1760000000000002E-2</c:v>
                </c:pt>
                <c:pt idx="6">
                  <c:v>2.172E-2</c:v>
                </c:pt>
                <c:pt idx="7">
                  <c:v>2.18E-2</c:v>
                </c:pt>
                <c:pt idx="8">
                  <c:v>2.1999999999999999E-2</c:v>
                </c:pt>
                <c:pt idx="9">
                  <c:v>2.1760000000000002E-2</c:v>
                </c:pt>
                <c:pt idx="10">
                  <c:v>2.164E-2</c:v>
                </c:pt>
                <c:pt idx="11">
                  <c:v>2.1610000000000001E-2</c:v>
                </c:pt>
                <c:pt idx="12">
                  <c:v>2.1999999999999999E-2</c:v>
                </c:pt>
                <c:pt idx="13">
                  <c:v>2.1770000000000001E-2</c:v>
                </c:pt>
                <c:pt idx="14">
                  <c:v>2.1579999999999998E-2</c:v>
                </c:pt>
                <c:pt idx="15">
                  <c:v>2.1440000000000001E-2</c:v>
                </c:pt>
                <c:pt idx="16">
                  <c:v>2.1770000000000001E-2</c:v>
                </c:pt>
                <c:pt idx="17">
                  <c:v>2.2249999999999999E-2</c:v>
                </c:pt>
                <c:pt idx="18">
                  <c:v>2.2280000000000001E-2</c:v>
                </c:pt>
                <c:pt idx="19">
                  <c:v>2.247E-2</c:v>
                </c:pt>
                <c:pt idx="20">
                  <c:v>2.2849999999999999E-2</c:v>
                </c:pt>
                <c:pt idx="21">
                  <c:v>2.2179999999999998E-2</c:v>
                </c:pt>
                <c:pt idx="22">
                  <c:v>2.247E-2</c:v>
                </c:pt>
                <c:pt idx="23">
                  <c:v>2.2110000000000001E-2</c:v>
                </c:pt>
                <c:pt idx="24">
                  <c:v>2.1780000000000001E-2</c:v>
                </c:pt>
                <c:pt idx="25">
                  <c:v>2.1399999999999999E-2</c:v>
                </c:pt>
                <c:pt idx="26">
                  <c:v>2.1700000000000001E-2</c:v>
                </c:pt>
                <c:pt idx="27">
                  <c:v>2.1729999999999999E-2</c:v>
                </c:pt>
                <c:pt idx="28">
                  <c:v>2.171E-2</c:v>
                </c:pt>
                <c:pt idx="29">
                  <c:v>2.1610000000000001E-2</c:v>
                </c:pt>
                <c:pt idx="30">
                  <c:v>2.1780000000000001E-2</c:v>
                </c:pt>
                <c:pt idx="31">
                  <c:v>2.188E-2</c:v>
                </c:pt>
                <c:pt idx="32">
                  <c:v>2.181E-2</c:v>
                </c:pt>
                <c:pt idx="33">
                  <c:v>2.1649999999999999E-2</c:v>
                </c:pt>
                <c:pt idx="34">
                  <c:v>2.205E-2</c:v>
                </c:pt>
                <c:pt idx="35">
                  <c:v>2.197E-2</c:v>
                </c:pt>
                <c:pt idx="36">
                  <c:v>2.1999999999999999E-2</c:v>
                </c:pt>
                <c:pt idx="37">
                  <c:v>2.1919999999999999E-2</c:v>
                </c:pt>
                <c:pt idx="38">
                  <c:v>2.1930000000000002E-2</c:v>
                </c:pt>
                <c:pt idx="39">
                  <c:v>2.1950000000000001E-2</c:v>
                </c:pt>
                <c:pt idx="40">
                  <c:v>2.198E-2</c:v>
                </c:pt>
                <c:pt idx="41">
                  <c:v>2.1729999999999999E-2</c:v>
                </c:pt>
                <c:pt idx="42">
                  <c:v>2.198E-2</c:v>
                </c:pt>
              </c:numCache>
            </c:numRef>
          </c:val>
          <c:smooth val="0"/>
          <c:extLst>
            <c:ext xmlns:c16="http://schemas.microsoft.com/office/drawing/2014/chart" uri="{C3380CC4-5D6E-409C-BE32-E72D297353CC}">
              <c16:uniqueId val="{00000000-A434-C84D-A116-A13D26BD702A}"/>
            </c:ext>
          </c:extLst>
        </c:ser>
        <c:ser>
          <c:idx val="1"/>
          <c:order val="1"/>
          <c:tx>
            <c:v>Forecast</c:v>
          </c:tx>
          <c:cat>
            <c:numRef>
              <c:f>'MONIA-SOFR average Index model '!$B$2:$B$44</c:f>
              <c:numCache>
                <c:formatCode>m/d/yy</c:formatCode>
                <c:ptCount val="43"/>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43885</c:v>
                </c:pt>
                <c:pt idx="38">
                  <c:v>43886</c:v>
                </c:pt>
                <c:pt idx="39">
                  <c:v>43887</c:v>
                </c:pt>
                <c:pt idx="40">
                  <c:v>43888</c:v>
                </c:pt>
                <c:pt idx="41">
                  <c:v>43889</c:v>
                </c:pt>
                <c:pt idx="42">
                  <c:v>43892</c:v>
                </c:pt>
              </c:numCache>
            </c:numRef>
          </c:cat>
          <c:val>
            <c:numRef>
              <c:f>'MONIA-SOFR average Index model '!$P$98:$P$140</c:f>
              <c:numCache>
                <c:formatCode>General</c:formatCode>
                <c:ptCount val="43"/>
                <c:pt idx="0">
                  <c:v>#N/A</c:v>
                </c:pt>
                <c:pt idx="1">
                  <c:v>#N/A</c:v>
                </c:pt>
                <c:pt idx="2">
                  <c:v>#N/A</c:v>
                </c:pt>
                <c:pt idx="3">
                  <c:v>#N/A</c:v>
                </c:pt>
                <c:pt idx="4">
                  <c:v>#N/A</c:v>
                </c:pt>
                <c:pt idx="5">
                  <c:v>#N/A</c:v>
                </c:pt>
                <c:pt idx="6">
                  <c:v>#N/A</c:v>
                </c:pt>
                <c:pt idx="7">
                  <c:v>#N/A</c:v>
                </c:pt>
                <c:pt idx="8">
                  <c:v>#N/A</c:v>
                </c:pt>
                <c:pt idx="9" formatCode="0.000%">
                  <c:v>2.1871999999999999E-2</c:v>
                </c:pt>
                <c:pt idx="10" formatCode="0.000%">
                  <c:v>2.1812999999999996E-2</c:v>
                </c:pt>
                <c:pt idx="11" formatCode="0.000%">
                  <c:v>2.1776999999999998E-2</c:v>
                </c:pt>
                <c:pt idx="12" formatCode="0.000%">
                  <c:v>2.1793999999999997E-2</c:v>
                </c:pt>
                <c:pt idx="13" formatCode="0.000%">
                  <c:v>2.1777999999999999E-2</c:v>
                </c:pt>
                <c:pt idx="14" formatCode="0.000%">
                  <c:v>2.1763999999999999E-2</c:v>
                </c:pt>
                <c:pt idx="15" formatCode="0.000%">
                  <c:v>2.1731999999999994E-2</c:v>
                </c:pt>
                <c:pt idx="16" formatCode="0.000%">
                  <c:v>2.1736999999999999E-2</c:v>
                </c:pt>
                <c:pt idx="17" formatCode="0.000%">
                  <c:v>2.1782000000000003E-2</c:v>
                </c:pt>
                <c:pt idx="18" formatCode="0.000%">
                  <c:v>2.181E-2</c:v>
                </c:pt>
                <c:pt idx="19" formatCode="0.000%">
                  <c:v>2.1880999999999998E-2</c:v>
                </c:pt>
                <c:pt idx="20" formatCode="0.000%">
                  <c:v>2.2002000000000001E-2</c:v>
                </c:pt>
                <c:pt idx="21" formatCode="0.000%">
                  <c:v>2.2059000000000002E-2</c:v>
                </c:pt>
                <c:pt idx="22" formatCode="0.000%">
                  <c:v>2.2105999999999997E-2</c:v>
                </c:pt>
                <c:pt idx="23" formatCode="0.000%">
                  <c:v>2.214E-2</c:v>
                </c:pt>
                <c:pt idx="24" formatCode="0.000%">
                  <c:v>2.2159999999999996E-2</c:v>
                </c:pt>
                <c:pt idx="25" formatCode="0.000%">
                  <c:v>2.2155999999999999E-2</c:v>
                </c:pt>
                <c:pt idx="26" formatCode="0.000%">
                  <c:v>2.2148999999999995E-2</c:v>
                </c:pt>
                <c:pt idx="27" formatCode="0.000%">
                  <c:v>2.2096999999999999E-2</c:v>
                </c:pt>
                <c:pt idx="28" formatCode="0.000%">
                  <c:v>2.2040000000000001E-2</c:v>
                </c:pt>
                <c:pt idx="29" formatCode="0.000%">
                  <c:v>2.1954000000000001E-2</c:v>
                </c:pt>
                <c:pt idx="30" formatCode="0.000%">
                  <c:v>2.1846999999999998E-2</c:v>
                </c:pt>
                <c:pt idx="31" formatCode="0.000%">
                  <c:v>2.1817E-2</c:v>
                </c:pt>
                <c:pt idx="32" formatCode="0.000%">
                  <c:v>2.1751E-2</c:v>
                </c:pt>
                <c:pt idx="33" formatCode="0.000%">
                  <c:v>2.1704999999999999E-2</c:v>
                </c:pt>
                <c:pt idx="34" formatCode="0.000%">
                  <c:v>2.1732000000000001E-2</c:v>
                </c:pt>
                <c:pt idx="35" formatCode="0.000%">
                  <c:v>2.1789000000000003E-2</c:v>
                </c:pt>
                <c:pt idx="36" formatCode="0.000%">
                  <c:v>2.1818999999999998E-2</c:v>
                </c:pt>
                <c:pt idx="37" formatCode="0.000%">
                  <c:v>2.1837999999999993E-2</c:v>
                </c:pt>
                <c:pt idx="38" formatCode="0.000%">
                  <c:v>2.1859999999999997E-2</c:v>
                </c:pt>
                <c:pt idx="39" formatCode="0.000%">
                  <c:v>2.1894E-2</c:v>
                </c:pt>
                <c:pt idx="40" formatCode="0.000%">
                  <c:v>2.1913999999999999E-2</c:v>
                </c:pt>
                <c:pt idx="41" formatCode="0.000%">
                  <c:v>2.1898999999999998E-2</c:v>
                </c:pt>
                <c:pt idx="42" formatCode="0.000%">
                  <c:v>2.1915999999999998E-2</c:v>
                </c:pt>
              </c:numCache>
            </c:numRef>
          </c:val>
          <c:smooth val="0"/>
          <c:extLst>
            <c:ext xmlns:c16="http://schemas.microsoft.com/office/drawing/2014/chart" uri="{C3380CC4-5D6E-409C-BE32-E72D297353CC}">
              <c16:uniqueId val="{00000001-A434-C84D-A116-A13D26BD702A}"/>
            </c:ext>
          </c:extLst>
        </c:ser>
        <c:dLbls>
          <c:showLegendKey val="0"/>
          <c:showVal val="0"/>
          <c:showCatName val="0"/>
          <c:showSerName val="0"/>
          <c:showPercent val="0"/>
          <c:showBubbleSize val="0"/>
        </c:dLbls>
        <c:marker val="1"/>
        <c:smooth val="0"/>
        <c:axId val="1552486608"/>
        <c:axId val="1501204000"/>
      </c:lineChart>
      <c:dateAx>
        <c:axId val="1552486608"/>
        <c:scaling>
          <c:orientation val="minMax"/>
        </c:scaling>
        <c:delete val="0"/>
        <c:axPos val="b"/>
        <c:title>
          <c:tx>
            <c:rich>
              <a:bodyPr/>
              <a:lstStyle/>
              <a:p>
                <a:pPr>
                  <a:defRPr/>
                </a:pPr>
                <a:r>
                  <a:rPr lang="en-GB"/>
                  <a:t>Data Point</a:t>
                </a:r>
              </a:p>
            </c:rich>
          </c:tx>
          <c:overlay val="0"/>
        </c:title>
        <c:numFmt formatCode="m/d/yy" sourceLinked="1"/>
        <c:majorTickMark val="out"/>
        <c:minorTickMark val="none"/>
        <c:tickLblPos val="nextTo"/>
        <c:crossAx val="1501204000"/>
        <c:crosses val="autoZero"/>
        <c:auto val="1"/>
        <c:lblOffset val="100"/>
        <c:baseTimeUnit val="days"/>
        <c:majorUnit val="10"/>
        <c:majorTimeUnit val="days"/>
      </c:dateAx>
      <c:valAx>
        <c:axId val="1501204000"/>
        <c:scaling>
          <c:orientation val="minMax"/>
          <c:min val="2.1000000000000005E-2"/>
        </c:scaling>
        <c:delete val="0"/>
        <c:axPos val="l"/>
        <c:title>
          <c:tx>
            <c:rich>
              <a:bodyPr/>
              <a:lstStyle/>
              <a:p>
                <a:pPr>
                  <a:defRPr/>
                </a:pPr>
                <a:r>
                  <a:rPr lang="en-GB"/>
                  <a:t>Value</a:t>
                </a:r>
              </a:p>
            </c:rich>
          </c:tx>
          <c:overlay val="0"/>
        </c:title>
        <c:numFmt formatCode="0.000%" sourceLinked="1"/>
        <c:majorTickMark val="out"/>
        <c:minorTickMark val="none"/>
        <c:tickLblPos val="nextTo"/>
        <c:crossAx val="1552486608"/>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Moving Average</a:t>
            </a:r>
          </a:p>
        </c:rich>
      </c:tx>
      <c:overlay val="0"/>
    </c:title>
    <c:autoTitleDeleted val="0"/>
    <c:plotArea>
      <c:layout/>
      <c:lineChart>
        <c:grouping val="standard"/>
        <c:varyColors val="0"/>
        <c:ser>
          <c:idx val="0"/>
          <c:order val="0"/>
          <c:tx>
            <c:v>Actual</c:v>
          </c:tx>
          <c:cat>
            <c:numRef>
              <c:f>'MONIA-SOFR average Index model '!$B$2:$B$64</c:f>
              <c:numCache>
                <c:formatCode>m/d/yy</c:formatCode>
                <c:ptCount val="63"/>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43885</c:v>
                </c:pt>
                <c:pt idx="38">
                  <c:v>43886</c:v>
                </c:pt>
                <c:pt idx="39">
                  <c:v>43887</c:v>
                </c:pt>
                <c:pt idx="40">
                  <c:v>43888</c:v>
                </c:pt>
                <c:pt idx="41">
                  <c:v>43889</c:v>
                </c:pt>
                <c:pt idx="42">
                  <c:v>43892</c:v>
                </c:pt>
                <c:pt idx="43">
                  <c:v>43893</c:v>
                </c:pt>
                <c:pt idx="44">
                  <c:v>43894</c:v>
                </c:pt>
                <c:pt idx="45">
                  <c:v>43895</c:v>
                </c:pt>
                <c:pt idx="46">
                  <c:v>43896</c:v>
                </c:pt>
                <c:pt idx="47">
                  <c:v>43899</c:v>
                </c:pt>
                <c:pt idx="48">
                  <c:v>43900</c:v>
                </c:pt>
                <c:pt idx="49">
                  <c:v>43901</c:v>
                </c:pt>
                <c:pt idx="50">
                  <c:v>43902</c:v>
                </c:pt>
                <c:pt idx="51">
                  <c:v>43903</c:v>
                </c:pt>
                <c:pt idx="52">
                  <c:v>43906</c:v>
                </c:pt>
                <c:pt idx="53">
                  <c:v>43907</c:v>
                </c:pt>
                <c:pt idx="54">
                  <c:v>43908</c:v>
                </c:pt>
                <c:pt idx="55">
                  <c:v>43909</c:v>
                </c:pt>
                <c:pt idx="56">
                  <c:v>43910</c:v>
                </c:pt>
                <c:pt idx="57">
                  <c:v>43913</c:v>
                </c:pt>
                <c:pt idx="58">
                  <c:v>43914</c:v>
                </c:pt>
                <c:pt idx="59">
                  <c:v>43915</c:v>
                </c:pt>
                <c:pt idx="60">
                  <c:v>43916</c:v>
                </c:pt>
                <c:pt idx="61">
                  <c:v>43917</c:v>
                </c:pt>
                <c:pt idx="62">
                  <c:v>43920</c:v>
                </c:pt>
              </c:numCache>
            </c:numRef>
          </c:cat>
          <c:val>
            <c:numRef>
              <c:f>'MONIA-SOFR average Index model '!$C$2:$C$64</c:f>
              <c:numCache>
                <c:formatCode>0.000%</c:formatCode>
                <c:ptCount val="63"/>
                <c:pt idx="0">
                  <c:v>2.223E-2</c:v>
                </c:pt>
                <c:pt idx="1">
                  <c:v>2.197E-2</c:v>
                </c:pt>
                <c:pt idx="2">
                  <c:v>2.1829999999999999E-2</c:v>
                </c:pt>
                <c:pt idx="3">
                  <c:v>2.1930000000000002E-2</c:v>
                </c:pt>
                <c:pt idx="4">
                  <c:v>2.172E-2</c:v>
                </c:pt>
                <c:pt idx="5">
                  <c:v>2.1760000000000002E-2</c:v>
                </c:pt>
                <c:pt idx="6">
                  <c:v>2.172E-2</c:v>
                </c:pt>
                <c:pt idx="7">
                  <c:v>2.18E-2</c:v>
                </c:pt>
                <c:pt idx="8">
                  <c:v>2.1999999999999999E-2</c:v>
                </c:pt>
                <c:pt idx="9">
                  <c:v>2.1760000000000002E-2</c:v>
                </c:pt>
                <c:pt idx="10">
                  <c:v>2.164E-2</c:v>
                </c:pt>
                <c:pt idx="11">
                  <c:v>2.1610000000000001E-2</c:v>
                </c:pt>
                <c:pt idx="12">
                  <c:v>2.1999999999999999E-2</c:v>
                </c:pt>
                <c:pt idx="13">
                  <c:v>2.1770000000000001E-2</c:v>
                </c:pt>
                <c:pt idx="14">
                  <c:v>2.1579999999999998E-2</c:v>
                </c:pt>
                <c:pt idx="15">
                  <c:v>2.1440000000000001E-2</c:v>
                </c:pt>
                <c:pt idx="16">
                  <c:v>2.1770000000000001E-2</c:v>
                </c:pt>
                <c:pt idx="17">
                  <c:v>2.2249999999999999E-2</c:v>
                </c:pt>
                <c:pt idx="18">
                  <c:v>2.2280000000000001E-2</c:v>
                </c:pt>
                <c:pt idx="19">
                  <c:v>2.247E-2</c:v>
                </c:pt>
                <c:pt idx="20">
                  <c:v>2.2849999999999999E-2</c:v>
                </c:pt>
                <c:pt idx="21">
                  <c:v>2.2179999999999998E-2</c:v>
                </c:pt>
                <c:pt idx="22">
                  <c:v>2.247E-2</c:v>
                </c:pt>
                <c:pt idx="23">
                  <c:v>2.2110000000000001E-2</c:v>
                </c:pt>
                <c:pt idx="24">
                  <c:v>2.1780000000000001E-2</c:v>
                </c:pt>
                <c:pt idx="25">
                  <c:v>2.1399999999999999E-2</c:v>
                </c:pt>
                <c:pt idx="26">
                  <c:v>2.1700000000000001E-2</c:v>
                </c:pt>
                <c:pt idx="27">
                  <c:v>2.1729999999999999E-2</c:v>
                </c:pt>
                <c:pt idx="28">
                  <c:v>2.171E-2</c:v>
                </c:pt>
                <c:pt idx="29">
                  <c:v>2.1610000000000001E-2</c:v>
                </c:pt>
                <c:pt idx="30">
                  <c:v>2.1780000000000001E-2</c:v>
                </c:pt>
                <c:pt idx="31">
                  <c:v>2.188E-2</c:v>
                </c:pt>
                <c:pt idx="32">
                  <c:v>2.181E-2</c:v>
                </c:pt>
                <c:pt idx="33">
                  <c:v>2.1649999999999999E-2</c:v>
                </c:pt>
                <c:pt idx="34">
                  <c:v>2.205E-2</c:v>
                </c:pt>
                <c:pt idx="35">
                  <c:v>2.197E-2</c:v>
                </c:pt>
                <c:pt idx="36">
                  <c:v>2.1999999999999999E-2</c:v>
                </c:pt>
                <c:pt idx="37">
                  <c:v>2.1919999999999999E-2</c:v>
                </c:pt>
                <c:pt idx="38">
                  <c:v>2.1930000000000002E-2</c:v>
                </c:pt>
                <c:pt idx="39">
                  <c:v>2.1950000000000001E-2</c:v>
                </c:pt>
                <c:pt idx="40">
                  <c:v>2.198E-2</c:v>
                </c:pt>
                <c:pt idx="41">
                  <c:v>2.1729999999999999E-2</c:v>
                </c:pt>
                <c:pt idx="42">
                  <c:v>2.198E-2</c:v>
                </c:pt>
                <c:pt idx="43">
                  <c:v>2.188E-2</c:v>
                </c:pt>
                <c:pt idx="44">
                  <c:v>2.1850000000000001E-2</c:v>
                </c:pt>
                <c:pt idx="45">
                  <c:v>2.1919999999999999E-2</c:v>
                </c:pt>
                <c:pt idx="46">
                  <c:v>2.1999999999999999E-2</c:v>
                </c:pt>
                <c:pt idx="47">
                  <c:v>2.2020000000000001E-2</c:v>
                </c:pt>
                <c:pt idx="48">
                  <c:v>2.197E-2</c:v>
                </c:pt>
                <c:pt idx="49">
                  <c:v>2.18E-2</c:v>
                </c:pt>
                <c:pt idx="50">
                  <c:v>2.1899999999999999E-2</c:v>
                </c:pt>
                <c:pt idx="51">
                  <c:v>2.2100000000000002E-2</c:v>
                </c:pt>
                <c:pt idx="52">
                  <c:v>2.1999999999999999E-2</c:v>
                </c:pt>
                <c:pt idx="53">
                  <c:v>2.2689999999999998E-2</c:v>
                </c:pt>
                <c:pt idx="54">
                  <c:v>2.4570000000000002E-2</c:v>
                </c:pt>
                <c:pt idx="55">
                  <c:v>2.1530000000000001E-2</c:v>
                </c:pt>
                <c:pt idx="56">
                  <c:v>1.9400000000000001E-2</c:v>
                </c:pt>
                <c:pt idx="57">
                  <c:v>1.9550000000000001E-2</c:v>
                </c:pt>
                <c:pt idx="58">
                  <c:v>1.9290000000000002E-2</c:v>
                </c:pt>
                <c:pt idx="59">
                  <c:v>1.883E-2</c:v>
                </c:pt>
                <c:pt idx="60">
                  <c:v>1.925E-2</c:v>
                </c:pt>
                <c:pt idx="61">
                  <c:v>1.924E-2</c:v>
                </c:pt>
                <c:pt idx="62">
                  <c:v>1.9369999999999998E-2</c:v>
                </c:pt>
              </c:numCache>
            </c:numRef>
          </c:val>
          <c:smooth val="0"/>
          <c:extLst>
            <c:ext xmlns:c16="http://schemas.microsoft.com/office/drawing/2014/chart" uri="{C3380CC4-5D6E-409C-BE32-E72D297353CC}">
              <c16:uniqueId val="{00000000-2989-0046-8EE0-F9E813681FF1}"/>
            </c:ext>
          </c:extLst>
        </c:ser>
        <c:ser>
          <c:idx val="1"/>
          <c:order val="1"/>
          <c:tx>
            <c:v>Forecast</c:v>
          </c:tx>
          <c:cat>
            <c:numRef>
              <c:f>'MONIA-SOFR average Index model '!$B$2:$B$64</c:f>
              <c:numCache>
                <c:formatCode>m/d/yy</c:formatCode>
                <c:ptCount val="63"/>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43885</c:v>
                </c:pt>
                <c:pt idx="38">
                  <c:v>43886</c:v>
                </c:pt>
                <c:pt idx="39">
                  <c:v>43887</c:v>
                </c:pt>
                <c:pt idx="40">
                  <c:v>43888</c:v>
                </c:pt>
                <c:pt idx="41">
                  <c:v>43889</c:v>
                </c:pt>
                <c:pt idx="42">
                  <c:v>43892</c:v>
                </c:pt>
                <c:pt idx="43">
                  <c:v>43893</c:v>
                </c:pt>
                <c:pt idx="44">
                  <c:v>43894</c:v>
                </c:pt>
                <c:pt idx="45">
                  <c:v>43895</c:v>
                </c:pt>
                <c:pt idx="46">
                  <c:v>43896</c:v>
                </c:pt>
                <c:pt idx="47">
                  <c:v>43899</c:v>
                </c:pt>
                <c:pt idx="48">
                  <c:v>43900</c:v>
                </c:pt>
                <c:pt idx="49">
                  <c:v>43901</c:v>
                </c:pt>
                <c:pt idx="50">
                  <c:v>43902</c:v>
                </c:pt>
                <c:pt idx="51">
                  <c:v>43903</c:v>
                </c:pt>
                <c:pt idx="52">
                  <c:v>43906</c:v>
                </c:pt>
                <c:pt idx="53">
                  <c:v>43907</c:v>
                </c:pt>
                <c:pt idx="54">
                  <c:v>43908</c:v>
                </c:pt>
                <c:pt idx="55">
                  <c:v>43909</c:v>
                </c:pt>
                <c:pt idx="56">
                  <c:v>43910</c:v>
                </c:pt>
                <c:pt idx="57">
                  <c:v>43913</c:v>
                </c:pt>
                <c:pt idx="58">
                  <c:v>43914</c:v>
                </c:pt>
                <c:pt idx="59">
                  <c:v>43915</c:v>
                </c:pt>
                <c:pt idx="60">
                  <c:v>43916</c:v>
                </c:pt>
                <c:pt idx="61">
                  <c:v>43917</c:v>
                </c:pt>
                <c:pt idx="62">
                  <c:v>43920</c:v>
                </c:pt>
              </c:numCache>
            </c:numRef>
          </c:cat>
          <c:val>
            <c:numRef>
              <c:f>'MONIA-SOFR average Index model '!$Y$73:$Y$135</c:f>
              <c:numCache>
                <c:formatCode>General</c:formatCode>
                <c:ptCount val="6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formatCode="0.000%">
                  <c:v>2.1821333333333335E-2</c:v>
                </c:pt>
                <c:pt idx="15" formatCode="0.000%">
                  <c:v>2.1768666666666665E-2</c:v>
                </c:pt>
                <c:pt idx="16" formatCode="0.000%">
                  <c:v>2.1755333333333331E-2</c:v>
                </c:pt>
                <c:pt idx="17" formatCode="0.000%">
                  <c:v>2.1783333333333332E-2</c:v>
                </c:pt>
                <c:pt idx="18" formatCode="0.000%">
                  <c:v>2.1806666666666665E-2</c:v>
                </c:pt>
                <c:pt idx="19" formatCode="0.000%">
                  <c:v>2.1856666666666667E-2</c:v>
                </c:pt>
                <c:pt idx="20" formatCode="0.000%">
                  <c:v>2.1929333333333332E-2</c:v>
                </c:pt>
                <c:pt idx="21" formatCode="0.000%">
                  <c:v>2.1959999999999997E-2</c:v>
                </c:pt>
                <c:pt idx="22" formatCode="0.000%">
                  <c:v>2.2004666666666665E-2</c:v>
                </c:pt>
                <c:pt idx="23" formatCode="0.000%">
                  <c:v>2.2011999999999997E-2</c:v>
                </c:pt>
                <c:pt idx="24" formatCode="0.000%">
                  <c:v>2.2013333333333333E-2</c:v>
                </c:pt>
                <c:pt idx="25" formatCode="0.000%">
                  <c:v>2.1997333333333334E-2</c:v>
                </c:pt>
                <c:pt idx="26" formatCode="0.000%">
                  <c:v>2.2003333333333333E-2</c:v>
                </c:pt>
                <c:pt idx="27" formatCode="0.000%">
                  <c:v>2.1985333333333332E-2</c:v>
                </c:pt>
                <c:pt idx="28" formatCode="0.000%">
                  <c:v>2.1981333333333335E-2</c:v>
                </c:pt>
                <c:pt idx="29" formatCode="0.000%">
                  <c:v>2.1983333333333334E-2</c:v>
                </c:pt>
                <c:pt idx="30" formatCode="0.000%">
                  <c:v>2.2006000000000001E-2</c:v>
                </c:pt>
                <c:pt idx="31" formatCode="0.000%">
                  <c:v>2.2013333333333333E-2</c:v>
                </c:pt>
                <c:pt idx="32" formatCode="0.000%">
                  <c:v>2.1984000000000004E-2</c:v>
                </c:pt>
                <c:pt idx="33" formatCode="0.000%">
                  <c:v>2.1942000000000003E-2</c:v>
                </c:pt>
                <c:pt idx="34" formatCode="0.000%">
                  <c:v>2.1913999999999999E-2</c:v>
                </c:pt>
                <c:pt idx="35" formatCode="0.000%">
                  <c:v>2.1855333333333334E-2</c:v>
                </c:pt>
                <c:pt idx="36" formatCode="0.000%">
                  <c:v>2.1843333333333333E-2</c:v>
                </c:pt>
                <c:pt idx="37" formatCode="0.000%">
                  <c:v>2.1806666666666665E-2</c:v>
                </c:pt>
                <c:pt idx="38" formatCode="0.000%">
                  <c:v>2.1794666666666667E-2</c:v>
                </c:pt>
                <c:pt idx="39" formatCode="0.000%">
                  <c:v>2.1806000000000002E-2</c:v>
                </c:pt>
                <c:pt idx="40" formatCode="0.000%">
                  <c:v>2.1844666666666672E-2</c:v>
                </c:pt>
                <c:pt idx="41" formatCode="0.000%">
                  <c:v>2.1846666666666667E-2</c:v>
                </c:pt>
                <c:pt idx="42" formatCode="0.000%">
                  <c:v>2.1863333333333332E-2</c:v>
                </c:pt>
                <c:pt idx="43" formatCode="0.000%">
                  <c:v>2.1874666666666664E-2</c:v>
                </c:pt>
                <c:pt idx="44" formatCode="0.000%">
                  <c:v>2.1890666666666666E-2</c:v>
                </c:pt>
                <c:pt idx="45" formatCode="0.000%">
                  <c:v>2.1899999999999999E-2</c:v>
                </c:pt>
                <c:pt idx="46" formatCode="0.000%">
                  <c:v>2.1907999999999997E-2</c:v>
                </c:pt>
                <c:pt idx="47" formatCode="0.000%">
                  <c:v>2.1922000000000001E-2</c:v>
                </c:pt>
                <c:pt idx="48" formatCode="0.000%">
                  <c:v>2.1943333333333332E-2</c:v>
                </c:pt>
                <c:pt idx="49" formatCode="0.000%">
                  <c:v>2.1926666666666664E-2</c:v>
                </c:pt>
                <c:pt idx="50" formatCode="0.000%">
                  <c:v>2.1921999999999997E-2</c:v>
                </c:pt>
                <c:pt idx="51" formatCode="0.000%">
                  <c:v>2.1928666666666666E-2</c:v>
                </c:pt>
                <c:pt idx="52" formatCode="0.000%">
                  <c:v>2.1934000000000002E-2</c:v>
                </c:pt>
                <c:pt idx="53" formatCode="0.000%">
                  <c:v>2.1984666666666663E-2</c:v>
                </c:pt>
                <c:pt idx="54" formatCode="0.000%">
                  <c:v>2.2159333333333329E-2</c:v>
                </c:pt>
                <c:pt idx="55" formatCode="0.000%">
                  <c:v>2.2129333333333331E-2</c:v>
                </c:pt>
                <c:pt idx="56" formatCode="0.000%">
                  <c:v>2.1973999999999997E-2</c:v>
                </c:pt>
                <c:pt idx="57" formatCode="0.000%">
                  <c:v>2.1811999999999998E-2</c:v>
                </c:pt>
                <c:pt idx="58" formatCode="0.000%">
                  <c:v>2.1639333333333337E-2</c:v>
                </c:pt>
                <c:pt idx="59" formatCode="0.000%">
                  <c:v>2.1438000000000002E-2</c:v>
                </c:pt>
                <c:pt idx="60" formatCode="0.000%">
                  <c:v>2.1259999999999998E-2</c:v>
                </c:pt>
                <c:pt idx="61" formatCode="0.000%">
                  <c:v>2.1075999999999998E-2</c:v>
                </c:pt>
                <c:pt idx="62" formatCode="0.000%">
                  <c:v>2.0899333333333332E-2</c:v>
                </c:pt>
              </c:numCache>
            </c:numRef>
          </c:val>
          <c:smooth val="0"/>
          <c:extLst>
            <c:ext xmlns:c16="http://schemas.microsoft.com/office/drawing/2014/chart" uri="{C3380CC4-5D6E-409C-BE32-E72D297353CC}">
              <c16:uniqueId val="{00000001-2989-0046-8EE0-F9E813681FF1}"/>
            </c:ext>
          </c:extLst>
        </c:ser>
        <c:dLbls>
          <c:showLegendKey val="0"/>
          <c:showVal val="0"/>
          <c:showCatName val="0"/>
          <c:showSerName val="0"/>
          <c:showPercent val="0"/>
          <c:showBubbleSize val="0"/>
        </c:dLbls>
        <c:marker val="1"/>
        <c:smooth val="0"/>
        <c:axId val="1541212960"/>
        <c:axId val="1535338320"/>
      </c:lineChart>
      <c:dateAx>
        <c:axId val="1541212960"/>
        <c:scaling>
          <c:orientation val="minMax"/>
        </c:scaling>
        <c:delete val="0"/>
        <c:axPos val="b"/>
        <c:title>
          <c:tx>
            <c:rich>
              <a:bodyPr/>
              <a:lstStyle/>
              <a:p>
                <a:pPr>
                  <a:defRPr/>
                </a:pPr>
                <a:r>
                  <a:rPr lang="en-GB"/>
                  <a:t>Data Point</a:t>
                </a:r>
              </a:p>
            </c:rich>
          </c:tx>
          <c:overlay val="0"/>
        </c:title>
        <c:numFmt formatCode="m/d/yy" sourceLinked="1"/>
        <c:majorTickMark val="out"/>
        <c:minorTickMark val="none"/>
        <c:tickLblPos val="nextTo"/>
        <c:crossAx val="1535338320"/>
        <c:crosses val="autoZero"/>
        <c:auto val="1"/>
        <c:lblOffset val="100"/>
        <c:baseTimeUnit val="days"/>
        <c:majorUnit val="10"/>
        <c:majorTimeUnit val="days"/>
      </c:dateAx>
      <c:valAx>
        <c:axId val="1535338320"/>
        <c:scaling>
          <c:orientation val="minMax"/>
          <c:min val="1.8500000000000003E-2"/>
        </c:scaling>
        <c:delete val="0"/>
        <c:axPos val="l"/>
        <c:title>
          <c:tx>
            <c:rich>
              <a:bodyPr/>
              <a:lstStyle/>
              <a:p>
                <a:pPr>
                  <a:defRPr/>
                </a:pPr>
                <a:r>
                  <a:rPr lang="en-GB"/>
                  <a:t>Value</a:t>
                </a:r>
              </a:p>
            </c:rich>
          </c:tx>
          <c:overlay val="0"/>
        </c:title>
        <c:numFmt formatCode="0.000%" sourceLinked="1"/>
        <c:majorTickMark val="out"/>
        <c:minorTickMark val="none"/>
        <c:tickLblPos val="nextTo"/>
        <c:crossAx val="1541212960"/>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Forecast 3M</c:v>
          </c:tx>
          <c:spPr>
            <a:ln w="19050" cap="rnd">
              <a:solidFill>
                <a:schemeClr val="accent2"/>
              </a:solidFill>
              <a:round/>
            </a:ln>
            <a:effectLst/>
          </c:spPr>
          <c:marker>
            <c:symbol val="circle"/>
            <c:size val="5"/>
            <c:spPr>
              <a:solidFill>
                <a:schemeClr val="accent2"/>
              </a:solidFill>
              <a:ln w="9525">
                <a:solidFill>
                  <a:schemeClr val="accent2"/>
                </a:solidFill>
              </a:ln>
              <a:effectLst/>
            </c:spPr>
          </c:marker>
          <c:yVal>
            <c:numRef>
              <c:f>'MONIA-SOFR average Index model '!$Y$73:$Y$135</c:f>
              <c:numCache>
                <c:formatCode>General</c:formatCode>
                <c:ptCount val="6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formatCode="0.000%">
                  <c:v>2.1821333333333335E-2</c:v>
                </c:pt>
                <c:pt idx="15" formatCode="0.000%">
                  <c:v>2.1768666666666665E-2</c:v>
                </c:pt>
                <c:pt idx="16" formatCode="0.000%">
                  <c:v>2.1755333333333331E-2</c:v>
                </c:pt>
                <c:pt idx="17" formatCode="0.000%">
                  <c:v>2.1783333333333332E-2</c:v>
                </c:pt>
                <c:pt idx="18" formatCode="0.000%">
                  <c:v>2.1806666666666665E-2</c:v>
                </c:pt>
                <c:pt idx="19" formatCode="0.000%">
                  <c:v>2.1856666666666667E-2</c:v>
                </c:pt>
                <c:pt idx="20" formatCode="0.000%">
                  <c:v>2.1929333333333332E-2</c:v>
                </c:pt>
                <c:pt idx="21" formatCode="0.000%">
                  <c:v>2.1959999999999997E-2</c:v>
                </c:pt>
                <c:pt idx="22" formatCode="0.000%">
                  <c:v>2.2004666666666665E-2</c:v>
                </c:pt>
                <c:pt idx="23" formatCode="0.000%">
                  <c:v>2.2011999999999997E-2</c:v>
                </c:pt>
                <c:pt idx="24" formatCode="0.000%">
                  <c:v>2.2013333333333333E-2</c:v>
                </c:pt>
                <c:pt idx="25" formatCode="0.000%">
                  <c:v>2.1997333333333334E-2</c:v>
                </c:pt>
                <c:pt idx="26" formatCode="0.000%">
                  <c:v>2.2003333333333333E-2</c:v>
                </c:pt>
                <c:pt idx="27" formatCode="0.000%">
                  <c:v>2.1985333333333332E-2</c:v>
                </c:pt>
                <c:pt idx="28" formatCode="0.000%">
                  <c:v>2.1981333333333335E-2</c:v>
                </c:pt>
                <c:pt idx="29" formatCode="0.000%">
                  <c:v>2.1983333333333334E-2</c:v>
                </c:pt>
                <c:pt idx="30" formatCode="0.000%">
                  <c:v>2.2006000000000001E-2</c:v>
                </c:pt>
                <c:pt idx="31" formatCode="0.000%">
                  <c:v>2.2013333333333333E-2</c:v>
                </c:pt>
                <c:pt idx="32" formatCode="0.000%">
                  <c:v>2.1984000000000004E-2</c:v>
                </c:pt>
                <c:pt idx="33" formatCode="0.000%">
                  <c:v>2.1942000000000003E-2</c:v>
                </c:pt>
                <c:pt idx="34" formatCode="0.000%">
                  <c:v>2.1913999999999999E-2</c:v>
                </c:pt>
                <c:pt idx="35" formatCode="0.000%">
                  <c:v>2.1855333333333334E-2</c:v>
                </c:pt>
                <c:pt idx="36" formatCode="0.000%">
                  <c:v>2.1843333333333333E-2</c:v>
                </c:pt>
                <c:pt idx="37" formatCode="0.000%">
                  <c:v>2.1806666666666665E-2</c:v>
                </c:pt>
                <c:pt idx="38" formatCode="0.000%">
                  <c:v>2.1794666666666667E-2</c:v>
                </c:pt>
                <c:pt idx="39" formatCode="0.000%">
                  <c:v>2.1806000000000002E-2</c:v>
                </c:pt>
                <c:pt idx="40" formatCode="0.000%">
                  <c:v>2.1844666666666672E-2</c:v>
                </c:pt>
                <c:pt idx="41" formatCode="0.000%">
                  <c:v>2.1846666666666667E-2</c:v>
                </c:pt>
                <c:pt idx="42" formatCode="0.000%">
                  <c:v>2.1863333333333332E-2</c:v>
                </c:pt>
                <c:pt idx="43" formatCode="0.000%">
                  <c:v>2.1874666666666664E-2</c:v>
                </c:pt>
                <c:pt idx="44" formatCode="0.000%">
                  <c:v>2.1890666666666666E-2</c:v>
                </c:pt>
                <c:pt idx="45" formatCode="0.000%">
                  <c:v>2.1899999999999999E-2</c:v>
                </c:pt>
                <c:pt idx="46" formatCode="0.000%">
                  <c:v>2.1907999999999997E-2</c:v>
                </c:pt>
                <c:pt idx="47" formatCode="0.000%">
                  <c:v>2.1922000000000001E-2</c:v>
                </c:pt>
                <c:pt idx="48" formatCode="0.000%">
                  <c:v>2.1943333333333332E-2</c:v>
                </c:pt>
                <c:pt idx="49" formatCode="0.000%">
                  <c:v>2.1926666666666664E-2</c:v>
                </c:pt>
                <c:pt idx="50" formatCode="0.000%">
                  <c:v>2.1921999999999997E-2</c:v>
                </c:pt>
                <c:pt idx="51" formatCode="0.000%">
                  <c:v>2.1928666666666666E-2</c:v>
                </c:pt>
                <c:pt idx="52" formatCode="0.000%">
                  <c:v>2.1934000000000002E-2</c:v>
                </c:pt>
                <c:pt idx="53" formatCode="0.000%">
                  <c:v>2.1984666666666663E-2</c:v>
                </c:pt>
                <c:pt idx="54" formatCode="0.000%">
                  <c:v>2.2159333333333329E-2</c:v>
                </c:pt>
                <c:pt idx="55" formatCode="0.000%">
                  <c:v>2.2129333333333331E-2</c:v>
                </c:pt>
                <c:pt idx="56" formatCode="0.000%">
                  <c:v>2.1973999999999997E-2</c:v>
                </c:pt>
                <c:pt idx="57" formatCode="0.000%">
                  <c:v>2.1811999999999998E-2</c:v>
                </c:pt>
                <c:pt idx="58" formatCode="0.000%">
                  <c:v>2.1639333333333337E-2</c:v>
                </c:pt>
                <c:pt idx="59" formatCode="0.000%">
                  <c:v>2.1438000000000002E-2</c:v>
                </c:pt>
                <c:pt idx="60" formatCode="0.000%">
                  <c:v>2.1259999999999998E-2</c:v>
                </c:pt>
                <c:pt idx="61" formatCode="0.000%">
                  <c:v>2.1075999999999998E-2</c:v>
                </c:pt>
                <c:pt idx="62" formatCode="0.000%">
                  <c:v>2.0899333333333332E-2</c:v>
                </c:pt>
              </c:numCache>
            </c:numRef>
          </c:yVal>
          <c:smooth val="0"/>
          <c:extLst>
            <c:ext xmlns:c16="http://schemas.microsoft.com/office/drawing/2014/chart" uri="{C3380CC4-5D6E-409C-BE32-E72D297353CC}">
              <c16:uniqueId val="{00000000-3AEF-8242-B8D7-557018B74BDD}"/>
            </c:ext>
          </c:extLst>
        </c:ser>
        <c:dLbls>
          <c:showLegendKey val="0"/>
          <c:showVal val="0"/>
          <c:showCatName val="0"/>
          <c:showSerName val="0"/>
          <c:showPercent val="0"/>
          <c:showBubbleSize val="0"/>
        </c:dLbls>
        <c:axId val="1555576864"/>
        <c:axId val="1535339584"/>
      </c:scatterChart>
      <c:scatterChart>
        <c:scatterStyle val="lineMarker"/>
        <c:varyColors val="0"/>
        <c:ser>
          <c:idx val="3"/>
          <c:order val="1"/>
          <c:tx>
            <c:v>TMIB</c:v>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yVal>
            <c:numRef>
              <c:f>'[1]Données courbe'!$T$5:$T$152</c:f>
              <c:numCache>
                <c:formatCode>General</c:formatCode>
                <c:ptCount val="148"/>
                <c:pt idx="0">
                  <c:v>2.2499999999999999E-2</c:v>
                </c:pt>
                <c:pt idx="1">
                  <c:v>2.2509999999999999E-2</c:v>
                </c:pt>
                <c:pt idx="2">
                  <c:v>2.2509999999999999E-2</c:v>
                </c:pt>
                <c:pt idx="3">
                  <c:v>2.2509999999999999E-2</c:v>
                </c:pt>
                <c:pt idx="4">
                  <c:v>2.2499999999999999E-2</c:v>
                </c:pt>
                <c:pt idx="5">
                  <c:v>2.2499999999999999E-2</c:v>
                </c:pt>
                <c:pt idx="6">
                  <c:v>2.2499999999999999E-2</c:v>
                </c:pt>
                <c:pt idx="7">
                  <c:v>2.2499999999999999E-2</c:v>
                </c:pt>
                <c:pt idx="8">
                  <c:v>2.2499999999999999E-2</c:v>
                </c:pt>
                <c:pt idx="9">
                  <c:v>2.2499999999999999E-2</c:v>
                </c:pt>
                <c:pt idx="10">
                  <c:v>2.2499999999999999E-2</c:v>
                </c:pt>
                <c:pt idx="11">
                  <c:v>2.2499999999999999E-2</c:v>
                </c:pt>
                <c:pt idx="12">
                  <c:v>2.2499999999999999E-2</c:v>
                </c:pt>
                <c:pt idx="13">
                  <c:v>2.2499999999999999E-2</c:v>
                </c:pt>
                <c:pt idx="14">
                  <c:v>2.2499999999999999E-2</c:v>
                </c:pt>
                <c:pt idx="15">
                  <c:v>2.2550000000000001E-2</c:v>
                </c:pt>
                <c:pt idx="16">
                  <c:v>2.2550000000000001E-2</c:v>
                </c:pt>
                <c:pt idx="17">
                  <c:v>2.2550000000000001E-2</c:v>
                </c:pt>
                <c:pt idx="18">
                  <c:v>2.2499999999999999E-2</c:v>
                </c:pt>
                <c:pt idx="19">
                  <c:v>2.2499999999999999E-2</c:v>
                </c:pt>
                <c:pt idx="20">
                  <c:v>2.2589999999999999E-2</c:v>
                </c:pt>
                <c:pt idx="21">
                  <c:v>2.2579999999999999E-2</c:v>
                </c:pt>
                <c:pt idx="22">
                  <c:v>2.3019999999999999E-2</c:v>
                </c:pt>
                <c:pt idx="23">
                  <c:v>2.3019999999999999E-2</c:v>
                </c:pt>
                <c:pt idx="24">
                  <c:v>2.3019999999999999E-2</c:v>
                </c:pt>
                <c:pt idx="25">
                  <c:v>2.2780000000000002E-2</c:v>
                </c:pt>
                <c:pt idx="26">
                  <c:v>2.2800000000000001E-2</c:v>
                </c:pt>
                <c:pt idx="27">
                  <c:v>2.2919999999999999E-2</c:v>
                </c:pt>
                <c:pt idx="28">
                  <c:v>2.2509999999999999E-2</c:v>
                </c:pt>
                <c:pt idx="29">
                  <c:v>2.2499999999999999E-2</c:v>
                </c:pt>
                <c:pt idx="30">
                  <c:v>2.2499999999999999E-2</c:v>
                </c:pt>
                <c:pt idx="31">
                  <c:v>2.2499999999999999E-2</c:v>
                </c:pt>
                <c:pt idx="32">
                  <c:v>2.2499999999999999E-2</c:v>
                </c:pt>
                <c:pt idx="33">
                  <c:v>2.2499999999999999E-2</c:v>
                </c:pt>
                <c:pt idx="34">
                  <c:v>2.2499999999999999E-2</c:v>
                </c:pt>
                <c:pt idx="35">
                  <c:v>2.2499999999999999E-2</c:v>
                </c:pt>
                <c:pt idx="36">
                  <c:v>2.2499999999999999E-2</c:v>
                </c:pt>
                <c:pt idx="37">
                  <c:v>2.2499999999999999E-2</c:v>
                </c:pt>
                <c:pt idx="38">
                  <c:v>2.2499999999999999E-2</c:v>
                </c:pt>
                <c:pt idx="39">
                  <c:v>2.2499999999999999E-2</c:v>
                </c:pt>
                <c:pt idx="40">
                  <c:v>2.2499999999999999E-2</c:v>
                </c:pt>
                <c:pt idx="41">
                  <c:v>2.2530000000000001E-2</c:v>
                </c:pt>
                <c:pt idx="42">
                  <c:v>2.2499999999999999E-2</c:v>
                </c:pt>
                <c:pt idx="43">
                  <c:v>2.2499999999999999E-2</c:v>
                </c:pt>
                <c:pt idx="44">
                  <c:v>2.2499999999999999E-2</c:v>
                </c:pt>
                <c:pt idx="45">
                  <c:v>2.2499999999999999E-2</c:v>
                </c:pt>
                <c:pt idx="46">
                  <c:v>2.257E-2</c:v>
                </c:pt>
                <c:pt idx="47">
                  <c:v>2.2499999999999999E-2</c:v>
                </c:pt>
                <c:pt idx="48">
                  <c:v>2.2499999999999999E-2</c:v>
                </c:pt>
                <c:pt idx="49">
                  <c:v>2.2499999999999999E-2</c:v>
                </c:pt>
                <c:pt idx="50">
                  <c:v>2.2540000000000001E-2</c:v>
                </c:pt>
                <c:pt idx="51">
                  <c:v>2.2540000000000001E-2</c:v>
                </c:pt>
                <c:pt idx="52">
                  <c:v>2.2540000000000001E-2</c:v>
                </c:pt>
                <c:pt idx="53">
                  <c:v>2.2499999999999999E-2</c:v>
                </c:pt>
                <c:pt idx="54">
                  <c:v>2.2499999999999999E-2</c:v>
                </c:pt>
                <c:pt idx="55">
                  <c:v>2.2499999999999999E-2</c:v>
                </c:pt>
                <c:pt idx="56">
                  <c:v>2.2499999999999999E-2</c:v>
                </c:pt>
                <c:pt idx="57">
                  <c:v>2.2499999999999999E-2</c:v>
                </c:pt>
                <c:pt idx="58">
                  <c:v>2.2499999999999999E-2</c:v>
                </c:pt>
                <c:pt idx="59">
                  <c:v>2.2499999999999999E-2</c:v>
                </c:pt>
                <c:pt idx="60">
                  <c:v>2.2499999999999999E-2</c:v>
                </c:pt>
                <c:pt idx="61">
                  <c:v>2.2499999999999999E-2</c:v>
                </c:pt>
                <c:pt idx="62">
                  <c:v>2.2589999999999999E-2</c:v>
                </c:pt>
                <c:pt idx="63">
                  <c:v>2.2610000000000002E-2</c:v>
                </c:pt>
                <c:pt idx="64">
                  <c:v>2.2579999999999999E-2</c:v>
                </c:pt>
                <c:pt idx="65">
                  <c:v>2.2579999999999999E-2</c:v>
                </c:pt>
                <c:pt idx="66">
                  <c:v>2.2579999999999999E-2</c:v>
                </c:pt>
                <c:pt idx="67">
                  <c:v>2.2499999999999999E-2</c:v>
                </c:pt>
                <c:pt idx="68">
                  <c:v>2.2530000000000001E-2</c:v>
                </c:pt>
                <c:pt idx="69">
                  <c:v>2.2499999999999999E-2</c:v>
                </c:pt>
                <c:pt idx="70">
                  <c:v>2.2530000000000001E-2</c:v>
                </c:pt>
                <c:pt idx="71">
                  <c:v>2.264E-2</c:v>
                </c:pt>
                <c:pt idx="72">
                  <c:v>2.264E-2</c:v>
                </c:pt>
                <c:pt idx="73">
                  <c:v>2.264E-2</c:v>
                </c:pt>
                <c:pt idx="74">
                  <c:v>2.2790000000000001E-2</c:v>
                </c:pt>
                <c:pt idx="75">
                  <c:v>2.2599999999999999E-2</c:v>
                </c:pt>
                <c:pt idx="76">
                  <c:v>2.027E-2</c:v>
                </c:pt>
                <c:pt idx="77">
                  <c:v>2.0039999999999999E-2</c:v>
                </c:pt>
                <c:pt idx="78">
                  <c:v>2.0039999999999999E-2</c:v>
                </c:pt>
                <c:pt idx="79">
                  <c:v>2.0039999999999999E-2</c:v>
                </c:pt>
                <c:pt idx="80">
                  <c:v>2.0039999999999999E-2</c:v>
                </c:pt>
                <c:pt idx="81">
                  <c:v>0.02</c:v>
                </c:pt>
                <c:pt idx="82">
                  <c:v>0.02</c:v>
                </c:pt>
                <c:pt idx="83">
                  <c:v>0.02</c:v>
                </c:pt>
                <c:pt idx="84">
                  <c:v>0.02</c:v>
                </c:pt>
                <c:pt idx="85">
                  <c:v>0.02</c:v>
                </c:pt>
                <c:pt idx="86">
                  <c:v>0.02</c:v>
                </c:pt>
                <c:pt idx="87">
                  <c:v>0.02</c:v>
                </c:pt>
                <c:pt idx="88">
                  <c:v>0.02</c:v>
                </c:pt>
                <c:pt idx="89">
                  <c:v>0.02</c:v>
                </c:pt>
                <c:pt idx="90">
                  <c:v>0.02</c:v>
                </c:pt>
                <c:pt idx="91">
                  <c:v>0.02</c:v>
                </c:pt>
                <c:pt idx="92">
                  <c:v>2.0060000000000001E-2</c:v>
                </c:pt>
                <c:pt idx="93">
                  <c:v>2.0060000000000001E-2</c:v>
                </c:pt>
                <c:pt idx="94">
                  <c:v>2.0060000000000001E-2</c:v>
                </c:pt>
                <c:pt idx="95">
                  <c:v>0.02</c:v>
                </c:pt>
                <c:pt idx="96">
                  <c:v>0.02</c:v>
                </c:pt>
                <c:pt idx="97">
                  <c:v>0.02</c:v>
                </c:pt>
                <c:pt idx="98">
                  <c:v>2.0070000000000001E-2</c:v>
                </c:pt>
                <c:pt idx="99">
                  <c:v>2.0060000000000001E-2</c:v>
                </c:pt>
                <c:pt idx="100">
                  <c:v>2.0060000000000001E-2</c:v>
                </c:pt>
                <c:pt idx="101">
                  <c:v>2.0060000000000001E-2</c:v>
                </c:pt>
                <c:pt idx="102">
                  <c:v>2.0209999999999999E-2</c:v>
                </c:pt>
                <c:pt idx="103">
                  <c:v>2.0160000000000001E-2</c:v>
                </c:pt>
                <c:pt idx="104">
                  <c:v>2.0330000000000001E-2</c:v>
                </c:pt>
                <c:pt idx="105">
                  <c:v>2.0199999999999999E-2</c:v>
                </c:pt>
                <c:pt idx="106">
                  <c:v>2.019E-2</c:v>
                </c:pt>
                <c:pt idx="107">
                  <c:v>2.019E-2</c:v>
                </c:pt>
                <c:pt idx="108">
                  <c:v>2.019E-2</c:v>
                </c:pt>
                <c:pt idx="109">
                  <c:v>2.0209999999999999E-2</c:v>
                </c:pt>
                <c:pt idx="110">
                  <c:v>2.0310000000000002E-2</c:v>
                </c:pt>
                <c:pt idx="111">
                  <c:v>2.0289999999999999E-2</c:v>
                </c:pt>
                <c:pt idx="112">
                  <c:v>0.02</c:v>
                </c:pt>
                <c:pt idx="113">
                  <c:v>0.02</c:v>
                </c:pt>
                <c:pt idx="114">
                  <c:v>0.02</c:v>
                </c:pt>
                <c:pt idx="115">
                  <c:v>0.02</c:v>
                </c:pt>
                <c:pt idx="116">
                  <c:v>0.02</c:v>
                </c:pt>
                <c:pt idx="117">
                  <c:v>2.001E-2</c:v>
                </c:pt>
                <c:pt idx="118">
                  <c:v>0.02</c:v>
                </c:pt>
                <c:pt idx="119">
                  <c:v>2.001E-2</c:v>
                </c:pt>
                <c:pt idx="120">
                  <c:v>2.001E-2</c:v>
                </c:pt>
                <c:pt idx="121">
                  <c:v>2.001E-2</c:v>
                </c:pt>
                <c:pt idx="122">
                  <c:v>2.001E-2</c:v>
                </c:pt>
                <c:pt idx="123">
                  <c:v>0.02</c:v>
                </c:pt>
                <c:pt idx="124">
                  <c:v>0.02</c:v>
                </c:pt>
                <c:pt idx="125">
                  <c:v>0.02</c:v>
                </c:pt>
                <c:pt idx="126">
                  <c:v>0.02</c:v>
                </c:pt>
                <c:pt idx="127">
                  <c:v>0.02</c:v>
                </c:pt>
                <c:pt idx="128">
                  <c:v>0.02</c:v>
                </c:pt>
                <c:pt idx="129">
                  <c:v>0.02</c:v>
                </c:pt>
                <c:pt idx="130">
                  <c:v>0.02</c:v>
                </c:pt>
                <c:pt idx="131">
                  <c:v>0.02</c:v>
                </c:pt>
                <c:pt idx="132">
                  <c:v>2.001E-2</c:v>
                </c:pt>
                <c:pt idx="133">
                  <c:v>0.02</c:v>
                </c:pt>
                <c:pt idx="134">
                  <c:v>2.0029999999999999E-2</c:v>
                </c:pt>
                <c:pt idx="135">
                  <c:v>2.0029999999999999E-2</c:v>
                </c:pt>
                <c:pt idx="136">
                  <c:v>2.0029999999999999E-2</c:v>
                </c:pt>
                <c:pt idx="137">
                  <c:v>0.02</c:v>
                </c:pt>
                <c:pt idx="138">
                  <c:v>0.02</c:v>
                </c:pt>
                <c:pt idx="139">
                  <c:v>0.02</c:v>
                </c:pt>
                <c:pt idx="140">
                  <c:v>0.02</c:v>
                </c:pt>
                <c:pt idx="141">
                  <c:v>0.02</c:v>
                </c:pt>
                <c:pt idx="142">
                  <c:v>0.02</c:v>
                </c:pt>
                <c:pt idx="143">
                  <c:v>0.02</c:v>
                </c:pt>
                <c:pt idx="144">
                  <c:v>0.02</c:v>
                </c:pt>
                <c:pt idx="145">
                  <c:v>0.02</c:v>
                </c:pt>
                <c:pt idx="146">
                  <c:v>0.02</c:v>
                </c:pt>
                <c:pt idx="147">
                  <c:v>0.02</c:v>
                </c:pt>
              </c:numCache>
            </c:numRef>
          </c:yVal>
          <c:smooth val="0"/>
          <c:extLst>
            <c:ext xmlns:c16="http://schemas.microsoft.com/office/drawing/2014/chart" uri="{C3380CC4-5D6E-409C-BE32-E72D297353CC}">
              <c16:uniqueId val="{00000001-3AEF-8242-B8D7-557018B74BDD}"/>
            </c:ext>
          </c:extLst>
        </c:ser>
        <c:dLbls>
          <c:showLegendKey val="0"/>
          <c:showVal val="0"/>
          <c:showCatName val="0"/>
          <c:showSerName val="0"/>
          <c:showPercent val="0"/>
          <c:showBubbleSize val="0"/>
        </c:dLbls>
        <c:axId val="1498331984"/>
        <c:axId val="1569521968"/>
      </c:scatterChart>
      <c:valAx>
        <c:axId val="1555576864"/>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5339584"/>
        <c:crosses val="autoZero"/>
        <c:crossBetween val="midCat"/>
      </c:valAx>
      <c:valAx>
        <c:axId val="153533958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5576864"/>
        <c:crosses val="autoZero"/>
        <c:crossBetween val="midCat"/>
      </c:valAx>
      <c:valAx>
        <c:axId val="1569521968"/>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331984"/>
        <c:crosses val="max"/>
        <c:crossBetween val="midCat"/>
      </c:valAx>
      <c:valAx>
        <c:axId val="1498331984"/>
        <c:scaling>
          <c:orientation val="minMax"/>
        </c:scaling>
        <c:delete val="1"/>
        <c:axPos val="b"/>
        <c:numFmt formatCode="m/d/yy" sourceLinked="1"/>
        <c:majorTickMark val="out"/>
        <c:minorTickMark val="none"/>
        <c:tickLblPos val="nextTo"/>
        <c:crossAx val="15695219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MA1M</c:v>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'MONIA-SOFR average Index model '!$B$2:$B$64</c:f>
              <c:numCache>
                <c:formatCode>m/d/yy</c:formatCode>
                <c:ptCount val="63"/>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43885</c:v>
                </c:pt>
                <c:pt idx="38">
                  <c:v>43886</c:v>
                </c:pt>
                <c:pt idx="39">
                  <c:v>43887</c:v>
                </c:pt>
                <c:pt idx="40">
                  <c:v>43888</c:v>
                </c:pt>
                <c:pt idx="41">
                  <c:v>43889</c:v>
                </c:pt>
                <c:pt idx="42">
                  <c:v>43892</c:v>
                </c:pt>
                <c:pt idx="43">
                  <c:v>43893</c:v>
                </c:pt>
                <c:pt idx="44">
                  <c:v>43894</c:v>
                </c:pt>
                <c:pt idx="45">
                  <c:v>43895</c:v>
                </c:pt>
                <c:pt idx="46">
                  <c:v>43896</c:v>
                </c:pt>
                <c:pt idx="47">
                  <c:v>43899</c:v>
                </c:pt>
                <c:pt idx="48">
                  <c:v>43900</c:v>
                </c:pt>
                <c:pt idx="49">
                  <c:v>43901</c:v>
                </c:pt>
                <c:pt idx="50">
                  <c:v>43902</c:v>
                </c:pt>
                <c:pt idx="51">
                  <c:v>43903</c:v>
                </c:pt>
                <c:pt idx="52">
                  <c:v>43906</c:v>
                </c:pt>
                <c:pt idx="53">
                  <c:v>43907</c:v>
                </c:pt>
                <c:pt idx="54">
                  <c:v>43908</c:v>
                </c:pt>
                <c:pt idx="55">
                  <c:v>43909</c:v>
                </c:pt>
                <c:pt idx="56">
                  <c:v>43910</c:v>
                </c:pt>
                <c:pt idx="57">
                  <c:v>43913</c:v>
                </c:pt>
                <c:pt idx="58">
                  <c:v>43914</c:v>
                </c:pt>
                <c:pt idx="59">
                  <c:v>43915</c:v>
                </c:pt>
                <c:pt idx="60">
                  <c:v>43916</c:v>
                </c:pt>
                <c:pt idx="61">
                  <c:v>43917</c:v>
                </c:pt>
                <c:pt idx="62">
                  <c:v>43920</c:v>
                </c:pt>
              </c:numCache>
            </c:numRef>
          </c:cat>
          <c:val>
            <c:numRef>
              <c:f>'MONIA-SOFR average Index model '!$P$75:$P$95</c:f>
              <c:numCache>
                <c:formatCode>General</c:formatCode>
                <c:ptCount val="21"/>
                <c:pt idx="0">
                  <c:v>#N/A</c:v>
                </c:pt>
                <c:pt idx="1">
                  <c:v>#N/A</c:v>
                </c:pt>
                <c:pt idx="2">
                  <c:v>#N/A</c:v>
                </c:pt>
                <c:pt idx="3">
                  <c:v>#N/A</c:v>
                </c:pt>
                <c:pt idx="4" formatCode="0.000%">
                  <c:v>2.1936000000000004E-2</c:v>
                </c:pt>
                <c:pt idx="5" formatCode="0.000%">
                  <c:v>2.1842E-2</c:v>
                </c:pt>
                <c:pt idx="6" formatCode="0.000%">
                  <c:v>2.1791999999999999E-2</c:v>
                </c:pt>
                <c:pt idx="7" formatCode="0.000%">
                  <c:v>2.1786E-2</c:v>
                </c:pt>
                <c:pt idx="8" formatCode="0.000%">
                  <c:v>2.1800000000000003E-2</c:v>
                </c:pt>
                <c:pt idx="9" formatCode="0.000%">
                  <c:v>2.1808000000000001E-2</c:v>
                </c:pt>
                <c:pt idx="10" formatCode="0.000%">
                  <c:v>2.1783999999999998E-2</c:v>
                </c:pt>
                <c:pt idx="11" formatCode="0.000%">
                  <c:v>2.1762E-2</c:v>
                </c:pt>
                <c:pt idx="12" formatCode="0.000%">
                  <c:v>2.1801999999999998E-2</c:v>
                </c:pt>
                <c:pt idx="13" formatCode="0.000%">
                  <c:v>2.1756000000000001E-2</c:v>
                </c:pt>
                <c:pt idx="14" formatCode="0.000%">
                  <c:v>2.172E-2</c:v>
                </c:pt>
                <c:pt idx="15" formatCode="0.000%">
                  <c:v>2.1679999999999998E-2</c:v>
                </c:pt>
                <c:pt idx="16" formatCode="0.000%">
                  <c:v>2.1712000000000002E-2</c:v>
                </c:pt>
                <c:pt idx="17" formatCode="0.000%">
                  <c:v>2.1761999999999997E-2</c:v>
                </c:pt>
                <c:pt idx="18" formatCode="0.000%">
                  <c:v>2.1864000000000001E-2</c:v>
                </c:pt>
                <c:pt idx="19" formatCode="0.000%">
                  <c:v>2.2041999999999999E-2</c:v>
                </c:pt>
                <c:pt idx="20" formatCode="0.000%">
                  <c:v>2.2324E-2</c:v>
                </c:pt>
              </c:numCache>
            </c:numRef>
          </c:val>
          <c:smooth val="0"/>
          <c:extLst>
            <c:ext xmlns:c16="http://schemas.microsoft.com/office/drawing/2014/chart" uri="{C3380CC4-5D6E-409C-BE32-E72D297353CC}">
              <c16:uniqueId val="{00000000-4D2B-AA49-8438-78705438CE39}"/>
            </c:ext>
          </c:extLst>
        </c:ser>
        <c:ser>
          <c:idx val="1"/>
          <c:order val="1"/>
          <c:tx>
            <c:v>MA2M</c:v>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'MONIA-SOFR average Index model '!$B$2:$B$64</c:f>
              <c:numCache>
                <c:formatCode>m/d/yy</c:formatCode>
                <c:ptCount val="63"/>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43885</c:v>
                </c:pt>
                <c:pt idx="38">
                  <c:v>43886</c:v>
                </c:pt>
                <c:pt idx="39">
                  <c:v>43887</c:v>
                </c:pt>
                <c:pt idx="40">
                  <c:v>43888</c:v>
                </c:pt>
                <c:pt idx="41">
                  <c:v>43889</c:v>
                </c:pt>
                <c:pt idx="42">
                  <c:v>43892</c:v>
                </c:pt>
                <c:pt idx="43">
                  <c:v>43893</c:v>
                </c:pt>
                <c:pt idx="44">
                  <c:v>43894</c:v>
                </c:pt>
                <c:pt idx="45">
                  <c:v>43895</c:v>
                </c:pt>
                <c:pt idx="46">
                  <c:v>43896</c:v>
                </c:pt>
                <c:pt idx="47">
                  <c:v>43899</c:v>
                </c:pt>
                <c:pt idx="48">
                  <c:v>43900</c:v>
                </c:pt>
                <c:pt idx="49">
                  <c:v>43901</c:v>
                </c:pt>
                <c:pt idx="50">
                  <c:v>43902</c:v>
                </c:pt>
                <c:pt idx="51">
                  <c:v>43903</c:v>
                </c:pt>
                <c:pt idx="52">
                  <c:v>43906</c:v>
                </c:pt>
                <c:pt idx="53">
                  <c:v>43907</c:v>
                </c:pt>
                <c:pt idx="54">
                  <c:v>43908</c:v>
                </c:pt>
                <c:pt idx="55">
                  <c:v>43909</c:v>
                </c:pt>
                <c:pt idx="56">
                  <c:v>43910</c:v>
                </c:pt>
                <c:pt idx="57">
                  <c:v>43913</c:v>
                </c:pt>
                <c:pt idx="58">
                  <c:v>43914</c:v>
                </c:pt>
                <c:pt idx="59">
                  <c:v>43915</c:v>
                </c:pt>
                <c:pt idx="60">
                  <c:v>43916</c:v>
                </c:pt>
                <c:pt idx="61">
                  <c:v>43917</c:v>
                </c:pt>
                <c:pt idx="62">
                  <c:v>43920</c:v>
                </c:pt>
              </c:numCache>
            </c:numRef>
          </c:cat>
          <c:val>
            <c:numRef>
              <c:f>'MONIA-SOFR average Index model '!$P$98:$P$140</c:f>
              <c:numCache>
                <c:formatCode>General</c:formatCode>
                <c:ptCount val="43"/>
                <c:pt idx="0">
                  <c:v>#N/A</c:v>
                </c:pt>
                <c:pt idx="1">
                  <c:v>#N/A</c:v>
                </c:pt>
                <c:pt idx="2">
                  <c:v>#N/A</c:v>
                </c:pt>
                <c:pt idx="3">
                  <c:v>#N/A</c:v>
                </c:pt>
                <c:pt idx="4">
                  <c:v>#N/A</c:v>
                </c:pt>
                <c:pt idx="5">
                  <c:v>#N/A</c:v>
                </c:pt>
                <c:pt idx="6">
                  <c:v>#N/A</c:v>
                </c:pt>
                <c:pt idx="7">
                  <c:v>#N/A</c:v>
                </c:pt>
                <c:pt idx="8">
                  <c:v>#N/A</c:v>
                </c:pt>
                <c:pt idx="9" formatCode="0.000%">
                  <c:v>2.1871999999999999E-2</c:v>
                </c:pt>
                <c:pt idx="10" formatCode="0.000%">
                  <c:v>2.1812999999999996E-2</c:v>
                </c:pt>
                <c:pt idx="11" formatCode="0.000%">
                  <c:v>2.1776999999999998E-2</c:v>
                </c:pt>
                <c:pt idx="12" formatCode="0.000%">
                  <c:v>2.1793999999999997E-2</c:v>
                </c:pt>
                <c:pt idx="13" formatCode="0.000%">
                  <c:v>2.1777999999999999E-2</c:v>
                </c:pt>
                <c:pt idx="14" formatCode="0.000%">
                  <c:v>2.1763999999999999E-2</c:v>
                </c:pt>
                <c:pt idx="15" formatCode="0.000%">
                  <c:v>2.1731999999999994E-2</c:v>
                </c:pt>
                <c:pt idx="16" formatCode="0.000%">
                  <c:v>2.1736999999999999E-2</c:v>
                </c:pt>
                <c:pt idx="17" formatCode="0.000%">
                  <c:v>2.1782000000000003E-2</c:v>
                </c:pt>
                <c:pt idx="18" formatCode="0.000%">
                  <c:v>2.181E-2</c:v>
                </c:pt>
                <c:pt idx="19" formatCode="0.000%">
                  <c:v>2.1880999999999998E-2</c:v>
                </c:pt>
                <c:pt idx="20" formatCode="0.000%">
                  <c:v>2.2002000000000001E-2</c:v>
                </c:pt>
                <c:pt idx="21" formatCode="0.000%">
                  <c:v>2.2059000000000002E-2</c:v>
                </c:pt>
                <c:pt idx="22" formatCode="0.000%">
                  <c:v>2.2105999999999997E-2</c:v>
                </c:pt>
                <c:pt idx="23" formatCode="0.000%">
                  <c:v>2.214E-2</c:v>
                </c:pt>
                <c:pt idx="24" formatCode="0.000%">
                  <c:v>2.2159999999999996E-2</c:v>
                </c:pt>
                <c:pt idx="25" formatCode="0.000%">
                  <c:v>2.2155999999999999E-2</c:v>
                </c:pt>
                <c:pt idx="26" formatCode="0.000%">
                  <c:v>2.2148999999999995E-2</c:v>
                </c:pt>
                <c:pt idx="27" formatCode="0.000%">
                  <c:v>2.2096999999999999E-2</c:v>
                </c:pt>
                <c:pt idx="28" formatCode="0.000%">
                  <c:v>2.2040000000000001E-2</c:v>
                </c:pt>
                <c:pt idx="29" formatCode="0.000%">
                  <c:v>2.1954000000000001E-2</c:v>
                </c:pt>
                <c:pt idx="30" formatCode="0.000%">
                  <c:v>2.1846999999999998E-2</c:v>
                </c:pt>
                <c:pt idx="31" formatCode="0.000%">
                  <c:v>2.1817E-2</c:v>
                </c:pt>
                <c:pt idx="32" formatCode="0.000%">
                  <c:v>2.1751E-2</c:v>
                </c:pt>
                <c:pt idx="33" formatCode="0.000%">
                  <c:v>2.1704999999999999E-2</c:v>
                </c:pt>
                <c:pt idx="34" formatCode="0.000%">
                  <c:v>2.1732000000000001E-2</c:v>
                </c:pt>
                <c:pt idx="35" formatCode="0.000%">
                  <c:v>2.1789000000000003E-2</c:v>
                </c:pt>
                <c:pt idx="36" formatCode="0.000%">
                  <c:v>2.1818999999999998E-2</c:v>
                </c:pt>
                <c:pt idx="37" formatCode="0.000%">
                  <c:v>2.1837999999999993E-2</c:v>
                </c:pt>
                <c:pt idx="38" formatCode="0.000%">
                  <c:v>2.1859999999999997E-2</c:v>
                </c:pt>
                <c:pt idx="39" formatCode="0.000%">
                  <c:v>2.1894E-2</c:v>
                </c:pt>
                <c:pt idx="40" formatCode="0.000%">
                  <c:v>2.1913999999999999E-2</c:v>
                </c:pt>
                <c:pt idx="41" formatCode="0.000%">
                  <c:v>2.1898999999999998E-2</c:v>
                </c:pt>
                <c:pt idx="42" formatCode="0.000%">
                  <c:v>2.1915999999999998E-2</c:v>
                </c:pt>
              </c:numCache>
            </c:numRef>
          </c:val>
          <c:smooth val="0"/>
          <c:extLst>
            <c:ext xmlns:c16="http://schemas.microsoft.com/office/drawing/2014/chart" uri="{C3380CC4-5D6E-409C-BE32-E72D297353CC}">
              <c16:uniqueId val="{00000001-4D2B-AA49-8438-78705438CE39}"/>
            </c:ext>
          </c:extLst>
        </c:ser>
        <c:ser>
          <c:idx val="2"/>
          <c:order val="2"/>
          <c:tx>
            <c:v>MA3M</c:v>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'MONIA-SOFR average Index model '!$B$2:$B$64</c:f>
              <c:numCache>
                <c:formatCode>m/d/yy</c:formatCode>
                <c:ptCount val="63"/>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43885</c:v>
                </c:pt>
                <c:pt idx="38">
                  <c:v>43886</c:v>
                </c:pt>
                <c:pt idx="39">
                  <c:v>43887</c:v>
                </c:pt>
                <c:pt idx="40">
                  <c:v>43888</c:v>
                </c:pt>
                <c:pt idx="41">
                  <c:v>43889</c:v>
                </c:pt>
                <c:pt idx="42">
                  <c:v>43892</c:v>
                </c:pt>
                <c:pt idx="43">
                  <c:v>43893</c:v>
                </c:pt>
                <c:pt idx="44">
                  <c:v>43894</c:v>
                </c:pt>
                <c:pt idx="45">
                  <c:v>43895</c:v>
                </c:pt>
                <c:pt idx="46">
                  <c:v>43896</c:v>
                </c:pt>
                <c:pt idx="47">
                  <c:v>43899</c:v>
                </c:pt>
                <c:pt idx="48">
                  <c:v>43900</c:v>
                </c:pt>
                <c:pt idx="49">
                  <c:v>43901</c:v>
                </c:pt>
                <c:pt idx="50">
                  <c:v>43902</c:v>
                </c:pt>
                <c:pt idx="51">
                  <c:v>43903</c:v>
                </c:pt>
                <c:pt idx="52">
                  <c:v>43906</c:v>
                </c:pt>
                <c:pt idx="53">
                  <c:v>43907</c:v>
                </c:pt>
                <c:pt idx="54">
                  <c:v>43908</c:v>
                </c:pt>
                <c:pt idx="55">
                  <c:v>43909</c:v>
                </c:pt>
                <c:pt idx="56">
                  <c:v>43910</c:v>
                </c:pt>
                <c:pt idx="57">
                  <c:v>43913</c:v>
                </c:pt>
                <c:pt idx="58">
                  <c:v>43914</c:v>
                </c:pt>
                <c:pt idx="59">
                  <c:v>43915</c:v>
                </c:pt>
                <c:pt idx="60">
                  <c:v>43916</c:v>
                </c:pt>
                <c:pt idx="61">
                  <c:v>43917</c:v>
                </c:pt>
                <c:pt idx="62">
                  <c:v>43920</c:v>
                </c:pt>
              </c:numCache>
            </c:numRef>
          </c:cat>
          <c:val>
            <c:numRef>
              <c:f>'MONIA-SOFR average Index model '!$Y$73:$Y$135</c:f>
              <c:numCache>
                <c:formatCode>General</c:formatCode>
                <c:ptCount val="6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formatCode="0.000%">
                  <c:v>2.1821333333333335E-2</c:v>
                </c:pt>
                <c:pt idx="15" formatCode="0.000%">
                  <c:v>2.1768666666666665E-2</c:v>
                </c:pt>
                <c:pt idx="16" formatCode="0.000%">
                  <c:v>2.1755333333333331E-2</c:v>
                </c:pt>
                <c:pt idx="17" formatCode="0.000%">
                  <c:v>2.1783333333333332E-2</c:v>
                </c:pt>
                <c:pt idx="18" formatCode="0.000%">
                  <c:v>2.1806666666666665E-2</c:v>
                </c:pt>
                <c:pt idx="19" formatCode="0.000%">
                  <c:v>2.1856666666666667E-2</c:v>
                </c:pt>
                <c:pt idx="20" formatCode="0.000%">
                  <c:v>2.1929333333333332E-2</c:v>
                </c:pt>
                <c:pt idx="21" formatCode="0.000%">
                  <c:v>2.1959999999999997E-2</c:v>
                </c:pt>
                <c:pt idx="22" formatCode="0.000%">
                  <c:v>2.2004666666666665E-2</c:v>
                </c:pt>
                <c:pt idx="23" formatCode="0.000%">
                  <c:v>2.2011999999999997E-2</c:v>
                </c:pt>
                <c:pt idx="24" formatCode="0.000%">
                  <c:v>2.2013333333333333E-2</c:v>
                </c:pt>
                <c:pt idx="25" formatCode="0.000%">
                  <c:v>2.1997333333333334E-2</c:v>
                </c:pt>
                <c:pt idx="26" formatCode="0.000%">
                  <c:v>2.2003333333333333E-2</c:v>
                </c:pt>
                <c:pt idx="27" formatCode="0.000%">
                  <c:v>2.1985333333333332E-2</c:v>
                </c:pt>
                <c:pt idx="28" formatCode="0.000%">
                  <c:v>2.1981333333333335E-2</c:v>
                </c:pt>
                <c:pt idx="29" formatCode="0.000%">
                  <c:v>2.1983333333333334E-2</c:v>
                </c:pt>
                <c:pt idx="30" formatCode="0.000%">
                  <c:v>2.2006000000000001E-2</c:v>
                </c:pt>
                <c:pt idx="31" formatCode="0.000%">
                  <c:v>2.2013333333333333E-2</c:v>
                </c:pt>
                <c:pt idx="32" formatCode="0.000%">
                  <c:v>2.1984000000000004E-2</c:v>
                </c:pt>
                <c:pt idx="33" formatCode="0.000%">
                  <c:v>2.1942000000000003E-2</c:v>
                </c:pt>
                <c:pt idx="34" formatCode="0.000%">
                  <c:v>2.1913999999999999E-2</c:v>
                </c:pt>
                <c:pt idx="35" formatCode="0.000%">
                  <c:v>2.1855333333333334E-2</c:v>
                </c:pt>
                <c:pt idx="36" formatCode="0.000%">
                  <c:v>2.1843333333333333E-2</c:v>
                </c:pt>
                <c:pt idx="37" formatCode="0.000%">
                  <c:v>2.1806666666666665E-2</c:v>
                </c:pt>
                <c:pt idx="38" formatCode="0.000%">
                  <c:v>2.1794666666666667E-2</c:v>
                </c:pt>
                <c:pt idx="39" formatCode="0.000%">
                  <c:v>2.1806000000000002E-2</c:v>
                </c:pt>
                <c:pt idx="40" formatCode="0.000%">
                  <c:v>2.1844666666666672E-2</c:v>
                </c:pt>
                <c:pt idx="41" formatCode="0.000%">
                  <c:v>2.1846666666666667E-2</c:v>
                </c:pt>
                <c:pt idx="42" formatCode="0.000%">
                  <c:v>2.1863333333333332E-2</c:v>
                </c:pt>
                <c:pt idx="43" formatCode="0.000%">
                  <c:v>2.1874666666666664E-2</c:v>
                </c:pt>
                <c:pt idx="44" formatCode="0.000%">
                  <c:v>2.1890666666666666E-2</c:v>
                </c:pt>
                <c:pt idx="45" formatCode="0.000%">
                  <c:v>2.1899999999999999E-2</c:v>
                </c:pt>
                <c:pt idx="46" formatCode="0.000%">
                  <c:v>2.1907999999999997E-2</c:v>
                </c:pt>
                <c:pt idx="47" formatCode="0.000%">
                  <c:v>2.1922000000000001E-2</c:v>
                </c:pt>
                <c:pt idx="48" formatCode="0.000%">
                  <c:v>2.1943333333333332E-2</c:v>
                </c:pt>
                <c:pt idx="49" formatCode="0.000%">
                  <c:v>2.1926666666666664E-2</c:v>
                </c:pt>
                <c:pt idx="50" formatCode="0.000%">
                  <c:v>2.1921999999999997E-2</c:v>
                </c:pt>
                <c:pt idx="51" formatCode="0.000%">
                  <c:v>2.1928666666666666E-2</c:v>
                </c:pt>
                <c:pt idx="52" formatCode="0.000%">
                  <c:v>2.1934000000000002E-2</c:v>
                </c:pt>
                <c:pt idx="53" formatCode="0.000%">
                  <c:v>2.1984666666666663E-2</c:v>
                </c:pt>
                <c:pt idx="54" formatCode="0.000%">
                  <c:v>2.2159333333333329E-2</c:v>
                </c:pt>
                <c:pt idx="55" formatCode="0.000%">
                  <c:v>2.2129333333333331E-2</c:v>
                </c:pt>
                <c:pt idx="56" formatCode="0.000%">
                  <c:v>2.1973999999999997E-2</c:v>
                </c:pt>
                <c:pt idx="57" formatCode="0.000%">
                  <c:v>2.1811999999999998E-2</c:v>
                </c:pt>
                <c:pt idx="58" formatCode="0.000%">
                  <c:v>2.1639333333333337E-2</c:v>
                </c:pt>
                <c:pt idx="59" formatCode="0.000%">
                  <c:v>2.1438000000000002E-2</c:v>
                </c:pt>
                <c:pt idx="60" formatCode="0.000%">
                  <c:v>2.1259999999999998E-2</c:v>
                </c:pt>
                <c:pt idx="61" formatCode="0.000%">
                  <c:v>2.1075999999999998E-2</c:v>
                </c:pt>
                <c:pt idx="62" formatCode="0.000%">
                  <c:v>2.0899333333333332E-2</c:v>
                </c:pt>
              </c:numCache>
            </c:numRef>
          </c:val>
          <c:smooth val="0"/>
          <c:extLst>
            <c:ext xmlns:c16="http://schemas.microsoft.com/office/drawing/2014/chart" uri="{C3380CC4-5D6E-409C-BE32-E72D297353CC}">
              <c16:uniqueId val="{00000002-4D2B-AA49-8438-78705438CE39}"/>
            </c:ext>
          </c:extLst>
        </c:ser>
        <c:ser>
          <c:idx val="3"/>
          <c:order val="3"/>
          <c:tx>
            <c:strRef>
              <c:f>'MONIA-SOFR average Index model '!$C$1</c:f>
              <c:strCache>
                <c:ptCount val="1"/>
                <c:pt idx="0">
                  <c:v>Taux MONIA</c:v>
                </c:pt>
              </c:strCache>
            </c:strRef>
          </c:tx>
          <c:spPr>
            <a:ln w="28575" cap="rnd">
              <a:solidFill>
                <a:srgbClr val="7030A0">
                  <a:alpha val="39000"/>
                </a:srgbClr>
              </a:solidFill>
              <a:round/>
            </a:ln>
            <a:effectLst/>
          </c:spPr>
          <c:marker>
            <c:symbol val="circle"/>
            <c:size val="5"/>
            <c:spPr>
              <a:solidFill>
                <a:srgbClr val="7030A0"/>
              </a:solidFill>
              <a:ln w="9525" cap="sq">
                <a:solidFill>
                  <a:srgbClr val="7030A0"/>
                </a:solidFill>
              </a:ln>
              <a:effectLst/>
            </c:spPr>
          </c:marker>
          <c:dPt>
            <c:idx val="5"/>
            <c:marker>
              <c:symbol val="circle"/>
              <c:size val="5"/>
              <c:spPr>
                <a:solidFill>
                  <a:srgbClr val="7030A0"/>
                </a:solidFill>
                <a:ln w="9525" cap="sq">
                  <a:solidFill>
                    <a:srgbClr val="7030A0">
                      <a:alpha val="39000"/>
                    </a:srgbClr>
                  </a:solidFill>
                </a:ln>
                <a:effectLst/>
              </c:spPr>
            </c:marker>
            <c:bubble3D val="0"/>
            <c:extLst>
              <c:ext xmlns:c16="http://schemas.microsoft.com/office/drawing/2014/chart" uri="{C3380CC4-5D6E-409C-BE32-E72D297353CC}">
                <c16:uniqueId val="{00000005-4D2B-AA49-8438-78705438CE39}"/>
              </c:ext>
            </c:extLst>
          </c:dPt>
          <c:dPt>
            <c:idx val="52"/>
            <c:marker>
              <c:symbol val="circle"/>
              <c:size val="5"/>
              <c:spPr>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5400000" scaled="1"/>
                  <a:tileRect/>
                </a:gradFill>
                <a:ln w="9525" cap="sq">
                  <a:solidFill>
                    <a:srgbClr val="7030A0"/>
                  </a:solidFill>
                </a:ln>
                <a:effectLst/>
              </c:spPr>
            </c:marker>
            <c:bubble3D val="0"/>
            <c:extLst>
              <c:ext xmlns:c16="http://schemas.microsoft.com/office/drawing/2014/chart" uri="{C3380CC4-5D6E-409C-BE32-E72D297353CC}">
                <c16:uniqueId val="{00000004-4D2B-AA49-8438-78705438CE39}"/>
              </c:ext>
            </c:extLst>
          </c:dPt>
          <c:val>
            <c:numRef>
              <c:f>'MONIA-SOFR average Index model '!$C$2:$C$64</c:f>
              <c:numCache>
                <c:formatCode>0.000%</c:formatCode>
                <c:ptCount val="63"/>
                <c:pt idx="0">
                  <c:v>2.223E-2</c:v>
                </c:pt>
                <c:pt idx="1">
                  <c:v>2.197E-2</c:v>
                </c:pt>
                <c:pt idx="2">
                  <c:v>2.1829999999999999E-2</c:v>
                </c:pt>
                <c:pt idx="3">
                  <c:v>2.1930000000000002E-2</c:v>
                </c:pt>
                <c:pt idx="4">
                  <c:v>2.172E-2</c:v>
                </c:pt>
                <c:pt idx="5">
                  <c:v>2.1760000000000002E-2</c:v>
                </c:pt>
                <c:pt idx="6">
                  <c:v>2.172E-2</c:v>
                </c:pt>
                <c:pt idx="7">
                  <c:v>2.18E-2</c:v>
                </c:pt>
                <c:pt idx="8">
                  <c:v>2.1999999999999999E-2</c:v>
                </c:pt>
                <c:pt idx="9">
                  <c:v>2.1760000000000002E-2</c:v>
                </c:pt>
                <c:pt idx="10">
                  <c:v>2.164E-2</c:v>
                </c:pt>
                <c:pt idx="11">
                  <c:v>2.1610000000000001E-2</c:v>
                </c:pt>
                <c:pt idx="12">
                  <c:v>2.1999999999999999E-2</c:v>
                </c:pt>
                <c:pt idx="13">
                  <c:v>2.1770000000000001E-2</c:v>
                </c:pt>
                <c:pt idx="14">
                  <c:v>2.1579999999999998E-2</c:v>
                </c:pt>
                <c:pt idx="15">
                  <c:v>2.1440000000000001E-2</c:v>
                </c:pt>
                <c:pt idx="16">
                  <c:v>2.1770000000000001E-2</c:v>
                </c:pt>
                <c:pt idx="17">
                  <c:v>2.2249999999999999E-2</c:v>
                </c:pt>
                <c:pt idx="18">
                  <c:v>2.2280000000000001E-2</c:v>
                </c:pt>
                <c:pt idx="19">
                  <c:v>2.247E-2</c:v>
                </c:pt>
                <c:pt idx="20">
                  <c:v>2.2849999999999999E-2</c:v>
                </c:pt>
                <c:pt idx="21">
                  <c:v>2.2179999999999998E-2</c:v>
                </c:pt>
                <c:pt idx="22">
                  <c:v>2.247E-2</c:v>
                </c:pt>
                <c:pt idx="23">
                  <c:v>2.2110000000000001E-2</c:v>
                </c:pt>
                <c:pt idx="24">
                  <c:v>2.1780000000000001E-2</c:v>
                </c:pt>
                <c:pt idx="25">
                  <c:v>2.1399999999999999E-2</c:v>
                </c:pt>
                <c:pt idx="26">
                  <c:v>2.1700000000000001E-2</c:v>
                </c:pt>
                <c:pt idx="27">
                  <c:v>2.1729999999999999E-2</c:v>
                </c:pt>
                <c:pt idx="28">
                  <c:v>2.171E-2</c:v>
                </c:pt>
                <c:pt idx="29">
                  <c:v>2.1610000000000001E-2</c:v>
                </c:pt>
                <c:pt idx="30">
                  <c:v>2.1780000000000001E-2</c:v>
                </c:pt>
                <c:pt idx="31">
                  <c:v>2.188E-2</c:v>
                </c:pt>
                <c:pt idx="32">
                  <c:v>2.181E-2</c:v>
                </c:pt>
                <c:pt idx="33">
                  <c:v>2.1649999999999999E-2</c:v>
                </c:pt>
                <c:pt idx="34">
                  <c:v>2.205E-2</c:v>
                </c:pt>
                <c:pt idx="35">
                  <c:v>2.197E-2</c:v>
                </c:pt>
                <c:pt idx="36">
                  <c:v>2.1999999999999999E-2</c:v>
                </c:pt>
                <c:pt idx="37">
                  <c:v>2.1919999999999999E-2</c:v>
                </c:pt>
                <c:pt idx="38">
                  <c:v>2.1930000000000002E-2</c:v>
                </c:pt>
                <c:pt idx="39">
                  <c:v>2.1950000000000001E-2</c:v>
                </c:pt>
                <c:pt idx="40">
                  <c:v>2.198E-2</c:v>
                </c:pt>
                <c:pt idx="41">
                  <c:v>2.1729999999999999E-2</c:v>
                </c:pt>
                <c:pt idx="42">
                  <c:v>2.198E-2</c:v>
                </c:pt>
                <c:pt idx="43">
                  <c:v>2.188E-2</c:v>
                </c:pt>
                <c:pt idx="44">
                  <c:v>2.1850000000000001E-2</c:v>
                </c:pt>
                <c:pt idx="45">
                  <c:v>2.1919999999999999E-2</c:v>
                </c:pt>
                <c:pt idx="46">
                  <c:v>2.1999999999999999E-2</c:v>
                </c:pt>
                <c:pt idx="47">
                  <c:v>2.2020000000000001E-2</c:v>
                </c:pt>
                <c:pt idx="48">
                  <c:v>2.197E-2</c:v>
                </c:pt>
                <c:pt idx="49">
                  <c:v>2.18E-2</c:v>
                </c:pt>
                <c:pt idx="50">
                  <c:v>2.1899999999999999E-2</c:v>
                </c:pt>
                <c:pt idx="51">
                  <c:v>2.2100000000000002E-2</c:v>
                </c:pt>
                <c:pt idx="52">
                  <c:v>2.1999999999999999E-2</c:v>
                </c:pt>
                <c:pt idx="53">
                  <c:v>2.2689999999999998E-2</c:v>
                </c:pt>
                <c:pt idx="54">
                  <c:v>2.4570000000000002E-2</c:v>
                </c:pt>
                <c:pt idx="55">
                  <c:v>2.1530000000000001E-2</c:v>
                </c:pt>
                <c:pt idx="56">
                  <c:v>1.9400000000000001E-2</c:v>
                </c:pt>
                <c:pt idx="57">
                  <c:v>1.9550000000000001E-2</c:v>
                </c:pt>
                <c:pt idx="58">
                  <c:v>1.9290000000000002E-2</c:v>
                </c:pt>
                <c:pt idx="59">
                  <c:v>1.883E-2</c:v>
                </c:pt>
                <c:pt idx="60">
                  <c:v>1.925E-2</c:v>
                </c:pt>
                <c:pt idx="61">
                  <c:v>1.924E-2</c:v>
                </c:pt>
                <c:pt idx="62">
                  <c:v>1.9369999999999998E-2</c:v>
                </c:pt>
              </c:numCache>
            </c:numRef>
          </c:val>
          <c:smooth val="1"/>
          <c:extLst>
            <c:ext xmlns:c16="http://schemas.microsoft.com/office/drawing/2014/chart" uri="{C3380CC4-5D6E-409C-BE32-E72D297353CC}">
              <c16:uniqueId val="{00000003-4D2B-AA49-8438-78705438CE39}"/>
            </c:ext>
          </c:extLst>
        </c:ser>
        <c:dLbls>
          <c:showLegendKey val="0"/>
          <c:showVal val="0"/>
          <c:showCatName val="0"/>
          <c:showSerName val="0"/>
          <c:showPercent val="0"/>
          <c:showBubbleSize val="0"/>
        </c:dLbls>
        <c:marker val="1"/>
        <c:smooth val="0"/>
        <c:axId val="1217033152"/>
        <c:axId val="1217034784"/>
      </c:lineChart>
      <c:dateAx>
        <c:axId val="1217033152"/>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034784"/>
        <c:crosses val="autoZero"/>
        <c:auto val="1"/>
        <c:lblOffset val="100"/>
        <c:baseTimeUnit val="days"/>
        <c:majorUnit val="15"/>
        <c:majorTimeUnit val="days"/>
      </c:dateAx>
      <c:valAx>
        <c:axId val="121703478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Moyennes</a:t>
                </a:r>
                <a:r>
                  <a:rPr lang="en-GB" b="1" baseline="0"/>
                  <a:t> mobiles (en %)</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033152"/>
        <c:crosses val="autoZero"/>
        <c:crossBetween val="between"/>
        <c:minorUnit val="2.0000000000000005E-3"/>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'Données TMIB actualisées'!$B$619:$B$938</c:f>
              <c:strCache>
                <c:ptCount val="320"/>
                <c:pt idx="0">
                  <c:v>2.25%</c:v>
                </c:pt>
                <c:pt idx="1">
                  <c:v>2.25%</c:v>
                </c:pt>
                <c:pt idx="2">
                  <c:v>2.25%</c:v>
                </c:pt>
                <c:pt idx="3">
                  <c:v>2.25%</c:v>
                </c:pt>
                <c:pt idx="4">
                  <c:v>2.25%</c:v>
                </c:pt>
                <c:pt idx="5">
                  <c:v>2.25%</c:v>
                </c:pt>
                <c:pt idx="6">
                  <c:v>2.25%</c:v>
                </c:pt>
                <c:pt idx="7">
                  <c:v>2.25%</c:v>
                </c:pt>
                <c:pt idx="8">
                  <c:v>2.25%</c:v>
                </c:pt>
                <c:pt idx="9">
                  <c:v>2.25%</c:v>
                </c:pt>
                <c:pt idx="10">
                  <c:v>2.25%</c:v>
                </c:pt>
                <c:pt idx="11">
                  <c:v>2.25%</c:v>
                </c:pt>
                <c:pt idx="12">
                  <c:v>2.25%</c:v>
                </c:pt>
                <c:pt idx="13">
                  <c:v>2.25%</c:v>
                </c:pt>
                <c:pt idx="14">
                  <c:v>2.25%</c:v>
                </c:pt>
                <c:pt idx="15">
                  <c:v>2.26%</c:v>
                </c:pt>
                <c:pt idx="16">
                  <c:v>2.25%</c:v>
                </c:pt>
                <c:pt idx="17">
                  <c:v>2.25%</c:v>
                </c:pt>
                <c:pt idx="18">
                  <c:v>2.25%</c:v>
                </c:pt>
                <c:pt idx="19">
                  <c:v>2.25%</c:v>
                </c:pt>
                <c:pt idx="20">
                  <c:v>2.25%</c:v>
                </c:pt>
                <c:pt idx="21">
                  <c:v>2.25%</c:v>
                </c:pt>
                <c:pt idx="22">
                  <c:v>2.25%</c:v>
                </c:pt>
                <c:pt idx="23">
                  <c:v>2.25%</c:v>
                </c:pt>
                <c:pt idx="24">
                  <c:v>2.25%</c:v>
                </c:pt>
                <c:pt idx="25">
                  <c:v>2.25%</c:v>
                </c:pt>
                <c:pt idx="26">
                  <c:v>2.25%</c:v>
                </c:pt>
                <c:pt idx="27">
                  <c:v>2.25%</c:v>
                </c:pt>
                <c:pt idx="28">
                  <c:v>2.25%</c:v>
                </c:pt>
                <c:pt idx="29">
                  <c:v>2.25%</c:v>
                </c:pt>
                <c:pt idx="30">
                  <c:v>2.25%</c:v>
                </c:pt>
                <c:pt idx="31">
                  <c:v>2.26%</c:v>
                </c:pt>
                <c:pt idx="32">
                  <c:v>2.26%</c:v>
                </c:pt>
                <c:pt idx="33">
                  <c:v>2.26%</c:v>
                </c:pt>
                <c:pt idx="34">
                  <c:v>2.26%</c:v>
                </c:pt>
                <c:pt idx="35">
                  <c:v>2.26%</c:v>
                </c:pt>
                <c:pt idx="36">
                  <c:v>2.25%</c:v>
                </c:pt>
                <c:pt idx="37">
                  <c:v>2.25%</c:v>
                </c:pt>
                <c:pt idx="38">
                  <c:v>2.25%</c:v>
                </c:pt>
                <c:pt idx="39">
                  <c:v>2.25%</c:v>
                </c:pt>
                <c:pt idx="40">
                  <c:v>2.26%</c:v>
                </c:pt>
                <c:pt idx="41">
                  <c:v>2.26%</c:v>
                </c:pt>
                <c:pt idx="42">
                  <c:v>2.26%</c:v>
                </c:pt>
                <c:pt idx="43">
                  <c:v>2.28%</c:v>
                </c:pt>
                <c:pt idx="44">
                  <c:v>2.26%</c:v>
                </c:pt>
                <c:pt idx="45">
                  <c:v>2.03%</c:v>
                </c:pt>
                <c:pt idx="46">
                  <c:v>2.00%</c:v>
                </c:pt>
                <c:pt idx="47">
                  <c:v>2.00%</c:v>
                </c:pt>
                <c:pt idx="48">
                  <c:v>2.00%</c:v>
                </c:pt>
                <c:pt idx="49">
                  <c:v>2.00%</c:v>
                </c:pt>
                <c:pt idx="50">
                  <c:v>2.00%</c:v>
                </c:pt>
                <c:pt idx="51">
                  <c:v>2.00%</c:v>
                </c:pt>
                <c:pt idx="52">
                  <c:v>2.00%</c:v>
                </c:pt>
                <c:pt idx="53">
                  <c:v>2.00%</c:v>
                </c:pt>
                <c:pt idx="54">
                  <c:v>2.00%</c:v>
                </c:pt>
                <c:pt idx="55">
                  <c:v>2.00%</c:v>
                </c:pt>
                <c:pt idx="56">
                  <c:v>2.00%</c:v>
                </c:pt>
                <c:pt idx="57">
                  <c:v>2.00%</c:v>
                </c:pt>
                <c:pt idx="58">
                  <c:v>2.00%</c:v>
                </c:pt>
                <c:pt idx="59">
                  <c:v>2.00%</c:v>
                </c:pt>
                <c:pt idx="60">
                  <c:v>2.00%</c:v>
                </c:pt>
                <c:pt idx="61">
                  <c:v>2.01%</c:v>
                </c:pt>
                <c:pt idx="62">
                  <c:v>2.01%</c:v>
                </c:pt>
                <c:pt idx="63">
                  <c:v>2.01%</c:v>
                </c:pt>
                <c:pt idx="64">
                  <c:v>2.00%</c:v>
                </c:pt>
                <c:pt idx="65">
                  <c:v>2.00%</c:v>
                </c:pt>
                <c:pt idx="66">
                  <c:v>2.00%</c:v>
                </c:pt>
                <c:pt idx="67">
                  <c:v>2.01%</c:v>
                </c:pt>
                <c:pt idx="68">
                  <c:v>2.01%</c:v>
                </c:pt>
                <c:pt idx="69">
                  <c:v>2.01%</c:v>
                </c:pt>
                <c:pt idx="70">
                  <c:v>2.01%</c:v>
                </c:pt>
                <c:pt idx="71">
                  <c:v>2.02%</c:v>
                </c:pt>
                <c:pt idx="72">
                  <c:v>2.02%</c:v>
                </c:pt>
                <c:pt idx="73">
                  <c:v>2.03%</c:v>
                </c:pt>
                <c:pt idx="74">
                  <c:v>2.02%</c:v>
                </c:pt>
                <c:pt idx="75">
                  <c:v>2.02%</c:v>
                </c:pt>
                <c:pt idx="76">
                  <c:v>2.02%</c:v>
                </c:pt>
                <c:pt idx="77">
                  <c:v>2.02%</c:v>
                </c:pt>
                <c:pt idx="78">
                  <c:v>2.02%</c:v>
                </c:pt>
                <c:pt idx="79">
                  <c:v>2.03%</c:v>
                </c:pt>
                <c:pt idx="80">
                  <c:v>2.03%</c:v>
                </c:pt>
                <c:pt idx="81">
                  <c:v>2.00%</c:v>
                </c:pt>
                <c:pt idx="82">
                  <c:v>2.00%</c:v>
                </c:pt>
                <c:pt idx="83">
                  <c:v>2.00%</c:v>
                </c:pt>
                <c:pt idx="84">
                  <c:v>2.00%</c:v>
                </c:pt>
                <c:pt idx="85">
                  <c:v>2.00%</c:v>
                </c:pt>
                <c:pt idx="86">
                  <c:v>2.00%</c:v>
                </c:pt>
                <c:pt idx="87">
                  <c:v>2.00%</c:v>
                </c:pt>
                <c:pt idx="88">
                  <c:v>2.00%</c:v>
                </c:pt>
                <c:pt idx="89">
                  <c:v>2.00%</c:v>
                </c:pt>
                <c:pt idx="90">
                  <c:v>2.00%</c:v>
                </c:pt>
                <c:pt idx="91">
                  <c:v>2.00%</c:v>
                </c:pt>
                <c:pt idx="92">
                  <c:v>2.00%</c:v>
                </c:pt>
                <c:pt idx="93">
                  <c:v>2.00%</c:v>
                </c:pt>
                <c:pt idx="94">
                  <c:v>2.00%</c:v>
                </c:pt>
                <c:pt idx="95">
                  <c:v>2.00%</c:v>
                </c:pt>
                <c:pt idx="96">
                  <c:v>2.00%</c:v>
                </c:pt>
                <c:pt idx="97">
                  <c:v>2.00%</c:v>
                </c:pt>
                <c:pt idx="98">
                  <c:v>2.00%</c:v>
                </c:pt>
                <c:pt idx="99">
                  <c:v>2.00%</c:v>
                </c:pt>
                <c:pt idx="100">
                  <c:v>2.00%</c:v>
                </c:pt>
                <c:pt idx="101">
                  <c:v>2.00%</c:v>
                </c:pt>
                <c:pt idx="102">
                  <c:v>2.00%</c:v>
                </c:pt>
                <c:pt idx="103">
                  <c:v>2.00%</c:v>
                </c:pt>
                <c:pt idx="104">
                  <c:v>2.00%</c:v>
                </c:pt>
                <c:pt idx="105">
                  <c:v>2.00%</c:v>
                </c:pt>
                <c:pt idx="106">
                  <c:v>2.00%</c:v>
                </c:pt>
                <c:pt idx="107">
                  <c:v>2.00%</c:v>
                </c:pt>
                <c:pt idx="108">
                  <c:v>2.00%</c:v>
                </c:pt>
                <c:pt idx="109">
                  <c:v>2.00%</c:v>
                </c:pt>
                <c:pt idx="110">
                  <c:v>2.00%</c:v>
                </c:pt>
                <c:pt idx="111">
                  <c:v>2.00%</c:v>
                </c:pt>
                <c:pt idx="112">
                  <c:v>2.00%</c:v>
                </c:pt>
                <c:pt idx="113">
                  <c:v>2.00%</c:v>
                </c:pt>
                <c:pt idx="114">
                  <c:v>2.00%</c:v>
                </c:pt>
                <c:pt idx="115">
                  <c:v>2.00%</c:v>
                </c:pt>
                <c:pt idx="116">
                  <c:v>2.00%</c:v>
                </c:pt>
                <c:pt idx="117">
                  <c:v>2.00%</c:v>
                </c:pt>
                <c:pt idx="118">
                  <c:v>2.00%</c:v>
                </c:pt>
                <c:pt idx="119">
                  <c:v>2.00%</c:v>
                </c:pt>
                <c:pt idx="120">
                  <c:v>2.00%</c:v>
                </c:pt>
                <c:pt idx="121">
                  <c:v>2.00%</c:v>
                </c:pt>
                <c:pt idx="122">
                  <c:v>2.00%</c:v>
                </c:pt>
                <c:pt idx="123">
                  <c:v>2.00%</c:v>
                </c:pt>
                <c:pt idx="124">
                  <c:v>2.00%</c:v>
                </c:pt>
                <c:pt idx="125">
                  <c:v>2.00%</c:v>
                </c:pt>
                <c:pt idx="126">
                  <c:v>2.00%</c:v>
                </c:pt>
                <c:pt idx="127">
                  <c:v>2.00%</c:v>
                </c:pt>
                <c:pt idx="128">
                  <c:v>2.00%</c:v>
                </c:pt>
                <c:pt idx="129">
                  <c:v>2.00%</c:v>
                </c:pt>
                <c:pt idx="130">
                  <c:v>2.00%</c:v>
                </c:pt>
                <c:pt idx="131">
                  <c:v>2.00%</c:v>
                </c:pt>
                <c:pt idx="132">
                  <c:v>2.00%</c:v>
                </c:pt>
                <c:pt idx="133">
                  <c:v>2.00%</c:v>
                </c:pt>
                <c:pt idx="134">
                  <c:v>2.00%</c:v>
                </c:pt>
                <c:pt idx="135">
                  <c:v>2.07%</c:v>
                </c:pt>
                <c:pt idx="136">
                  <c:v>1.84%</c:v>
                </c:pt>
                <c:pt idx="137">
                  <c:v>1.50%</c:v>
                </c:pt>
                <c:pt idx="138">
                  <c:v>1.50%</c:v>
                </c:pt>
                <c:pt idx="139">
                  <c:v>1.50%</c:v>
                </c:pt>
                <c:pt idx="140">
                  <c:v>1.50%</c:v>
                </c:pt>
                <c:pt idx="141">
                  <c:v>1.50%</c:v>
                </c:pt>
                <c:pt idx="142">
                  <c:v>1.50%</c:v>
                </c:pt>
                <c:pt idx="143">
                  <c:v>1.50%</c:v>
                </c:pt>
                <c:pt idx="144">
                  <c:v>1.50%</c:v>
                </c:pt>
                <c:pt idx="145">
                  <c:v>1.50%</c:v>
                </c:pt>
                <c:pt idx="146">
                  <c:v>1.50%</c:v>
                </c:pt>
                <c:pt idx="147">
                  <c:v>1.50%</c:v>
                </c:pt>
                <c:pt idx="148">
                  <c:v>1.50%</c:v>
                </c:pt>
                <c:pt idx="149">
                  <c:v>1.50%</c:v>
                </c:pt>
                <c:pt idx="150">
                  <c:v>1.51%</c:v>
                </c:pt>
                <c:pt idx="151">
                  <c:v>1.50%</c:v>
                </c:pt>
                <c:pt idx="152">
                  <c:v>1.50%</c:v>
                </c:pt>
                <c:pt idx="153">
                  <c:v>1.50%</c:v>
                </c:pt>
                <c:pt idx="154">
                  <c:v>1.50%</c:v>
                </c:pt>
                <c:pt idx="155">
                  <c:v>1.50%</c:v>
                </c:pt>
                <c:pt idx="156">
                  <c:v>1.50%</c:v>
                </c:pt>
                <c:pt idx="157">
                  <c:v>1.50%</c:v>
                </c:pt>
                <c:pt idx="158">
                  <c:v>1.50%</c:v>
                </c:pt>
                <c:pt idx="159">
                  <c:v>1.50%</c:v>
                </c:pt>
                <c:pt idx="160">
                  <c:v>1.50%</c:v>
                </c:pt>
                <c:pt idx="161">
                  <c:v>1.50%</c:v>
                </c:pt>
                <c:pt idx="162">
                  <c:v>1.50%</c:v>
                </c:pt>
                <c:pt idx="163">
                  <c:v>1.50%</c:v>
                </c:pt>
                <c:pt idx="164">
                  <c:v>1.51%</c:v>
                </c:pt>
                <c:pt idx="165">
                  <c:v>1.50%</c:v>
                </c:pt>
                <c:pt idx="166">
                  <c:v>1.50%</c:v>
                </c:pt>
                <c:pt idx="167">
                  <c:v>1.50%</c:v>
                </c:pt>
                <c:pt idx="168">
                  <c:v>1.50%</c:v>
                </c:pt>
                <c:pt idx="169">
                  <c:v>1.50%</c:v>
                </c:pt>
                <c:pt idx="170">
                  <c:v>1.50%</c:v>
                </c:pt>
                <c:pt idx="171">
                  <c:v>1.50%</c:v>
                </c:pt>
                <c:pt idx="172">
                  <c:v>1.50%</c:v>
                </c:pt>
                <c:pt idx="173">
                  <c:v>1.50%</c:v>
                </c:pt>
                <c:pt idx="174">
                  <c:v>1.50%</c:v>
                </c:pt>
                <c:pt idx="175">
                  <c:v>1.50%</c:v>
                </c:pt>
                <c:pt idx="176">
                  <c:v>1.50%</c:v>
                </c:pt>
                <c:pt idx="177">
                  <c:v>1.50%</c:v>
                </c:pt>
                <c:pt idx="178">
                  <c:v>1.50%</c:v>
                </c:pt>
                <c:pt idx="179">
                  <c:v>1.50%</c:v>
                </c:pt>
                <c:pt idx="180">
                  <c:v>1.50%</c:v>
                </c:pt>
                <c:pt idx="181">
                  <c:v>1.50%</c:v>
                </c:pt>
                <c:pt idx="182">
                  <c:v>1.50%</c:v>
                </c:pt>
                <c:pt idx="183">
                  <c:v>1.50%</c:v>
                </c:pt>
                <c:pt idx="184">
                  <c:v>1.50%</c:v>
                </c:pt>
                <c:pt idx="185">
                  <c:v>1.51%</c:v>
                </c:pt>
                <c:pt idx="186">
                  <c:v>1.50%</c:v>
                </c:pt>
                <c:pt idx="187">
                  <c:v>1.50%</c:v>
                </c:pt>
                <c:pt idx="188">
                  <c:v>1.50%</c:v>
                </c:pt>
                <c:pt idx="189">
                  <c:v>1.50%</c:v>
                </c:pt>
                <c:pt idx="190">
                  <c:v>1.50%</c:v>
                </c:pt>
                <c:pt idx="191">
                  <c:v>1.50%</c:v>
                </c:pt>
                <c:pt idx="192">
                  <c:v>1.50%</c:v>
                </c:pt>
                <c:pt idx="193">
                  <c:v>1.50%</c:v>
                </c:pt>
                <c:pt idx="194">
                  <c:v>1.50%</c:v>
                </c:pt>
                <c:pt idx="195">
                  <c:v>1.50%</c:v>
                </c:pt>
                <c:pt idx="196">
                  <c:v>1.50%</c:v>
                </c:pt>
                <c:pt idx="197">
                  <c:v>1.50%</c:v>
                </c:pt>
                <c:pt idx="198">
                  <c:v>1.50%</c:v>
                </c:pt>
                <c:pt idx="199">
                  <c:v>1.50%</c:v>
                </c:pt>
                <c:pt idx="200">
                  <c:v>1.50%</c:v>
                </c:pt>
                <c:pt idx="201">
                  <c:v>1.50%</c:v>
                </c:pt>
                <c:pt idx="202">
                  <c:v>1.50%</c:v>
                </c:pt>
                <c:pt idx="203">
                  <c:v>1.50%</c:v>
                </c:pt>
                <c:pt idx="204">
                  <c:v>1.50%</c:v>
                </c:pt>
                <c:pt idx="205">
                  <c:v>1.50%</c:v>
                </c:pt>
                <c:pt idx="206">
                  <c:v>1.50%</c:v>
                </c:pt>
                <c:pt idx="207">
                  <c:v>1.50%</c:v>
                </c:pt>
                <c:pt idx="208">
                  <c:v>1.50%</c:v>
                </c:pt>
                <c:pt idx="209">
                  <c:v>1.50%</c:v>
                </c:pt>
                <c:pt idx="210">
                  <c:v>1.50%</c:v>
                </c:pt>
                <c:pt idx="211">
                  <c:v>1.50%</c:v>
                </c:pt>
                <c:pt idx="212">
                  <c:v>1.50%</c:v>
                </c:pt>
                <c:pt idx="213">
                  <c:v>1.50%</c:v>
                </c:pt>
                <c:pt idx="214">
                  <c:v>1.50%</c:v>
                </c:pt>
                <c:pt idx="215">
                  <c:v>1.50%</c:v>
                </c:pt>
                <c:pt idx="216">
                  <c:v>1.50%</c:v>
                </c:pt>
                <c:pt idx="217">
                  <c:v>1.50%</c:v>
                </c:pt>
                <c:pt idx="218">
                  <c:v>1.50%</c:v>
                </c:pt>
                <c:pt idx="219">
                  <c:v>1.50%</c:v>
                </c:pt>
                <c:pt idx="220">
                  <c:v>1.50%</c:v>
                </c:pt>
                <c:pt idx="221">
                  <c:v>1.50%</c:v>
                </c:pt>
                <c:pt idx="222">
                  <c:v>1.50%</c:v>
                </c:pt>
                <c:pt idx="223">
                  <c:v>1.50%</c:v>
                </c:pt>
                <c:pt idx="224">
                  <c:v>1.50%</c:v>
                </c:pt>
                <c:pt idx="225">
                  <c:v>1.50%</c:v>
                </c:pt>
                <c:pt idx="226">
                  <c:v>1.50%</c:v>
                </c:pt>
                <c:pt idx="227">
                  <c:v>1.50%</c:v>
                </c:pt>
                <c:pt idx="228">
                  <c:v>1.50%</c:v>
                </c:pt>
                <c:pt idx="229">
                  <c:v>1.50%</c:v>
                </c:pt>
                <c:pt idx="230">
                  <c:v>1.50%</c:v>
                </c:pt>
                <c:pt idx="231">
                  <c:v>1.50%</c:v>
                </c:pt>
                <c:pt idx="232">
                  <c:v>1.50%</c:v>
                </c:pt>
                <c:pt idx="233">
                  <c:v>1.50%</c:v>
                </c:pt>
                <c:pt idx="234">
                  <c:v>1.50%</c:v>
                </c:pt>
                <c:pt idx="235">
                  <c:v>1.50%</c:v>
                </c:pt>
                <c:pt idx="236">
                  <c:v>1.50%</c:v>
                </c:pt>
                <c:pt idx="237">
                  <c:v>1.50%</c:v>
                </c:pt>
                <c:pt idx="238">
                  <c:v>1.50%</c:v>
                </c:pt>
                <c:pt idx="239">
                  <c:v>1.50%</c:v>
                </c:pt>
                <c:pt idx="240">
                  <c:v>1.50%</c:v>
                </c:pt>
                <c:pt idx="241">
                  <c:v>1.50%</c:v>
                </c:pt>
                <c:pt idx="242">
                  <c:v>1.50%</c:v>
                </c:pt>
                <c:pt idx="243">
                  <c:v>1.50%</c:v>
                </c:pt>
                <c:pt idx="244">
                  <c:v>1.50%</c:v>
                </c:pt>
                <c:pt idx="245">
                  <c:v>1.50%</c:v>
                </c:pt>
                <c:pt idx="246">
                  <c:v>1.50%</c:v>
                </c:pt>
                <c:pt idx="247">
                  <c:v>1.50%</c:v>
                </c:pt>
                <c:pt idx="248">
                  <c:v>1.50%</c:v>
                </c:pt>
                <c:pt idx="249">
                  <c:v>1.50%</c:v>
                </c:pt>
                <c:pt idx="250">
                  <c:v>1.50%</c:v>
                </c:pt>
                <c:pt idx="251">
                  <c:v>1.50%</c:v>
                </c:pt>
                <c:pt idx="252">
                  <c:v>1.50%</c:v>
                </c:pt>
                <c:pt idx="253">
                  <c:v>1.50%</c:v>
                </c:pt>
                <c:pt idx="254">
                  <c:v>1.50%</c:v>
                </c:pt>
                <c:pt idx="255">
                  <c:v>1.50%</c:v>
                </c:pt>
                <c:pt idx="256">
                  <c:v>1.50%</c:v>
                </c:pt>
                <c:pt idx="257">
                  <c:v>1.50%</c:v>
                </c:pt>
                <c:pt idx="258">
                  <c:v>1.50%</c:v>
                </c:pt>
                <c:pt idx="259">
                  <c:v>1.50%</c:v>
                </c:pt>
                <c:pt idx="260">
                  <c:v>1.50%</c:v>
                </c:pt>
                <c:pt idx="261">
                  <c:v>1.50%</c:v>
                </c:pt>
                <c:pt idx="262">
                  <c:v>1.50%</c:v>
                </c:pt>
                <c:pt idx="263">
                  <c:v>1.50%</c:v>
                </c:pt>
                <c:pt idx="264">
                  <c:v>1.50%</c:v>
                </c:pt>
                <c:pt idx="265">
                  <c:v>1.50%</c:v>
                </c:pt>
                <c:pt idx="266">
                  <c:v>1.50%</c:v>
                </c:pt>
                <c:pt idx="267">
                  <c:v>1.50%</c:v>
                </c:pt>
                <c:pt idx="268">
                  <c:v>1.50%</c:v>
                </c:pt>
                <c:pt idx="269">
                  <c:v>1.50%</c:v>
                </c:pt>
                <c:pt idx="270">
                  <c:v>1.50%</c:v>
                </c:pt>
                <c:pt idx="271">
                  <c:v>1.50%</c:v>
                </c:pt>
                <c:pt idx="272">
                  <c:v>1.50%</c:v>
                </c:pt>
                <c:pt idx="273">
                  <c:v>1.50%</c:v>
                </c:pt>
                <c:pt idx="274">
                  <c:v>1.50%</c:v>
                </c:pt>
                <c:pt idx="275">
                  <c:v>1.50%</c:v>
                </c:pt>
                <c:pt idx="276">
                  <c:v>1.50%</c:v>
                </c:pt>
                <c:pt idx="277">
                  <c:v>1.50%</c:v>
                </c:pt>
                <c:pt idx="278">
                  <c:v>1.50%</c:v>
                </c:pt>
                <c:pt idx="279">
                  <c:v>1.50%</c:v>
                </c:pt>
                <c:pt idx="280">
                  <c:v>1.50%</c:v>
                </c:pt>
                <c:pt idx="281">
                  <c:v>1.50%</c:v>
                </c:pt>
                <c:pt idx="282">
                  <c:v>1.50%</c:v>
                </c:pt>
                <c:pt idx="283">
                  <c:v>1.50%</c:v>
                </c:pt>
                <c:pt idx="284">
                  <c:v>1.50%</c:v>
                </c:pt>
                <c:pt idx="285">
                  <c:v>1.50%</c:v>
                </c:pt>
                <c:pt idx="286">
                  <c:v>1.50%</c:v>
                </c:pt>
                <c:pt idx="287">
                  <c:v>1.50%</c:v>
                </c:pt>
                <c:pt idx="288">
                  <c:v>1.50%</c:v>
                </c:pt>
                <c:pt idx="289">
                  <c:v>1.50%</c:v>
                </c:pt>
                <c:pt idx="290">
                  <c:v>1.50%</c:v>
                </c:pt>
                <c:pt idx="291">
                  <c:v>1.50%</c:v>
                </c:pt>
                <c:pt idx="292">
                  <c:v>1.50%</c:v>
                </c:pt>
                <c:pt idx="293">
                  <c:v>1.50%</c:v>
                </c:pt>
                <c:pt idx="294">
                  <c:v>1.50%</c:v>
                </c:pt>
                <c:pt idx="295">
                  <c:v>1.50%</c:v>
                </c:pt>
                <c:pt idx="296">
                  <c:v>1.50%</c:v>
                </c:pt>
                <c:pt idx="297">
                  <c:v>1.50%</c:v>
                </c:pt>
                <c:pt idx="298">
                  <c:v>1.50%</c:v>
                </c:pt>
                <c:pt idx="299">
                  <c:v>1.50%</c:v>
                </c:pt>
                <c:pt idx="300">
                  <c:v>1.50%</c:v>
                </c:pt>
                <c:pt idx="301">
                  <c:v>1.50%</c:v>
                </c:pt>
                <c:pt idx="302">
                  <c:v>1.50%</c:v>
                </c:pt>
                <c:pt idx="303">
                  <c:v>1.50%</c:v>
                </c:pt>
                <c:pt idx="304">
                  <c:v>1.50%</c:v>
                </c:pt>
                <c:pt idx="305">
                  <c:v>1.50%</c:v>
                </c:pt>
                <c:pt idx="306">
                  <c:v>1.50%</c:v>
                </c:pt>
                <c:pt idx="307">
                  <c:v>1.50%</c:v>
                </c:pt>
                <c:pt idx="308">
                  <c:v>1.50%</c:v>
                </c:pt>
                <c:pt idx="309">
                  <c:v>1.50%</c:v>
                </c:pt>
                <c:pt idx="310">
                  <c:v>1.50%</c:v>
                </c:pt>
                <c:pt idx="311">
                  <c:v>1.50%</c:v>
                </c:pt>
                <c:pt idx="312">
                  <c:v>1.50%</c:v>
                </c:pt>
                <c:pt idx="313">
                  <c:v>1.50%</c:v>
                </c:pt>
                <c:pt idx="314">
                  <c:v>1.50%</c:v>
                </c:pt>
                <c:pt idx="315">
                  <c:v>1.50%</c:v>
                </c:pt>
                <c:pt idx="316">
                  <c:v>1.50%</c:v>
                </c:pt>
                <c:pt idx="317">
                  <c:v>1.50%</c:v>
                </c:pt>
                <c:pt idx="318">
                  <c:v>1.50%</c:v>
                </c:pt>
                <c:pt idx="319">
                  <c:v>1.50%</c:v>
                </c:pt>
              </c:strCache>
            </c:strRef>
          </c:tx>
          <c:spPr>
            <a:ln w="28575" cap="rnd">
              <a:solidFill>
                <a:schemeClr val="accent1"/>
              </a:solidFill>
              <a:round/>
            </a:ln>
            <a:effectLst/>
          </c:spPr>
          <c:marker>
            <c:symbol val="none"/>
          </c:marker>
          <c:cat>
            <c:numRef>
              <c:f>'Données TMIB actualisées'!$A$943</c:f>
              <c:numCache>
                <c:formatCode>m/d/yy</c:formatCode>
                <c:ptCount val="1"/>
              </c:numCache>
            </c:numRef>
          </c:cat>
          <c:val>
            <c:numRef>
              <c:f>'Données TMIB actualisées'!$B$943</c:f>
              <c:numCache>
                <c:formatCode>General</c:formatCode>
                <c:ptCount val="1"/>
              </c:numCache>
            </c:numRef>
          </c:val>
          <c:smooth val="0"/>
          <c:extLst>
            <c:ext xmlns:c16="http://schemas.microsoft.com/office/drawing/2014/chart" uri="{C3380CC4-5D6E-409C-BE32-E72D297353CC}">
              <c16:uniqueId val="{00000000-BB56-8C42-8FCE-0A73155DAF29}"/>
            </c:ext>
          </c:extLst>
        </c:ser>
        <c:dLbls>
          <c:showLegendKey val="0"/>
          <c:showVal val="0"/>
          <c:showCatName val="0"/>
          <c:showSerName val="0"/>
          <c:showPercent val="0"/>
          <c:showBubbleSize val="0"/>
        </c:dLbls>
        <c:smooth val="0"/>
        <c:axId val="1223956992"/>
        <c:axId val="1230433968"/>
      </c:lineChart>
      <c:catAx>
        <c:axId val="122395699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433968"/>
        <c:crosses val="autoZero"/>
        <c:auto val="1"/>
        <c:lblAlgn val="ctr"/>
        <c:lblOffset val="100"/>
        <c:noMultiLvlLbl val="0"/>
      </c:catAx>
      <c:valAx>
        <c:axId val="1230433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395699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'Données TMIB actualisées'!$B$588:$B$938</c:f>
              <c:strCache>
                <c:ptCount val="351"/>
                <c:pt idx="0">
                  <c:v>2.25%</c:v>
                </c:pt>
                <c:pt idx="1">
                  <c:v>2.25%</c:v>
                </c:pt>
                <c:pt idx="2">
                  <c:v>2.25%</c:v>
                </c:pt>
                <c:pt idx="3">
                  <c:v>2.25%</c:v>
                </c:pt>
                <c:pt idx="4">
                  <c:v>2.25%</c:v>
                </c:pt>
                <c:pt idx="5">
                  <c:v>2.25%</c:v>
                </c:pt>
                <c:pt idx="6">
                  <c:v>2.25%</c:v>
                </c:pt>
                <c:pt idx="7">
                  <c:v>2.25%</c:v>
                </c:pt>
                <c:pt idx="8">
                  <c:v>2.25%</c:v>
                </c:pt>
                <c:pt idx="9">
                  <c:v>2.25%</c:v>
                </c:pt>
                <c:pt idx="10">
                  <c:v>2.25%</c:v>
                </c:pt>
                <c:pt idx="11">
                  <c:v>2.25%</c:v>
                </c:pt>
                <c:pt idx="12">
                  <c:v>2.25%</c:v>
                </c:pt>
                <c:pt idx="13">
                  <c:v>2.25%</c:v>
                </c:pt>
                <c:pt idx="14">
                  <c:v>2.25%</c:v>
                </c:pt>
                <c:pt idx="15">
                  <c:v>2.26%</c:v>
                </c:pt>
                <c:pt idx="16">
                  <c:v>2.26%</c:v>
                </c:pt>
                <c:pt idx="17">
                  <c:v>2.26%</c:v>
                </c:pt>
                <c:pt idx="18">
                  <c:v>2.25%</c:v>
                </c:pt>
                <c:pt idx="19">
                  <c:v>2.25%</c:v>
                </c:pt>
                <c:pt idx="20">
                  <c:v>2.26%</c:v>
                </c:pt>
                <c:pt idx="21">
                  <c:v>2.26%</c:v>
                </c:pt>
                <c:pt idx="22">
                  <c:v>2.30%</c:v>
                </c:pt>
                <c:pt idx="23">
                  <c:v>2.30%</c:v>
                </c:pt>
                <c:pt idx="24">
                  <c:v>2.30%</c:v>
                </c:pt>
                <c:pt idx="25">
                  <c:v>2.28%</c:v>
                </c:pt>
                <c:pt idx="26">
                  <c:v>2.28%</c:v>
                </c:pt>
                <c:pt idx="27">
                  <c:v>2.29%</c:v>
                </c:pt>
                <c:pt idx="28">
                  <c:v>2.25%</c:v>
                </c:pt>
                <c:pt idx="29">
                  <c:v>2.25%</c:v>
                </c:pt>
                <c:pt idx="30">
                  <c:v>2.25%</c:v>
                </c:pt>
                <c:pt idx="31">
                  <c:v>2.25%</c:v>
                </c:pt>
                <c:pt idx="32">
                  <c:v>2.25%</c:v>
                </c:pt>
                <c:pt idx="33">
                  <c:v>2.25%</c:v>
                </c:pt>
                <c:pt idx="34">
                  <c:v>2.25%</c:v>
                </c:pt>
                <c:pt idx="35">
                  <c:v>2.25%</c:v>
                </c:pt>
                <c:pt idx="36">
                  <c:v>2.25%</c:v>
                </c:pt>
                <c:pt idx="37">
                  <c:v>2.25%</c:v>
                </c:pt>
                <c:pt idx="38">
                  <c:v>2.25%</c:v>
                </c:pt>
                <c:pt idx="39">
                  <c:v>2.25%</c:v>
                </c:pt>
                <c:pt idx="40">
                  <c:v>2.25%</c:v>
                </c:pt>
                <c:pt idx="41">
                  <c:v>2.25%</c:v>
                </c:pt>
                <c:pt idx="42">
                  <c:v>2.25%</c:v>
                </c:pt>
                <c:pt idx="43">
                  <c:v>2.25%</c:v>
                </c:pt>
                <c:pt idx="44">
                  <c:v>2.25%</c:v>
                </c:pt>
                <c:pt idx="45">
                  <c:v>2.25%</c:v>
                </c:pt>
                <c:pt idx="46">
                  <c:v>2.26%</c:v>
                </c:pt>
                <c:pt idx="47">
                  <c:v>2.25%</c:v>
                </c:pt>
                <c:pt idx="48">
                  <c:v>2.25%</c:v>
                </c:pt>
                <c:pt idx="49">
                  <c:v>2.25%</c:v>
                </c:pt>
                <c:pt idx="50">
                  <c:v>2.25%</c:v>
                </c:pt>
                <c:pt idx="51">
                  <c:v>2.25%</c:v>
                </c:pt>
                <c:pt idx="52">
                  <c:v>2.25%</c:v>
                </c:pt>
                <c:pt idx="53">
                  <c:v>2.25%</c:v>
                </c:pt>
                <c:pt idx="54">
                  <c:v>2.25%</c:v>
                </c:pt>
                <c:pt idx="55">
                  <c:v>2.25%</c:v>
                </c:pt>
                <c:pt idx="56">
                  <c:v>2.25%</c:v>
                </c:pt>
                <c:pt idx="57">
                  <c:v>2.25%</c:v>
                </c:pt>
                <c:pt idx="58">
                  <c:v>2.25%</c:v>
                </c:pt>
                <c:pt idx="59">
                  <c:v>2.25%</c:v>
                </c:pt>
                <c:pt idx="60">
                  <c:v>2.25%</c:v>
                </c:pt>
                <c:pt idx="61">
                  <c:v>2.25%</c:v>
                </c:pt>
                <c:pt idx="62">
                  <c:v>2.26%</c:v>
                </c:pt>
                <c:pt idx="63">
                  <c:v>2.26%</c:v>
                </c:pt>
                <c:pt idx="64">
                  <c:v>2.26%</c:v>
                </c:pt>
                <c:pt idx="65">
                  <c:v>2.26%</c:v>
                </c:pt>
                <c:pt idx="66">
                  <c:v>2.26%</c:v>
                </c:pt>
                <c:pt idx="67">
                  <c:v>2.25%</c:v>
                </c:pt>
                <c:pt idx="68">
                  <c:v>2.25%</c:v>
                </c:pt>
                <c:pt idx="69">
                  <c:v>2.25%</c:v>
                </c:pt>
                <c:pt idx="70">
                  <c:v>2.25%</c:v>
                </c:pt>
                <c:pt idx="71">
                  <c:v>2.26%</c:v>
                </c:pt>
                <c:pt idx="72">
                  <c:v>2.26%</c:v>
                </c:pt>
                <c:pt idx="73">
                  <c:v>2.26%</c:v>
                </c:pt>
                <c:pt idx="74">
                  <c:v>2.28%</c:v>
                </c:pt>
                <c:pt idx="75">
                  <c:v>2.26%</c:v>
                </c:pt>
                <c:pt idx="76">
                  <c:v>2.03%</c:v>
                </c:pt>
                <c:pt idx="77">
                  <c:v>2.00%</c:v>
                </c:pt>
                <c:pt idx="78">
                  <c:v>2.00%</c:v>
                </c:pt>
                <c:pt idx="79">
                  <c:v>2.00%</c:v>
                </c:pt>
                <c:pt idx="80">
                  <c:v>2.00%</c:v>
                </c:pt>
                <c:pt idx="81">
                  <c:v>2.00%</c:v>
                </c:pt>
                <c:pt idx="82">
                  <c:v>2.00%</c:v>
                </c:pt>
                <c:pt idx="83">
                  <c:v>2.00%</c:v>
                </c:pt>
                <c:pt idx="84">
                  <c:v>2.00%</c:v>
                </c:pt>
                <c:pt idx="85">
                  <c:v>2.00%</c:v>
                </c:pt>
                <c:pt idx="86">
                  <c:v>2.00%</c:v>
                </c:pt>
                <c:pt idx="87">
                  <c:v>2.00%</c:v>
                </c:pt>
                <c:pt idx="88">
                  <c:v>2.00%</c:v>
                </c:pt>
                <c:pt idx="89">
                  <c:v>2.00%</c:v>
                </c:pt>
                <c:pt idx="90">
                  <c:v>2.00%</c:v>
                </c:pt>
                <c:pt idx="91">
                  <c:v>2.00%</c:v>
                </c:pt>
                <c:pt idx="92">
                  <c:v>2.01%</c:v>
                </c:pt>
                <c:pt idx="93">
                  <c:v>2.01%</c:v>
                </c:pt>
                <c:pt idx="94">
                  <c:v>2.01%</c:v>
                </c:pt>
                <c:pt idx="95">
                  <c:v>2.00%</c:v>
                </c:pt>
                <c:pt idx="96">
                  <c:v>2.00%</c:v>
                </c:pt>
                <c:pt idx="97">
                  <c:v>2.00%</c:v>
                </c:pt>
                <c:pt idx="98">
                  <c:v>2.01%</c:v>
                </c:pt>
                <c:pt idx="99">
                  <c:v>2.01%</c:v>
                </c:pt>
                <c:pt idx="100">
                  <c:v>2.01%</c:v>
                </c:pt>
                <c:pt idx="101">
                  <c:v>2.01%</c:v>
                </c:pt>
                <c:pt idx="102">
                  <c:v>2.02%</c:v>
                </c:pt>
                <c:pt idx="103">
                  <c:v>2.02%</c:v>
                </c:pt>
                <c:pt idx="104">
                  <c:v>2.03%</c:v>
                </c:pt>
                <c:pt idx="105">
                  <c:v>2.02%</c:v>
                </c:pt>
                <c:pt idx="106">
                  <c:v>2.02%</c:v>
                </c:pt>
                <c:pt idx="107">
                  <c:v>2.02%</c:v>
                </c:pt>
                <c:pt idx="108">
                  <c:v>2.02%</c:v>
                </c:pt>
                <c:pt idx="109">
                  <c:v>2.02%</c:v>
                </c:pt>
                <c:pt idx="110">
                  <c:v>2.03%</c:v>
                </c:pt>
                <c:pt idx="111">
                  <c:v>2.03%</c:v>
                </c:pt>
                <c:pt idx="112">
                  <c:v>2.00%</c:v>
                </c:pt>
                <c:pt idx="113">
                  <c:v>2.00%</c:v>
                </c:pt>
                <c:pt idx="114">
                  <c:v>2.00%</c:v>
                </c:pt>
                <c:pt idx="115">
                  <c:v>2.00%</c:v>
                </c:pt>
                <c:pt idx="116">
                  <c:v>2.00%</c:v>
                </c:pt>
                <c:pt idx="117">
                  <c:v>2.00%</c:v>
                </c:pt>
                <c:pt idx="118">
                  <c:v>2.00%</c:v>
                </c:pt>
                <c:pt idx="119">
                  <c:v>2.00%</c:v>
                </c:pt>
                <c:pt idx="120">
                  <c:v>2.00%</c:v>
                </c:pt>
                <c:pt idx="121">
                  <c:v>2.00%</c:v>
                </c:pt>
                <c:pt idx="122">
                  <c:v>2.00%</c:v>
                </c:pt>
                <c:pt idx="123">
                  <c:v>2.00%</c:v>
                </c:pt>
                <c:pt idx="124">
                  <c:v>2.00%</c:v>
                </c:pt>
                <c:pt idx="125">
                  <c:v>2.00%</c:v>
                </c:pt>
                <c:pt idx="126">
                  <c:v>2.00%</c:v>
                </c:pt>
                <c:pt idx="127">
                  <c:v>2.00%</c:v>
                </c:pt>
                <c:pt idx="128">
                  <c:v>2.00%</c:v>
                </c:pt>
                <c:pt idx="129">
                  <c:v>2.00%</c:v>
                </c:pt>
                <c:pt idx="130">
                  <c:v>2.00%</c:v>
                </c:pt>
                <c:pt idx="131">
                  <c:v>2.00%</c:v>
                </c:pt>
                <c:pt idx="132">
                  <c:v>2.00%</c:v>
                </c:pt>
                <c:pt idx="133">
                  <c:v>2.00%</c:v>
                </c:pt>
                <c:pt idx="134">
                  <c:v>2.00%</c:v>
                </c:pt>
                <c:pt idx="135">
                  <c:v>2.00%</c:v>
                </c:pt>
                <c:pt idx="136">
                  <c:v>2.00%</c:v>
                </c:pt>
                <c:pt idx="137">
                  <c:v>2.00%</c:v>
                </c:pt>
                <c:pt idx="138">
                  <c:v>2.00%</c:v>
                </c:pt>
                <c:pt idx="139">
                  <c:v>2.00%</c:v>
                </c:pt>
                <c:pt idx="140">
                  <c:v>2.00%</c:v>
                </c:pt>
                <c:pt idx="141">
                  <c:v>2.00%</c:v>
                </c:pt>
                <c:pt idx="142">
                  <c:v>2.00%</c:v>
                </c:pt>
                <c:pt idx="143">
                  <c:v>2.00%</c:v>
                </c:pt>
                <c:pt idx="144">
                  <c:v>2.00%</c:v>
                </c:pt>
                <c:pt idx="145">
                  <c:v>2.00%</c:v>
                </c:pt>
                <c:pt idx="146">
                  <c:v>2.00%</c:v>
                </c:pt>
                <c:pt idx="147">
                  <c:v>2.00%</c:v>
                </c:pt>
                <c:pt idx="148">
                  <c:v>2.00%</c:v>
                </c:pt>
                <c:pt idx="149">
                  <c:v>2.00%</c:v>
                </c:pt>
                <c:pt idx="150">
                  <c:v>2.00%</c:v>
                </c:pt>
                <c:pt idx="151">
                  <c:v>2.00%</c:v>
                </c:pt>
                <c:pt idx="152">
                  <c:v>2.00%</c:v>
                </c:pt>
                <c:pt idx="153">
                  <c:v>2.00%</c:v>
                </c:pt>
                <c:pt idx="154">
                  <c:v>2.00%</c:v>
                </c:pt>
                <c:pt idx="155">
                  <c:v>2.00%</c:v>
                </c:pt>
                <c:pt idx="156">
                  <c:v>2.00%</c:v>
                </c:pt>
                <c:pt idx="157">
                  <c:v>2.00%</c:v>
                </c:pt>
                <c:pt idx="158">
                  <c:v>2.00%</c:v>
                </c:pt>
                <c:pt idx="159">
                  <c:v>2.00%</c:v>
                </c:pt>
                <c:pt idx="160">
                  <c:v>2.00%</c:v>
                </c:pt>
                <c:pt idx="161">
                  <c:v>2.00%</c:v>
                </c:pt>
                <c:pt idx="162">
                  <c:v>2.00%</c:v>
                </c:pt>
                <c:pt idx="163">
                  <c:v>2.00%</c:v>
                </c:pt>
                <c:pt idx="164">
                  <c:v>2.00%</c:v>
                </c:pt>
                <c:pt idx="165">
                  <c:v>2.00%</c:v>
                </c:pt>
                <c:pt idx="166">
                  <c:v>2.07%</c:v>
                </c:pt>
                <c:pt idx="167">
                  <c:v>1.84%</c:v>
                </c:pt>
                <c:pt idx="168">
                  <c:v>1.50%</c:v>
                </c:pt>
                <c:pt idx="169">
                  <c:v>1.50%</c:v>
                </c:pt>
                <c:pt idx="170">
                  <c:v>1.50%</c:v>
                </c:pt>
                <c:pt idx="171">
                  <c:v>1.50%</c:v>
                </c:pt>
                <c:pt idx="172">
                  <c:v>1.50%</c:v>
                </c:pt>
                <c:pt idx="173">
                  <c:v>1.50%</c:v>
                </c:pt>
                <c:pt idx="174">
                  <c:v>1.50%</c:v>
                </c:pt>
                <c:pt idx="175">
                  <c:v>1.50%</c:v>
                </c:pt>
                <c:pt idx="176">
                  <c:v>1.50%</c:v>
                </c:pt>
                <c:pt idx="177">
                  <c:v>1.50%</c:v>
                </c:pt>
                <c:pt idx="178">
                  <c:v>1.50%</c:v>
                </c:pt>
                <c:pt idx="179">
                  <c:v>1.50%</c:v>
                </c:pt>
                <c:pt idx="180">
                  <c:v>1.50%</c:v>
                </c:pt>
                <c:pt idx="181">
                  <c:v>1.51%</c:v>
                </c:pt>
                <c:pt idx="182">
                  <c:v>1.50%</c:v>
                </c:pt>
                <c:pt idx="183">
                  <c:v>1.50%</c:v>
                </c:pt>
                <c:pt idx="184">
                  <c:v>1.50%</c:v>
                </c:pt>
                <c:pt idx="185">
                  <c:v>1.50%</c:v>
                </c:pt>
                <c:pt idx="186">
                  <c:v>1.50%</c:v>
                </c:pt>
                <c:pt idx="187">
                  <c:v>1.50%</c:v>
                </c:pt>
                <c:pt idx="188">
                  <c:v>1.50%</c:v>
                </c:pt>
                <c:pt idx="189">
                  <c:v>1.50%</c:v>
                </c:pt>
                <c:pt idx="190">
                  <c:v>1.50%</c:v>
                </c:pt>
                <c:pt idx="191">
                  <c:v>1.50%</c:v>
                </c:pt>
                <c:pt idx="192">
                  <c:v>1.50%</c:v>
                </c:pt>
                <c:pt idx="193">
                  <c:v>1.50%</c:v>
                </c:pt>
                <c:pt idx="194">
                  <c:v>1.50%</c:v>
                </c:pt>
                <c:pt idx="195">
                  <c:v>1.51%</c:v>
                </c:pt>
                <c:pt idx="196">
                  <c:v>1.50%</c:v>
                </c:pt>
                <c:pt idx="197">
                  <c:v>1.50%</c:v>
                </c:pt>
                <c:pt idx="198">
                  <c:v>1.50%</c:v>
                </c:pt>
                <c:pt idx="199">
                  <c:v>1.50%</c:v>
                </c:pt>
                <c:pt idx="200">
                  <c:v>1.50%</c:v>
                </c:pt>
                <c:pt idx="201">
                  <c:v>1.50%</c:v>
                </c:pt>
                <c:pt idx="202">
                  <c:v>1.50%</c:v>
                </c:pt>
                <c:pt idx="203">
                  <c:v>1.50%</c:v>
                </c:pt>
                <c:pt idx="204">
                  <c:v>1.50%</c:v>
                </c:pt>
                <c:pt idx="205">
                  <c:v>1.50%</c:v>
                </c:pt>
                <c:pt idx="206">
                  <c:v>1.50%</c:v>
                </c:pt>
                <c:pt idx="207">
                  <c:v>1.50%</c:v>
                </c:pt>
                <c:pt idx="208">
                  <c:v>1.50%</c:v>
                </c:pt>
                <c:pt idx="209">
                  <c:v>1.50%</c:v>
                </c:pt>
                <c:pt idx="210">
                  <c:v>1.50%</c:v>
                </c:pt>
                <c:pt idx="211">
                  <c:v>1.50%</c:v>
                </c:pt>
                <c:pt idx="212">
                  <c:v>1.50%</c:v>
                </c:pt>
                <c:pt idx="213">
                  <c:v>1.50%</c:v>
                </c:pt>
                <c:pt idx="214">
                  <c:v>1.50%</c:v>
                </c:pt>
                <c:pt idx="215">
                  <c:v>1.50%</c:v>
                </c:pt>
                <c:pt idx="216">
                  <c:v>1.51%</c:v>
                </c:pt>
                <c:pt idx="217">
                  <c:v>1.50%</c:v>
                </c:pt>
                <c:pt idx="218">
                  <c:v>1.50%</c:v>
                </c:pt>
                <c:pt idx="219">
                  <c:v>1.50%</c:v>
                </c:pt>
                <c:pt idx="220">
                  <c:v>1.50%</c:v>
                </c:pt>
                <c:pt idx="221">
                  <c:v>1.50%</c:v>
                </c:pt>
                <c:pt idx="222">
                  <c:v>1.50%</c:v>
                </c:pt>
                <c:pt idx="223">
                  <c:v>1.50%</c:v>
                </c:pt>
                <c:pt idx="224">
                  <c:v>1.50%</c:v>
                </c:pt>
                <c:pt idx="225">
                  <c:v>1.50%</c:v>
                </c:pt>
                <c:pt idx="226">
                  <c:v>1.50%</c:v>
                </c:pt>
                <c:pt idx="227">
                  <c:v>1.50%</c:v>
                </c:pt>
                <c:pt idx="228">
                  <c:v>1.50%</c:v>
                </c:pt>
                <c:pt idx="229">
                  <c:v>1.50%</c:v>
                </c:pt>
                <c:pt idx="230">
                  <c:v>1.50%</c:v>
                </c:pt>
                <c:pt idx="231">
                  <c:v>1.50%</c:v>
                </c:pt>
                <c:pt idx="232">
                  <c:v>1.50%</c:v>
                </c:pt>
                <c:pt idx="233">
                  <c:v>1.50%</c:v>
                </c:pt>
                <c:pt idx="234">
                  <c:v>1.50%</c:v>
                </c:pt>
                <c:pt idx="235">
                  <c:v>1.50%</c:v>
                </c:pt>
                <c:pt idx="236">
                  <c:v>1.50%</c:v>
                </c:pt>
                <c:pt idx="237">
                  <c:v>1.50%</c:v>
                </c:pt>
                <c:pt idx="238">
                  <c:v>1.50%</c:v>
                </c:pt>
                <c:pt idx="239">
                  <c:v>1.50%</c:v>
                </c:pt>
                <c:pt idx="240">
                  <c:v>1.50%</c:v>
                </c:pt>
                <c:pt idx="241">
                  <c:v>1.50%</c:v>
                </c:pt>
                <c:pt idx="242">
                  <c:v>1.50%</c:v>
                </c:pt>
                <c:pt idx="243">
                  <c:v>1.50%</c:v>
                </c:pt>
                <c:pt idx="244">
                  <c:v>1.50%</c:v>
                </c:pt>
                <c:pt idx="245">
                  <c:v>1.50%</c:v>
                </c:pt>
                <c:pt idx="246">
                  <c:v>1.50%</c:v>
                </c:pt>
                <c:pt idx="247">
                  <c:v>1.50%</c:v>
                </c:pt>
                <c:pt idx="248">
                  <c:v>1.50%</c:v>
                </c:pt>
                <c:pt idx="249">
                  <c:v>1.50%</c:v>
                </c:pt>
                <c:pt idx="250">
                  <c:v>1.50%</c:v>
                </c:pt>
                <c:pt idx="251">
                  <c:v>1.50%</c:v>
                </c:pt>
                <c:pt idx="252">
                  <c:v>1.50%</c:v>
                </c:pt>
                <c:pt idx="253">
                  <c:v>1.50%</c:v>
                </c:pt>
                <c:pt idx="254">
                  <c:v>1.50%</c:v>
                </c:pt>
                <c:pt idx="255">
                  <c:v>1.50%</c:v>
                </c:pt>
                <c:pt idx="256">
                  <c:v>1.50%</c:v>
                </c:pt>
                <c:pt idx="257">
                  <c:v>1.50%</c:v>
                </c:pt>
                <c:pt idx="258">
                  <c:v>1.50%</c:v>
                </c:pt>
                <c:pt idx="259">
                  <c:v>1.50%</c:v>
                </c:pt>
                <c:pt idx="260">
                  <c:v>1.50%</c:v>
                </c:pt>
                <c:pt idx="261">
                  <c:v>1.50%</c:v>
                </c:pt>
                <c:pt idx="262">
                  <c:v>1.50%</c:v>
                </c:pt>
                <c:pt idx="263">
                  <c:v>1.50%</c:v>
                </c:pt>
                <c:pt idx="264">
                  <c:v>1.50%</c:v>
                </c:pt>
                <c:pt idx="265">
                  <c:v>1.50%</c:v>
                </c:pt>
                <c:pt idx="266">
                  <c:v>1.50%</c:v>
                </c:pt>
                <c:pt idx="267">
                  <c:v>1.50%</c:v>
                </c:pt>
                <c:pt idx="268">
                  <c:v>1.50%</c:v>
                </c:pt>
                <c:pt idx="269">
                  <c:v>1.50%</c:v>
                </c:pt>
                <c:pt idx="270">
                  <c:v>1.50%</c:v>
                </c:pt>
                <c:pt idx="271">
                  <c:v>1.50%</c:v>
                </c:pt>
                <c:pt idx="272">
                  <c:v>1.50%</c:v>
                </c:pt>
                <c:pt idx="273">
                  <c:v>1.50%</c:v>
                </c:pt>
                <c:pt idx="274">
                  <c:v>1.50%</c:v>
                </c:pt>
                <c:pt idx="275">
                  <c:v>1.50%</c:v>
                </c:pt>
                <c:pt idx="276">
                  <c:v>1.50%</c:v>
                </c:pt>
                <c:pt idx="277">
                  <c:v>1.50%</c:v>
                </c:pt>
                <c:pt idx="278">
                  <c:v>1.50%</c:v>
                </c:pt>
                <c:pt idx="279">
                  <c:v>1.50%</c:v>
                </c:pt>
                <c:pt idx="280">
                  <c:v>1.50%</c:v>
                </c:pt>
                <c:pt idx="281">
                  <c:v>1.50%</c:v>
                </c:pt>
                <c:pt idx="282">
                  <c:v>1.50%</c:v>
                </c:pt>
                <c:pt idx="283">
                  <c:v>1.50%</c:v>
                </c:pt>
                <c:pt idx="284">
                  <c:v>1.50%</c:v>
                </c:pt>
                <c:pt idx="285">
                  <c:v>1.50%</c:v>
                </c:pt>
                <c:pt idx="286">
                  <c:v>1.50%</c:v>
                </c:pt>
                <c:pt idx="287">
                  <c:v>1.50%</c:v>
                </c:pt>
                <c:pt idx="288">
                  <c:v>1.50%</c:v>
                </c:pt>
                <c:pt idx="289">
                  <c:v>1.50%</c:v>
                </c:pt>
                <c:pt idx="290">
                  <c:v>1.50%</c:v>
                </c:pt>
                <c:pt idx="291">
                  <c:v>1.50%</c:v>
                </c:pt>
                <c:pt idx="292">
                  <c:v>1.50%</c:v>
                </c:pt>
                <c:pt idx="293">
                  <c:v>1.50%</c:v>
                </c:pt>
                <c:pt idx="294">
                  <c:v>1.50%</c:v>
                </c:pt>
                <c:pt idx="295">
                  <c:v>1.50%</c:v>
                </c:pt>
                <c:pt idx="296">
                  <c:v>1.50%</c:v>
                </c:pt>
                <c:pt idx="297">
                  <c:v>1.50%</c:v>
                </c:pt>
                <c:pt idx="298">
                  <c:v>1.50%</c:v>
                </c:pt>
                <c:pt idx="299">
                  <c:v>1.50%</c:v>
                </c:pt>
                <c:pt idx="300">
                  <c:v>1.50%</c:v>
                </c:pt>
                <c:pt idx="301">
                  <c:v>1.50%</c:v>
                </c:pt>
                <c:pt idx="302">
                  <c:v>1.50%</c:v>
                </c:pt>
                <c:pt idx="303">
                  <c:v>1.50%</c:v>
                </c:pt>
                <c:pt idx="304">
                  <c:v>1.50%</c:v>
                </c:pt>
                <c:pt idx="305">
                  <c:v>1.50%</c:v>
                </c:pt>
                <c:pt idx="306">
                  <c:v>1.50%</c:v>
                </c:pt>
                <c:pt idx="307">
                  <c:v>1.50%</c:v>
                </c:pt>
                <c:pt idx="308">
                  <c:v>1.50%</c:v>
                </c:pt>
                <c:pt idx="309">
                  <c:v>1.50%</c:v>
                </c:pt>
                <c:pt idx="310">
                  <c:v>1.50%</c:v>
                </c:pt>
                <c:pt idx="311">
                  <c:v>1.50%</c:v>
                </c:pt>
                <c:pt idx="312">
                  <c:v>1.50%</c:v>
                </c:pt>
                <c:pt idx="313">
                  <c:v>1.50%</c:v>
                </c:pt>
                <c:pt idx="314">
                  <c:v>1.50%</c:v>
                </c:pt>
                <c:pt idx="315">
                  <c:v>1.50%</c:v>
                </c:pt>
                <c:pt idx="316">
                  <c:v>1.50%</c:v>
                </c:pt>
                <c:pt idx="317">
                  <c:v>1.50%</c:v>
                </c:pt>
                <c:pt idx="318">
                  <c:v>1.50%</c:v>
                </c:pt>
                <c:pt idx="319">
                  <c:v>1.50%</c:v>
                </c:pt>
                <c:pt idx="320">
                  <c:v>1.50%</c:v>
                </c:pt>
                <c:pt idx="321">
                  <c:v>1.50%</c:v>
                </c:pt>
                <c:pt idx="322">
                  <c:v>1.50%</c:v>
                </c:pt>
                <c:pt idx="323">
                  <c:v>1.50%</c:v>
                </c:pt>
                <c:pt idx="324">
                  <c:v>1.50%</c:v>
                </c:pt>
                <c:pt idx="325">
                  <c:v>1.50%</c:v>
                </c:pt>
                <c:pt idx="326">
                  <c:v>1.50%</c:v>
                </c:pt>
                <c:pt idx="327">
                  <c:v>1.50%</c:v>
                </c:pt>
                <c:pt idx="328">
                  <c:v>1.50%</c:v>
                </c:pt>
                <c:pt idx="329">
                  <c:v>1.50%</c:v>
                </c:pt>
                <c:pt idx="330">
                  <c:v>1.50%</c:v>
                </c:pt>
                <c:pt idx="331">
                  <c:v>1.50%</c:v>
                </c:pt>
                <c:pt idx="332">
                  <c:v>1.50%</c:v>
                </c:pt>
                <c:pt idx="333">
                  <c:v>1.50%</c:v>
                </c:pt>
                <c:pt idx="334">
                  <c:v>1.50%</c:v>
                </c:pt>
                <c:pt idx="335">
                  <c:v>1.50%</c:v>
                </c:pt>
                <c:pt idx="336">
                  <c:v>1.50%</c:v>
                </c:pt>
                <c:pt idx="337">
                  <c:v>1.50%</c:v>
                </c:pt>
                <c:pt idx="338">
                  <c:v>1.50%</c:v>
                </c:pt>
                <c:pt idx="339">
                  <c:v>1.50%</c:v>
                </c:pt>
                <c:pt idx="340">
                  <c:v>1.50%</c:v>
                </c:pt>
                <c:pt idx="341">
                  <c:v>1.50%</c:v>
                </c:pt>
                <c:pt idx="342">
                  <c:v>1.50%</c:v>
                </c:pt>
                <c:pt idx="343">
                  <c:v>1.50%</c:v>
                </c:pt>
                <c:pt idx="344">
                  <c:v>1.50%</c:v>
                </c:pt>
                <c:pt idx="345">
                  <c:v>1.50%</c:v>
                </c:pt>
                <c:pt idx="346">
                  <c:v>1.50%</c:v>
                </c:pt>
                <c:pt idx="347">
                  <c:v>1.50%</c:v>
                </c:pt>
                <c:pt idx="348">
                  <c:v>1.50%</c:v>
                </c:pt>
                <c:pt idx="349">
                  <c:v>1.50%</c:v>
                </c:pt>
                <c:pt idx="350">
                  <c:v>1.50%</c:v>
                </c:pt>
              </c:strCache>
            </c:strRef>
          </c:tx>
          <c:spPr>
            <a:ln w="28575" cap="rnd">
              <a:solidFill>
                <a:schemeClr val="accent1"/>
              </a:solidFill>
              <a:round/>
            </a:ln>
            <a:effectLst/>
          </c:spPr>
          <c:marker>
            <c:symbol val="none"/>
          </c:marker>
          <c:cat>
            <c:numRef>
              <c:f>'Données TMIB actualisées'!$A$939</c:f>
              <c:numCache>
                <c:formatCode>m/d/yy</c:formatCode>
                <c:ptCount val="1"/>
                <c:pt idx="0">
                  <c:v>44183</c:v>
                </c:pt>
              </c:numCache>
            </c:numRef>
          </c:cat>
          <c:val>
            <c:numRef>
              <c:f>'Données TMIB actualisées'!$B$939</c:f>
              <c:numCache>
                <c:formatCode>0.00%</c:formatCode>
                <c:ptCount val="1"/>
                <c:pt idx="0">
                  <c:v>1.4999999999999999E-2</c:v>
                </c:pt>
              </c:numCache>
            </c:numRef>
          </c:val>
          <c:smooth val="0"/>
          <c:extLst>
            <c:ext xmlns:c16="http://schemas.microsoft.com/office/drawing/2014/chart" uri="{C3380CC4-5D6E-409C-BE32-E72D297353CC}">
              <c16:uniqueId val="{00000000-21EA-C046-9A55-DA54ADEDEE6D}"/>
            </c:ext>
          </c:extLst>
        </c:ser>
        <c:dLbls>
          <c:showLegendKey val="0"/>
          <c:showVal val="0"/>
          <c:showCatName val="0"/>
          <c:showSerName val="0"/>
          <c:showPercent val="0"/>
          <c:showBubbleSize val="0"/>
        </c:dLbls>
        <c:smooth val="0"/>
        <c:axId val="1227019024"/>
        <c:axId val="1189608912"/>
      </c:lineChart>
      <c:dateAx>
        <c:axId val="122701902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608912"/>
        <c:crosses val="autoZero"/>
        <c:auto val="1"/>
        <c:lblOffset val="100"/>
        <c:baseTimeUnit val="days"/>
      </c:dateAx>
      <c:valAx>
        <c:axId val="1189608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7019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'Données TMIB actualisées'!$A$588:$A$939</c:f>
              <c:numCache>
                <c:formatCode>m/d/yy</c:formatCode>
                <c:ptCount val="352"/>
                <c:pt idx="0">
                  <c:v>43832</c:v>
                </c:pt>
                <c:pt idx="1">
                  <c:v>43833</c:v>
                </c:pt>
                <c:pt idx="2">
                  <c:v>43834</c:v>
                </c:pt>
                <c:pt idx="3">
                  <c:v>43835</c:v>
                </c:pt>
                <c:pt idx="4">
                  <c:v>43836</c:v>
                </c:pt>
                <c:pt idx="5">
                  <c:v>43837</c:v>
                </c:pt>
                <c:pt idx="6">
                  <c:v>43838</c:v>
                </c:pt>
                <c:pt idx="7">
                  <c:v>43839</c:v>
                </c:pt>
                <c:pt idx="8">
                  <c:v>43840</c:v>
                </c:pt>
                <c:pt idx="9">
                  <c:v>43841</c:v>
                </c:pt>
                <c:pt idx="10">
                  <c:v>43842</c:v>
                </c:pt>
                <c:pt idx="11">
                  <c:v>43843</c:v>
                </c:pt>
                <c:pt idx="12">
                  <c:v>43844</c:v>
                </c:pt>
                <c:pt idx="13">
                  <c:v>43845</c:v>
                </c:pt>
                <c:pt idx="14">
                  <c:v>43846</c:v>
                </c:pt>
                <c:pt idx="15">
                  <c:v>43847</c:v>
                </c:pt>
                <c:pt idx="16">
                  <c:v>43848</c:v>
                </c:pt>
                <c:pt idx="17">
                  <c:v>43849</c:v>
                </c:pt>
                <c:pt idx="18">
                  <c:v>43850</c:v>
                </c:pt>
                <c:pt idx="19">
                  <c:v>43851</c:v>
                </c:pt>
                <c:pt idx="20">
                  <c:v>43852</c:v>
                </c:pt>
                <c:pt idx="21">
                  <c:v>43853</c:v>
                </c:pt>
                <c:pt idx="22">
                  <c:v>43854</c:v>
                </c:pt>
                <c:pt idx="23">
                  <c:v>43855</c:v>
                </c:pt>
                <c:pt idx="24">
                  <c:v>43856</c:v>
                </c:pt>
                <c:pt idx="25">
                  <c:v>43857</c:v>
                </c:pt>
                <c:pt idx="26">
                  <c:v>43858</c:v>
                </c:pt>
                <c:pt idx="27">
                  <c:v>43859</c:v>
                </c:pt>
                <c:pt idx="28">
                  <c:v>43860</c:v>
                </c:pt>
                <c:pt idx="29">
                  <c:v>43861</c:v>
                </c:pt>
                <c:pt idx="30">
                  <c:v>43862</c:v>
                </c:pt>
                <c:pt idx="31">
                  <c:v>43863</c:v>
                </c:pt>
                <c:pt idx="32">
                  <c:v>43864</c:v>
                </c:pt>
                <c:pt idx="33">
                  <c:v>43865</c:v>
                </c:pt>
                <c:pt idx="34">
                  <c:v>43866</c:v>
                </c:pt>
                <c:pt idx="35">
                  <c:v>43867</c:v>
                </c:pt>
                <c:pt idx="36">
                  <c:v>43868</c:v>
                </c:pt>
                <c:pt idx="37">
                  <c:v>43869</c:v>
                </c:pt>
                <c:pt idx="38">
                  <c:v>43870</c:v>
                </c:pt>
                <c:pt idx="39">
                  <c:v>43871</c:v>
                </c:pt>
                <c:pt idx="40">
                  <c:v>43872</c:v>
                </c:pt>
                <c:pt idx="41">
                  <c:v>43873</c:v>
                </c:pt>
                <c:pt idx="42">
                  <c:v>43874</c:v>
                </c:pt>
                <c:pt idx="43">
                  <c:v>43875</c:v>
                </c:pt>
                <c:pt idx="44">
                  <c:v>43876</c:v>
                </c:pt>
                <c:pt idx="45">
                  <c:v>43877</c:v>
                </c:pt>
                <c:pt idx="46">
                  <c:v>43878</c:v>
                </c:pt>
                <c:pt idx="47">
                  <c:v>43879</c:v>
                </c:pt>
                <c:pt idx="48">
                  <c:v>43880</c:v>
                </c:pt>
                <c:pt idx="49">
                  <c:v>43881</c:v>
                </c:pt>
                <c:pt idx="50">
                  <c:v>43882</c:v>
                </c:pt>
                <c:pt idx="51">
                  <c:v>43883</c:v>
                </c:pt>
                <c:pt idx="52">
                  <c:v>43884</c:v>
                </c:pt>
                <c:pt idx="53">
                  <c:v>43885</c:v>
                </c:pt>
                <c:pt idx="54">
                  <c:v>43886</c:v>
                </c:pt>
                <c:pt idx="55">
                  <c:v>43887</c:v>
                </c:pt>
                <c:pt idx="56">
                  <c:v>43888</c:v>
                </c:pt>
                <c:pt idx="57">
                  <c:v>43889</c:v>
                </c:pt>
                <c:pt idx="58">
                  <c:v>43890</c:v>
                </c:pt>
                <c:pt idx="59">
                  <c:v>43891</c:v>
                </c:pt>
                <c:pt idx="60">
                  <c:v>43892</c:v>
                </c:pt>
                <c:pt idx="61">
                  <c:v>43893</c:v>
                </c:pt>
                <c:pt idx="62">
                  <c:v>43894</c:v>
                </c:pt>
                <c:pt idx="63">
                  <c:v>43895</c:v>
                </c:pt>
                <c:pt idx="64">
                  <c:v>43896</c:v>
                </c:pt>
                <c:pt idx="65">
                  <c:v>43897</c:v>
                </c:pt>
                <c:pt idx="66">
                  <c:v>43898</c:v>
                </c:pt>
                <c:pt idx="67">
                  <c:v>43899</c:v>
                </c:pt>
                <c:pt idx="68">
                  <c:v>43900</c:v>
                </c:pt>
                <c:pt idx="69">
                  <c:v>43901</c:v>
                </c:pt>
                <c:pt idx="70">
                  <c:v>43902</c:v>
                </c:pt>
                <c:pt idx="71">
                  <c:v>43903</c:v>
                </c:pt>
                <c:pt idx="72">
                  <c:v>43904</c:v>
                </c:pt>
                <c:pt idx="73">
                  <c:v>43905</c:v>
                </c:pt>
                <c:pt idx="74">
                  <c:v>43906</c:v>
                </c:pt>
                <c:pt idx="75">
                  <c:v>43907</c:v>
                </c:pt>
                <c:pt idx="76">
                  <c:v>43908</c:v>
                </c:pt>
                <c:pt idx="77">
                  <c:v>43909</c:v>
                </c:pt>
                <c:pt idx="78">
                  <c:v>43910</c:v>
                </c:pt>
                <c:pt idx="79">
                  <c:v>43911</c:v>
                </c:pt>
                <c:pt idx="80">
                  <c:v>43912</c:v>
                </c:pt>
                <c:pt idx="81">
                  <c:v>43913</c:v>
                </c:pt>
                <c:pt idx="82">
                  <c:v>43914</c:v>
                </c:pt>
                <c:pt idx="83">
                  <c:v>43915</c:v>
                </c:pt>
                <c:pt idx="84">
                  <c:v>43916</c:v>
                </c:pt>
                <c:pt idx="85">
                  <c:v>43917</c:v>
                </c:pt>
                <c:pt idx="86">
                  <c:v>43918</c:v>
                </c:pt>
                <c:pt idx="87">
                  <c:v>43919</c:v>
                </c:pt>
                <c:pt idx="88">
                  <c:v>43920</c:v>
                </c:pt>
                <c:pt idx="89">
                  <c:v>43921</c:v>
                </c:pt>
                <c:pt idx="90">
                  <c:v>43922</c:v>
                </c:pt>
                <c:pt idx="91">
                  <c:v>43923</c:v>
                </c:pt>
                <c:pt idx="92">
                  <c:v>43924</c:v>
                </c:pt>
                <c:pt idx="93">
                  <c:v>43925</c:v>
                </c:pt>
                <c:pt idx="94">
                  <c:v>43926</c:v>
                </c:pt>
                <c:pt idx="95">
                  <c:v>43927</c:v>
                </c:pt>
                <c:pt idx="96">
                  <c:v>43928</c:v>
                </c:pt>
                <c:pt idx="97">
                  <c:v>43929</c:v>
                </c:pt>
                <c:pt idx="98">
                  <c:v>43930</c:v>
                </c:pt>
                <c:pt idx="99">
                  <c:v>43931</c:v>
                </c:pt>
                <c:pt idx="100">
                  <c:v>43932</c:v>
                </c:pt>
                <c:pt idx="101">
                  <c:v>43933</c:v>
                </c:pt>
                <c:pt idx="102">
                  <c:v>43934</c:v>
                </c:pt>
                <c:pt idx="103">
                  <c:v>43935</c:v>
                </c:pt>
                <c:pt idx="104">
                  <c:v>43936</c:v>
                </c:pt>
                <c:pt idx="105">
                  <c:v>43937</c:v>
                </c:pt>
                <c:pt idx="106">
                  <c:v>43938</c:v>
                </c:pt>
                <c:pt idx="107">
                  <c:v>43939</c:v>
                </c:pt>
                <c:pt idx="108">
                  <c:v>43940</c:v>
                </c:pt>
                <c:pt idx="109">
                  <c:v>43941</c:v>
                </c:pt>
                <c:pt idx="110">
                  <c:v>43942</c:v>
                </c:pt>
                <c:pt idx="111">
                  <c:v>43943</c:v>
                </c:pt>
                <c:pt idx="112">
                  <c:v>43944</c:v>
                </c:pt>
                <c:pt idx="113">
                  <c:v>43945</c:v>
                </c:pt>
                <c:pt idx="114">
                  <c:v>43946</c:v>
                </c:pt>
                <c:pt idx="115">
                  <c:v>43947</c:v>
                </c:pt>
                <c:pt idx="116">
                  <c:v>43948</c:v>
                </c:pt>
                <c:pt idx="117">
                  <c:v>43949</c:v>
                </c:pt>
                <c:pt idx="118">
                  <c:v>43950</c:v>
                </c:pt>
                <c:pt idx="119">
                  <c:v>43951</c:v>
                </c:pt>
                <c:pt idx="120">
                  <c:v>43952</c:v>
                </c:pt>
                <c:pt idx="121">
                  <c:v>43953</c:v>
                </c:pt>
                <c:pt idx="122">
                  <c:v>43954</c:v>
                </c:pt>
                <c:pt idx="123">
                  <c:v>43955</c:v>
                </c:pt>
                <c:pt idx="124">
                  <c:v>43956</c:v>
                </c:pt>
                <c:pt idx="125">
                  <c:v>43957</c:v>
                </c:pt>
                <c:pt idx="126">
                  <c:v>43958</c:v>
                </c:pt>
                <c:pt idx="127">
                  <c:v>43959</c:v>
                </c:pt>
                <c:pt idx="128">
                  <c:v>43960</c:v>
                </c:pt>
                <c:pt idx="129">
                  <c:v>43961</c:v>
                </c:pt>
                <c:pt idx="130">
                  <c:v>43962</c:v>
                </c:pt>
                <c:pt idx="131">
                  <c:v>43963</c:v>
                </c:pt>
                <c:pt idx="132">
                  <c:v>43964</c:v>
                </c:pt>
                <c:pt idx="133">
                  <c:v>43965</c:v>
                </c:pt>
                <c:pt idx="134">
                  <c:v>43966</c:v>
                </c:pt>
                <c:pt idx="135">
                  <c:v>43967</c:v>
                </c:pt>
                <c:pt idx="136">
                  <c:v>43968</c:v>
                </c:pt>
                <c:pt idx="137">
                  <c:v>43969</c:v>
                </c:pt>
                <c:pt idx="138">
                  <c:v>43970</c:v>
                </c:pt>
                <c:pt idx="139">
                  <c:v>43971</c:v>
                </c:pt>
                <c:pt idx="140">
                  <c:v>43972</c:v>
                </c:pt>
                <c:pt idx="141">
                  <c:v>43973</c:v>
                </c:pt>
                <c:pt idx="142">
                  <c:v>43974</c:v>
                </c:pt>
                <c:pt idx="143">
                  <c:v>43975</c:v>
                </c:pt>
                <c:pt idx="144">
                  <c:v>43976</c:v>
                </c:pt>
                <c:pt idx="145">
                  <c:v>43977</c:v>
                </c:pt>
                <c:pt idx="146">
                  <c:v>43978</c:v>
                </c:pt>
                <c:pt idx="147">
                  <c:v>43979</c:v>
                </c:pt>
                <c:pt idx="148">
                  <c:v>43980</c:v>
                </c:pt>
                <c:pt idx="149">
                  <c:v>43981</c:v>
                </c:pt>
                <c:pt idx="150">
                  <c:v>43982</c:v>
                </c:pt>
                <c:pt idx="151">
                  <c:v>43983</c:v>
                </c:pt>
                <c:pt idx="152">
                  <c:v>43984</c:v>
                </c:pt>
                <c:pt idx="153">
                  <c:v>43985</c:v>
                </c:pt>
                <c:pt idx="154">
                  <c:v>43986</c:v>
                </c:pt>
                <c:pt idx="155">
                  <c:v>43987</c:v>
                </c:pt>
                <c:pt idx="156">
                  <c:v>43988</c:v>
                </c:pt>
                <c:pt idx="157">
                  <c:v>43989</c:v>
                </c:pt>
                <c:pt idx="158">
                  <c:v>43990</c:v>
                </c:pt>
                <c:pt idx="159">
                  <c:v>43991</c:v>
                </c:pt>
                <c:pt idx="160">
                  <c:v>43992</c:v>
                </c:pt>
                <c:pt idx="161">
                  <c:v>43993</c:v>
                </c:pt>
                <c:pt idx="162">
                  <c:v>43994</c:v>
                </c:pt>
                <c:pt idx="163">
                  <c:v>43995</c:v>
                </c:pt>
                <c:pt idx="164">
                  <c:v>43996</c:v>
                </c:pt>
                <c:pt idx="165">
                  <c:v>43997</c:v>
                </c:pt>
                <c:pt idx="166">
                  <c:v>43998</c:v>
                </c:pt>
                <c:pt idx="167">
                  <c:v>43999</c:v>
                </c:pt>
                <c:pt idx="168">
                  <c:v>44000</c:v>
                </c:pt>
                <c:pt idx="169">
                  <c:v>44001</c:v>
                </c:pt>
                <c:pt idx="170">
                  <c:v>44002</c:v>
                </c:pt>
                <c:pt idx="171">
                  <c:v>44003</c:v>
                </c:pt>
                <c:pt idx="172">
                  <c:v>44004</c:v>
                </c:pt>
                <c:pt idx="173">
                  <c:v>44005</c:v>
                </c:pt>
                <c:pt idx="174">
                  <c:v>44006</c:v>
                </c:pt>
                <c:pt idx="175">
                  <c:v>44007</c:v>
                </c:pt>
                <c:pt idx="176">
                  <c:v>44008</c:v>
                </c:pt>
                <c:pt idx="177">
                  <c:v>44009</c:v>
                </c:pt>
                <c:pt idx="178">
                  <c:v>44010</c:v>
                </c:pt>
                <c:pt idx="179">
                  <c:v>44011</c:v>
                </c:pt>
                <c:pt idx="180">
                  <c:v>44012</c:v>
                </c:pt>
                <c:pt idx="181">
                  <c:v>44013</c:v>
                </c:pt>
                <c:pt idx="182">
                  <c:v>44014</c:v>
                </c:pt>
                <c:pt idx="183">
                  <c:v>44015</c:v>
                </c:pt>
                <c:pt idx="184">
                  <c:v>44016</c:v>
                </c:pt>
                <c:pt idx="185">
                  <c:v>44017</c:v>
                </c:pt>
                <c:pt idx="186">
                  <c:v>44018</c:v>
                </c:pt>
                <c:pt idx="187">
                  <c:v>44019</c:v>
                </c:pt>
                <c:pt idx="188">
                  <c:v>44020</c:v>
                </c:pt>
                <c:pt idx="189">
                  <c:v>44021</c:v>
                </c:pt>
                <c:pt idx="190">
                  <c:v>44022</c:v>
                </c:pt>
                <c:pt idx="191">
                  <c:v>44023</c:v>
                </c:pt>
                <c:pt idx="192">
                  <c:v>44024</c:v>
                </c:pt>
                <c:pt idx="193">
                  <c:v>44025</c:v>
                </c:pt>
                <c:pt idx="194">
                  <c:v>44026</c:v>
                </c:pt>
                <c:pt idx="195">
                  <c:v>44027</c:v>
                </c:pt>
                <c:pt idx="196">
                  <c:v>44028</c:v>
                </c:pt>
                <c:pt idx="197">
                  <c:v>44029</c:v>
                </c:pt>
                <c:pt idx="198">
                  <c:v>44030</c:v>
                </c:pt>
                <c:pt idx="199">
                  <c:v>44031</c:v>
                </c:pt>
                <c:pt idx="200">
                  <c:v>44032</c:v>
                </c:pt>
                <c:pt idx="201">
                  <c:v>44033</c:v>
                </c:pt>
                <c:pt idx="202">
                  <c:v>44034</c:v>
                </c:pt>
                <c:pt idx="203">
                  <c:v>44035</c:v>
                </c:pt>
                <c:pt idx="204">
                  <c:v>44036</c:v>
                </c:pt>
                <c:pt idx="205">
                  <c:v>44037</c:v>
                </c:pt>
                <c:pt idx="206">
                  <c:v>44038</c:v>
                </c:pt>
                <c:pt idx="207">
                  <c:v>44039</c:v>
                </c:pt>
                <c:pt idx="208">
                  <c:v>44040</c:v>
                </c:pt>
                <c:pt idx="209">
                  <c:v>44041</c:v>
                </c:pt>
                <c:pt idx="210">
                  <c:v>44042</c:v>
                </c:pt>
                <c:pt idx="211">
                  <c:v>44043</c:v>
                </c:pt>
                <c:pt idx="212">
                  <c:v>44044</c:v>
                </c:pt>
                <c:pt idx="213">
                  <c:v>44045</c:v>
                </c:pt>
                <c:pt idx="214">
                  <c:v>44046</c:v>
                </c:pt>
                <c:pt idx="215">
                  <c:v>44047</c:v>
                </c:pt>
                <c:pt idx="216">
                  <c:v>44048</c:v>
                </c:pt>
                <c:pt idx="217">
                  <c:v>44049</c:v>
                </c:pt>
                <c:pt idx="218">
                  <c:v>44050</c:v>
                </c:pt>
                <c:pt idx="219">
                  <c:v>44051</c:v>
                </c:pt>
                <c:pt idx="220">
                  <c:v>44052</c:v>
                </c:pt>
                <c:pt idx="221">
                  <c:v>44053</c:v>
                </c:pt>
                <c:pt idx="222">
                  <c:v>44054</c:v>
                </c:pt>
                <c:pt idx="223">
                  <c:v>44055</c:v>
                </c:pt>
                <c:pt idx="224">
                  <c:v>44056</c:v>
                </c:pt>
                <c:pt idx="225">
                  <c:v>44057</c:v>
                </c:pt>
                <c:pt idx="226">
                  <c:v>44058</c:v>
                </c:pt>
                <c:pt idx="227">
                  <c:v>44059</c:v>
                </c:pt>
                <c:pt idx="228">
                  <c:v>44060</c:v>
                </c:pt>
                <c:pt idx="229">
                  <c:v>44061</c:v>
                </c:pt>
                <c:pt idx="230">
                  <c:v>44062</c:v>
                </c:pt>
                <c:pt idx="231">
                  <c:v>44063</c:v>
                </c:pt>
                <c:pt idx="232">
                  <c:v>44064</c:v>
                </c:pt>
                <c:pt idx="233">
                  <c:v>44065</c:v>
                </c:pt>
                <c:pt idx="234">
                  <c:v>44066</c:v>
                </c:pt>
                <c:pt idx="235">
                  <c:v>44067</c:v>
                </c:pt>
                <c:pt idx="236">
                  <c:v>44068</c:v>
                </c:pt>
                <c:pt idx="237">
                  <c:v>44069</c:v>
                </c:pt>
                <c:pt idx="238">
                  <c:v>44070</c:v>
                </c:pt>
                <c:pt idx="239">
                  <c:v>44071</c:v>
                </c:pt>
                <c:pt idx="240">
                  <c:v>44072</c:v>
                </c:pt>
                <c:pt idx="241">
                  <c:v>44073</c:v>
                </c:pt>
                <c:pt idx="242">
                  <c:v>44074</c:v>
                </c:pt>
                <c:pt idx="243">
                  <c:v>44075</c:v>
                </c:pt>
                <c:pt idx="244">
                  <c:v>44076</c:v>
                </c:pt>
                <c:pt idx="245">
                  <c:v>44077</c:v>
                </c:pt>
                <c:pt idx="246">
                  <c:v>44078</c:v>
                </c:pt>
                <c:pt idx="247">
                  <c:v>44079</c:v>
                </c:pt>
                <c:pt idx="248">
                  <c:v>44080</c:v>
                </c:pt>
                <c:pt idx="249">
                  <c:v>44081</c:v>
                </c:pt>
                <c:pt idx="250">
                  <c:v>44082</c:v>
                </c:pt>
                <c:pt idx="251">
                  <c:v>44083</c:v>
                </c:pt>
                <c:pt idx="252">
                  <c:v>44084</c:v>
                </c:pt>
                <c:pt idx="253">
                  <c:v>44085</c:v>
                </c:pt>
                <c:pt idx="254">
                  <c:v>44086</c:v>
                </c:pt>
                <c:pt idx="255">
                  <c:v>44087</c:v>
                </c:pt>
                <c:pt idx="256">
                  <c:v>44088</c:v>
                </c:pt>
                <c:pt idx="257">
                  <c:v>44089</c:v>
                </c:pt>
                <c:pt idx="258">
                  <c:v>44090</c:v>
                </c:pt>
                <c:pt idx="259">
                  <c:v>44091</c:v>
                </c:pt>
                <c:pt idx="260">
                  <c:v>44092</c:v>
                </c:pt>
                <c:pt idx="261">
                  <c:v>44093</c:v>
                </c:pt>
                <c:pt idx="262">
                  <c:v>44094</c:v>
                </c:pt>
                <c:pt idx="263">
                  <c:v>44095</c:v>
                </c:pt>
                <c:pt idx="264">
                  <c:v>44096</c:v>
                </c:pt>
                <c:pt idx="265">
                  <c:v>44097</c:v>
                </c:pt>
                <c:pt idx="266">
                  <c:v>44098</c:v>
                </c:pt>
                <c:pt idx="267">
                  <c:v>44099</c:v>
                </c:pt>
                <c:pt idx="268">
                  <c:v>44100</c:v>
                </c:pt>
                <c:pt idx="269">
                  <c:v>44101</c:v>
                </c:pt>
                <c:pt idx="270">
                  <c:v>44102</c:v>
                </c:pt>
                <c:pt idx="271">
                  <c:v>44103</c:v>
                </c:pt>
                <c:pt idx="272">
                  <c:v>44104</c:v>
                </c:pt>
                <c:pt idx="273">
                  <c:v>44105</c:v>
                </c:pt>
                <c:pt idx="274">
                  <c:v>44106</c:v>
                </c:pt>
                <c:pt idx="275">
                  <c:v>44107</c:v>
                </c:pt>
                <c:pt idx="276">
                  <c:v>44108</c:v>
                </c:pt>
                <c:pt idx="277">
                  <c:v>44109</c:v>
                </c:pt>
                <c:pt idx="278">
                  <c:v>44110</c:v>
                </c:pt>
                <c:pt idx="279">
                  <c:v>44111</c:v>
                </c:pt>
                <c:pt idx="280">
                  <c:v>44112</c:v>
                </c:pt>
                <c:pt idx="281">
                  <c:v>44113</c:v>
                </c:pt>
                <c:pt idx="282">
                  <c:v>44114</c:v>
                </c:pt>
                <c:pt idx="283">
                  <c:v>44115</c:v>
                </c:pt>
                <c:pt idx="284">
                  <c:v>44116</c:v>
                </c:pt>
                <c:pt idx="285">
                  <c:v>44117</c:v>
                </c:pt>
                <c:pt idx="286">
                  <c:v>44118</c:v>
                </c:pt>
                <c:pt idx="287">
                  <c:v>44119</c:v>
                </c:pt>
                <c:pt idx="288">
                  <c:v>44120</c:v>
                </c:pt>
                <c:pt idx="289">
                  <c:v>44121</c:v>
                </c:pt>
                <c:pt idx="290">
                  <c:v>44122</c:v>
                </c:pt>
                <c:pt idx="291">
                  <c:v>44123</c:v>
                </c:pt>
                <c:pt idx="292">
                  <c:v>44124</c:v>
                </c:pt>
                <c:pt idx="293">
                  <c:v>44125</c:v>
                </c:pt>
                <c:pt idx="294">
                  <c:v>44126</c:v>
                </c:pt>
                <c:pt idx="295">
                  <c:v>44127</c:v>
                </c:pt>
                <c:pt idx="296">
                  <c:v>44128</c:v>
                </c:pt>
                <c:pt idx="297">
                  <c:v>44129</c:v>
                </c:pt>
                <c:pt idx="298">
                  <c:v>44130</c:v>
                </c:pt>
                <c:pt idx="299">
                  <c:v>44131</c:v>
                </c:pt>
                <c:pt idx="300">
                  <c:v>44132</c:v>
                </c:pt>
                <c:pt idx="301">
                  <c:v>44133</c:v>
                </c:pt>
                <c:pt idx="302">
                  <c:v>44134</c:v>
                </c:pt>
                <c:pt idx="303">
                  <c:v>44135</c:v>
                </c:pt>
                <c:pt idx="304">
                  <c:v>44136</c:v>
                </c:pt>
                <c:pt idx="305">
                  <c:v>44137</c:v>
                </c:pt>
                <c:pt idx="306">
                  <c:v>44138</c:v>
                </c:pt>
                <c:pt idx="307">
                  <c:v>44139</c:v>
                </c:pt>
                <c:pt idx="308">
                  <c:v>44140</c:v>
                </c:pt>
                <c:pt idx="309">
                  <c:v>44141</c:v>
                </c:pt>
                <c:pt idx="310">
                  <c:v>44142</c:v>
                </c:pt>
                <c:pt idx="311">
                  <c:v>44143</c:v>
                </c:pt>
                <c:pt idx="312">
                  <c:v>44144</c:v>
                </c:pt>
                <c:pt idx="313">
                  <c:v>44145</c:v>
                </c:pt>
                <c:pt idx="314">
                  <c:v>44146</c:v>
                </c:pt>
                <c:pt idx="315">
                  <c:v>44147</c:v>
                </c:pt>
                <c:pt idx="316">
                  <c:v>44148</c:v>
                </c:pt>
                <c:pt idx="317">
                  <c:v>44149</c:v>
                </c:pt>
                <c:pt idx="318">
                  <c:v>44150</c:v>
                </c:pt>
                <c:pt idx="319">
                  <c:v>44151</c:v>
                </c:pt>
                <c:pt idx="320">
                  <c:v>44152</c:v>
                </c:pt>
                <c:pt idx="321">
                  <c:v>44153</c:v>
                </c:pt>
                <c:pt idx="322">
                  <c:v>44154</c:v>
                </c:pt>
                <c:pt idx="323">
                  <c:v>44155</c:v>
                </c:pt>
                <c:pt idx="324">
                  <c:v>44156</c:v>
                </c:pt>
                <c:pt idx="325">
                  <c:v>44157</c:v>
                </c:pt>
                <c:pt idx="326">
                  <c:v>44158</c:v>
                </c:pt>
                <c:pt idx="327">
                  <c:v>44159</c:v>
                </c:pt>
                <c:pt idx="328">
                  <c:v>44160</c:v>
                </c:pt>
                <c:pt idx="329">
                  <c:v>44161</c:v>
                </c:pt>
                <c:pt idx="330">
                  <c:v>44162</c:v>
                </c:pt>
                <c:pt idx="331">
                  <c:v>44163</c:v>
                </c:pt>
                <c:pt idx="332">
                  <c:v>44164</c:v>
                </c:pt>
                <c:pt idx="333">
                  <c:v>44165</c:v>
                </c:pt>
                <c:pt idx="334">
                  <c:v>44166</c:v>
                </c:pt>
                <c:pt idx="335">
                  <c:v>44167</c:v>
                </c:pt>
                <c:pt idx="336">
                  <c:v>44168</c:v>
                </c:pt>
                <c:pt idx="337">
                  <c:v>44169</c:v>
                </c:pt>
                <c:pt idx="338">
                  <c:v>44170</c:v>
                </c:pt>
                <c:pt idx="339">
                  <c:v>44171</c:v>
                </c:pt>
                <c:pt idx="340">
                  <c:v>44172</c:v>
                </c:pt>
                <c:pt idx="341">
                  <c:v>44173</c:v>
                </c:pt>
                <c:pt idx="342">
                  <c:v>44174</c:v>
                </c:pt>
                <c:pt idx="343">
                  <c:v>44175</c:v>
                </c:pt>
                <c:pt idx="344">
                  <c:v>44176</c:v>
                </c:pt>
                <c:pt idx="345">
                  <c:v>44177</c:v>
                </c:pt>
                <c:pt idx="346">
                  <c:v>44178</c:v>
                </c:pt>
                <c:pt idx="347">
                  <c:v>44179</c:v>
                </c:pt>
                <c:pt idx="348">
                  <c:v>44180</c:v>
                </c:pt>
                <c:pt idx="349">
                  <c:v>44181</c:v>
                </c:pt>
                <c:pt idx="350">
                  <c:v>44182</c:v>
                </c:pt>
                <c:pt idx="351">
                  <c:v>44183</c:v>
                </c:pt>
              </c:numCache>
            </c:numRef>
          </c:cat>
          <c:val>
            <c:numRef>
              <c:f>'Données TMIB actualisées'!$B$588:$B$939</c:f>
              <c:numCache>
                <c:formatCode>0.00%</c:formatCode>
                <c:ptCount val="352"/>
                <c:pt idx="0">
                  <c:v>2.2499999999999999E-2</c:v>
                </c:pt>
                <c:pt idx="1">
                  <c:v>2.2509999999999999E-2</c:v>
                </c:pt>
                <c:pt idx="2">
                  <c:v>2.2509999999999999E-2</c:v>
                </c:pt>
                <c:pt idx="3">
                  <c:v>2.2509999999999999E-2</c:v>
                </c:pt>
                <c:pt idx="4">
                  <c:v>2.2499999999999999E-2</c:v>
                </c:pt>
                <c:pt idx="5">
                  <c:v>2.2499999999999999E-2</c:v>
                </c:pt>
                <c:pt idx="6">
                  <c:v>2.2499999999999999E-2</c:v>
                </c:pt>
                <c:pt idx="7">
                  <c:v>2.2499999999999999E-2</c:v>
                </c:pt>
                <c:pt idx="8">
                  <c:v>2.2499999999999999E-2</c:v>
                </c:pt>
                <c:pt idx="9">
                  <c:v>2.2499999999999999E-2</c:v>
                </c:pt>
                <c:pt idx="10">
                  <c:v>2.2499999999999999E-2</c:v>
                </c:pt>
                <c:pt idx="11">
                  <c:v>2.2499999999999999E-2</c:v>
                </c:pt>
                <c:pt idx="12">
                  <c:v>2.2499999999999999E-2</c:v>
                </c:pt>
                <c:pt idx="13">
                  <c:v>2.2499999999999999E-2</c:v>
                </c:pt>
                <c:pt idx="14">
                  <c:v>2.2499999999999999E-2</c:v>
                </c:pt>
                <c:pt idx="15">
                  <c:v>2.2550000000000001E-2</c:v>
                </c:pt>
                <c:pt idx="16">
                  <c:v>2.2550000000000001E-2</c:v>
                </c:pt>
                <c:pt idx="17">
                  <c:v>2.2550000000000001E-2</c:v>
                </c:pt>
                <c:pt idx="18">
                  <c:v>2.2499999999999999E-2</c:v>
                </c:pt>
                <c:pt idx="19">
                  <c:v>2.2499999999999999E-2</c:v>
                </c:pt>
                <c:pt idx="20">
                  <c:v>2.2589999999999999E-2</c:v>
                </c:pt>
                <c:pt idx="21">
                  <c:v>2.2579999999999999E-2</c:v>
                </c:pt>
                <c:pt idx="22">
                  <c:v>2.3019999999999999E-2</c:v>
                </c:pt>
                <c:pt idx="23">
                  <c:v>2.3019999999999999E-2</c:v>
                </c:pt>
                <c:pt idx="24">
                  <c:v>2.3019999999999999E-2</c:v>
                </c:pt>
                <c:pt idx="25">
                  <c:v>2.2780000000000002E-2</c:v>
                </c:pt>
                <c:pt idx="26">
                  <c:v>2.2800000000000001E-2</c:v>
                </c:pt>
                <c:pt idx="27">
                  <c:v>2.2919999999999999E-2</c:v>
                </c:pt>
                <c:pt idx="28">
                  <c:v>2.2509999999999999E-2</c:v>
                </c:pt>
                <c:pt idx="29">
                  <c:v>2.2499999999999999E-2</c:v>
                </c:pt>
                <c:pt idx="30">
                  <c:v>2.2499999999999999E-2</c:v>
                </c:pt>
                <c:pt idx="31">
                  <c:v>2.2499999999999999E-2</c:v>
                </c:pt>
                <c:pt idx="32">
                  <c:v>2.2499999999999999E-2</c:v>
                </c:pt>
                <c:pt idx="33">
                  <c:v>2.2499999999999999E-2</c:v>
                </c:pt>
                <c:pt idx="34">
                  <c:v>2.2499999999999999E-2</c:v>
                </c:pt>
                <c:pt idx="35">
                  <c:v>2.2499999999999999E-2</c:v>
                </c:pt>
                <c:pt idx="36">
                  <c:v>2.2499999999999999E-2</c:v>
                </c:pt>
                <c:pt idx="37">
                  <c:v>2.2499999999999999E-2</c:v>
                </c:pt>
                <c:pt idx="38">
                  <c:v>2.2499999999999999E-2</c:v>
                </c:pt>
                <c:pt idx="39">
                  <c:v>2.2499999999999999E-2</c:v>
                </c:pt>
                <c:pt idx="40">
                  <c:v>2.2499999999999999E-2</c:v>
                </c:pt>
                <c:pt idx="41">
                  <c:v>2.2530000000000001E-2</c:v>
                </c:pt>
                <c:pt idx="42">
                  <c:v>2.2499999999999999E-2</c:v>
                </c:pt>
                <c:pt idx="43">
                  <c:v>2.2499999999999999E-2</c:v>
                </c:pt>
                <c:pt idx="44">
                  <c:v>2.2499999999999999E-2</c:v>
                </c:pt>
                <c:pt idx="45">
                  <c:v>2.2499999999999999E-2</c:v>
                </c:pt>
                <c:pt idx="46">
                  <c:v>2.257E-2</c:v>
                </c:pt>
                <c:pt idx="47">
                  <c:v>2.2499999999999999E-2</c:v>
                </c:pt>
                <c:pt idx="48">
                  <c:v>2.2499999999999999E-2</c:v>
                </c:pt>
                <c:pt idx="49">
                  <c:v>2.2499999999999999E-2</c:v>
                </c:pt>
                <c:pt idx="50">
                  <c:v>2.2540000000000001E-2</c:v>
                </c:pt>
                <c:pt idx="51">
                  <c:v>2.2540000000000001E-2</c:v>
                </c:pt>
                <c:pt idx="52">
                  <c:v>2.2540000000000001E-2</c:v>
                </c:pt>
                <c:pt idx="53">
                  <c:v>2.2499999999999999E-2</c:v>
                </c:pt>
                <c:pt idx="54">
                  <c:v>2.2499999999999999E-2</c:v>
                </c:pt>
                <c:pt idx="55">
                  <c:v>2.2499999999999999E-2</c:v>
                </c:pt>
                <c:pt idx="56">
                  <c:v>2.2499999999999999E-2</c:v>
                </c:pt>
                <c:pt idx="57">
                  <c:v>2.2499999999999999E-2</c:v>
                </c:pt>
                <c:pt idx="58">
                  <c:v>2.2499999999999999E-2</c:v>
                </c:pt>
                <c:pt idx="59">
                  <c:v>2.2499999999999999E-2</c:v>
                </c:pt>
                <c:pt idx="60">
                  <c:v>2.2499999999999999E-2</c:v>
                </c:pt>
                <c:pt idx="61">
                  <c:v>2.2499999999999999E-2</c:v>
                </c:pt>
                <c:pt idx="62">
                  <c:v>2.2589999999999999E-2</c:v>
                </c:pt>
                <c:pt idx="63">
                  <c:v>2.2610000000000002E-2</c:v>
                </c:pt>
                <c:pt idx="64">
                  <c:v>2.2579999999999999E-2</c:v>
                </c:pt>
                <c:pt idx="65">
                  <c:v>2.2579999999999999E-2</c:v>
                </c:pt>
                <c:pt idx="66">
                  <c:v>2.2579999999999999E-2</c:v>
                </c:pt>
                <c:pt idx="67">
                  <c:v>2.2499999999999999E-2</c:v>
                </c:pt>
                <c:pt idx="68">
                  <c:v>2.2530000000000001E-2</c:v>
                </c:pt>
                <c:pt idx="69">
                  <c:v>2.2499999999999999E-2</c:v>
                </c:pt>
                <c:pt idx="70">
                  <c:v>2.2530000000000001E-2</c:v>
                </c:pt>
                <c:pt idx="71">
                  <c:v>2.264E-2</c:v>
                </c:pt>
                <c:pt idx="72">
                  <c:v>2.264E-2</c:v>
                </c:pt>
                <c:pt idx="73">
                  <c:v>2.264E-2</c:v>
                </c:pt>
                <c:pt idx="74">
                  <c:v>2.2790000000000001E-2</c:v>
                </c:pt>
                <c:pt idx="75">
                  <c:v>2.2599999999999999E-2</c:v>
                </c:pt>
                <c:pt idx="76">
                  <c:v>2.027E-2</c:v>
                </c:pt>
                <c:pt idx="77">
                  <c:v>2.0039999999999999E-2</c:v>
                </c:pt>
                <c:pt idx="78">
                  <c:v>2.0039999999999999E-2</c:v>
                </c:pt>
                <c:pt idx="79">
                  <c:v>2.0039999999999999E-2</c:v>
                </c:pt>
                <c:pt idx="80">
                  <c:v>2.0039999999999999E-2</c:v>
                </c:pt>
                <c:pt idx="81">
                  <c:v>0.02</c:v>
                </c:pt>
                <c:pt idx="82">
                  <c:v>0.02</c:v>
                </c:pt>
                <c:pt idx="83">
                  <c:v>0.02</c:v>
                </c:pt>
                <c:pt idx="84">
                  <c:v>0.02</c:v>
                </c:pt>
                <c:pt idx="85">
                  <c:v>0.02</c:v>
                </c:pt>
                <c:pt idx="86">
                  <c:v>0.02</c:v>
                </c:pt>
                <c:pt idx="87">
                  <c:v>0.02</c:v>
                </c:pt>
                <c:pt idx="88">
                  <c:v>0.02</c:v>
                </c:pt>
                <c:pt idx="89">
                  <c:v>0.02</c:v>
                </c:pt>
                <c:pt idx="90">
                  <c:v>0.02</c:v>
                </c:pt>
                <c:pt idx="91">
                  <c:v>0.02</c:v>
                </c:pt>
                <c:pt idx="92">
                  <c:v>2.0060000000000001E-2</c:v>
                </c:pt>
                <c:pt idx="93">
                  <c:v>2.0060000000000001E-2</c:v>
                </c:pt>
                <c:pt idx="94">
                  <c:v>2.0060000000000001E-2</c:v>
                </c:pt>
                <c:pt idx="95">
                  <c:v>0.02</c:v>
                </c:pt>
                <c:pt idx="96">
                  <c:v>0.02</c:v>
                </c:pt>
                <c:pt idx="97">
                  <c:v>0.02</c:v>
                </c:pt>
                <c:pt idx="98">
                  <c:v>2.0070000000000001E-2</c:v>
                </c:pt>
                <c:pt idx="99">
                  <c:v>2.0060000000000001E-2</c:v>
                </c:pt>
                <c:pt idx="100">
                  <c:v>2.0060000000000001E-2</c:v>
                </c:pt>
                <c:pt idx="101">
                  <c:v>2.0060000000000001E-2</c:v>
                </c:pt>
                <c:pt idx="102">
                  <c:v>2.0209999999999999E-2</c:v>
                </c:pt>
                <c:pt idx="103">
                  <c:v>2.0160000000000001E-2</c:v>
                </c:pt>
                <c:pt idx="104">
                  <c:v>2.0330000000000001E-2</c:v>
                </c:pt>
                <c:pt idx="105">
                  <c:v>2.0199999999999999E-2</c:v>
                </c:pt>
                <c:pt idx="106">
                  <c:v>2.019E-2</c:v>
                </c:pt>
                <c:pt idx="107">
                  <c:v>2.019E-2</c:v>
                </c:pt>
                <c:pt idx="108">
                  <c:v>2.019E-2</c:v>
                </c:pt>
                <c:pt idx="109">
                  <c:v>2.0209999999999999E-2</c:v>
                </c:pt>
                <c:pt idx="110">
                  <c:v>2.0310000000000002E-2</c:v>
                </c:pt>
                <c:pt idx="111">
                  <c:v>2.0289999999999999E-2</c:v>
                </c:pt>
                <c:pt idx="112">
                  <c:v>0.02</c:v>
                </c:pt>
                <c:pt idx="113">
                  <c:v>0.02</c:v>
                </c:pt>
                <c:pt idx="114">
                  <c:v>0.02</c:v>
                </c:pt>
                <c:pt idx="115">
                  <c:v>0.02</c:v>
                </c:pt>
                <c:pt idx="116">
                  <c:v>0.02</c:v>
                </c:pt>
                <c:pt idx="117">
                  <c:v>2.001E-2</c:v>
                </c:pt>
                <c:pt idx="118">
                  <c:v>0.02</c:v>
                </c:pt>
                <c:pt idx="119">
                  <c:v>2.001E-2</c:v>
                </c:pt>
                <c:pt idx="120">
                  <c:v>2.001E-2</c:v>
                </c:pt>
                <c:pt idx="121">
                  <c:v>2.001E-2</c:v>
                </c:pt>
                <c:pt idx="122">
                  <c:v>2.001E-2</c:v>
                </c:pt>
                <c:pt idx="123">
                  <c:v>0.02</c:v>
                </c:pt>
                <c:pt idx="124">
                  <c:v>0.02</c:v>
                </c:pt>
                <c:pt idx="125">
                  <c:v>0.02</c:v>
                </c:pt>
                <c:pt idx="126">
                  <c:v>0.02</c:v>
                </c:pt>
                <c:pt idx="127">
                  <c:v>0.02</c:v>
                </c:pt>
                <c:pt idx="128">
                  <c:v>0.02</c:v>
                </c:pt>
                <c:pt idx="129">
                  <c:v>0.02</c:v>
                </c:pt>
                <c:pt idx="130">
                  <c:v>0.02</c:v>
                </c:pt>
                <c:pt idx="131">
                  <c:v>0.02</c:v>
                </c:pt>
                <c:pt idx="132">
                  <c:v>2.001E-2</c:v>
                </c:pt>
                <c:pt idx="133">
                  <c:v>0.02</c:v>
                </c:pt>
                <c:pt idx="134">
                  <c:v>2.0029999999999999E-2</c:v>
                </c:pt>
                <c:pt idx="135">
                  <c:v>2.0029999999999999E-2</c:v>
                </c:pt>
                <c:pt idx="136">
                  <c:v>2.0029999999999999E-2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2.001E-2</c:v>
                </c:pt>
                <c:pt idx="153">
                  <c:v>0.02</c:v>
                </c:pt>
                <c:pt idx="154">
                  <c:v>0.02</c:v>
                </c:pt>
                <c:pt idx="155">
                  <c:v>0.02</c:v>
                </c:pt>
                <c:pt idx="156">
                  <c:v>0.02</c:v>
                </c:pt>
                <c:pt idx="157">
                  <c:v>0.02</c:v>
                </c:pt>
                <c:pt idx="158">
                  <c:v>0.02</c:v>
                </c:pt>
                <c:pt idx="159">
                  <c:v>0.02</c:v>
                </c:pt>
                <c:pt idx="160">
                  <c:v>0.02</c:v>
                </c:pt>
                <c:pt idx="161">
                  <c:v>2.001E-2</c:v>
                </c:pt>
                <c:pt idx="162">
                  <c:v>2.001E-2</c:v>
                </c:pt>
                <c:pt idx="163">
                  <c:v>2.001E-2</c:v>
                </c:pt>
                <c:pt idx="164">
                  <c:v>2.001E-2</c:v>
                </c:pt>
                <c:pt idx="165">
                  <c:v>0.02</c:v>
                </c:pt>
                <c:pt idx="166">
                  <c:v>2.0729999999999998E-2</c:v>
                </c:pt>
                <c:pt idx="167">
                  <c:v>1.84E-2</c:v>
                </c:pt>
                <c:pt idx="168">
                  <c:v>1.504E-2</c:v>
                </c:pt>
                <c:pt idx="169">
                  <c:v>1.4999999999999999E-2</c:v>
                </c:pt>
                <c:pt idx="170">
                  <c:v>1.4999999999999999E-2</c:v>
                </c:pt>
                <c:pt idx="171">
                  <c:v>1.4999999999999999E-2</c:v>
                </c:pt>
                <c:pt idx="172">
                  <c:v>1.4999999999999999E-2</c:v>
                </c:pt>
                <c:pt idx="173">
                  <c:v>1.4999999999999999E-2</c:v>
                </c:pt>
                <c:pt idx="174">
                  <c:v>1.4999999999999999E-2</c:v>
                </c:pt>
                <c:pt idx="175">
                  <c:v>1.4999999999999999E-2</c:v>
                </c:pt>
                <c:pt idx="176">
                  <c:v>1.4999999999999999E-2</c:v>
                </c:pt>
                <c:pt idx="177">
                  <c:v>1.4999999999999999E-2</c:v>
                </c:pt>
                <c:pt idx="178">
                  <c:v>1.4999999999999999E-2</c:v>
                </c:pt>
                <c:pt idx="179">
                  <c:v>1.4999999999999999E-2</c:v>
                </c:pt>
                <c:pt idx="180">
                  <c:v>1.4999999999999999E-2</c:v>
                </c:pt>
                <c:pt idx="181">
                  <c:v>1.5100000000000001E-2</c:v>
                </c:pt>
                <c:pt idx="182">
                  <c:v>1.4999999999999999E-2</c:v>
                </c:pt>
                <c:pt idx="183">
                  <c:v>1.502E-2</c:v>
                </c:pt>
                <c:pt idx="184">
                  <c:v>1.502E-2</c:v>
                </c:pt>
                <c:pt idx="185">
                  <c:v>1.502E-2</c:v>
                </c:pt>
                <c:pt idx="186">
                  <c:v>1.4999999999999999E-2</c:v>
                </c:pt>
                <c:pt idx="187">
                  <c:v>1.4999999999999999E-2</c:v>
                </c:pt>
                <c:pt idx="188">
                  <c:v>1.4999999999999999E-2</c:v>
                </c:pt>
                <c:pt idx="189">
                  <c:v>1.4999999999999999E-2</c:v>
                </c:pt>
                <c:pt idx="190">
                  <c:v>1.5010000000000001E-2</c:v>
                </c:pt>
                <c:pt idx="191">
                  <c:v>1.5010000000000001E-2</c:v>
                </c:pt>
                <c:pt idx="192">
                  <c:v>1.5010000000000001E-2</c:v>
                </c:pt>
                <c:pt idx="193">
                  <c:v>1.5010000000000001E-2</c:v>
                </c:pt>
                <c:pt idx="194">
                  <c:v>1.4999999999999999E-2</c:v>
                </c:pt>
                <c:pt idx="195">
                  <c:v>1.506E-2</c:v>
                </c:pt>
                <c:pt idx="196">
                  <c:v>1.4999999999999999E-2</c:v>
                </c:pt>
                <c:pt idx="197">
                  <c:v>1.4999999999999999E-2</c:v>
                </c:pt>
                <c:pt idx="198">
                  <c:v>1.4999999999999999E-2</c:v>
                </c:pt>
                <c:pt idx="199">
                  <c:v>1.4999999999999999E-2</c:v>
                </c:pt>
                <c:pt idx="200">
                  <c:v>1.4999999999999999E-2</c:v>
                </c:pt>
                <c:pt idx="201">
                  <c:v>1.503E-2</c:v>
                </c:pt>
                <c:pt idx="202">
                  <c:v>1.4999999999999999E-2</c:v>
                </c:pt>
                <c:pt idx="203">
                  <c:v>1.504E-2</c:v>
                </c:pt>
                <c:pt idx="204">
                  <c:v>1.4999999999999999E-2</c:v>
                </c:pt>
                <c:pt idx="205">
                  <c:v>1.4999999999999999E-2</c:v>
                </c:pt>
                <c:pt idx="206">
                  <c:v>1.4999999999999999E-2</c:v>
                </c:pt>
                <c:pt idx="207">
                  <c:v>1.4999999999999999E-2</c:v>
                </c:pt>
                <c:pt idx="208">
                  <c:v>1.4999999999999999E-2</c:v>
                </c:pt>
                <c:pt idx="209">
                  <c:v>1.4999999999999999E-2</c:v>
                </c:pt>
                <c:pt idx="210">
                  <c:v>1.4999999999999999E-2</c:v>
                </c:pt>
                <c:pt idx="211">
                  <c:v>1.4999999999999999E-2</c:v>
                </c:pt>
                <c:pt idx="212">
                  <c:v>1.4999999999999999E-2</c:v>
                </c:pt>
                <c:pt idx="213">
                  <c:v>1.4999999999999999E-2</c:v>
                </c:pt>
                <c:pt idx="214">
                  <c:v>1.4999999999999999E-2</c:v>
                </c:pt>
                <c:pt idx="215">
                  <c:v>1.502E-2</c:v>
                </c:pt>
                <c:pt idx="216">
                  <c:v>1.5089999999999999E-2</c:v>
                </c:pt>
                <c:pt idx="217">
                  <c:v>1.4999999999999999E-2</c:v>
                </c:pt>
                <c:pt idx="218">
                  <c:v>1.4999999999999999E-2</c:v>
                </c:pt>
                <c:pt idx="219">
                  <c:v>1.4999999999999999E-2</c:v>
                </c:pt>
                <c:pt idx="220">
                  <c:v>1.4999999999999999E-2</c:v>
                </c:pt>
                <c:pt idx="221">
                  <c:v>1.4999999999999999E-2</c:v>
                </c:pt>
                <c:pt idx="222">
                  <c:v>1.4999999999999999E-2</c:v>
                </c:pt>
                <c:pt idx="223">
                  <c:v>1.4999999999999999E-2</c:v>
                </c:pt>
                <c:pt idx="224">
                  <c:v>1.4999999999999999E-2</c:v>
                </c:pt>
                <c:pt idx="225">
                  <c:v>1.4999999999999999E-2</c:v>
                </c:pt>
                <c:pt idx="226">
                  <c:v>1.4999999999999999E-2</c:v>
                </c:pt>
                <c:pt idx="227">
                  <c:v>1.4999999999999999E-2</c:v>
                </c:pt>
                <c:pt idx="228">
                  <c:v>1.4999999999999999E-2</c:v>
                </c:pt>
                <c:pt idx="229">
                  <c:v>1.4999999999999999E-2</c:v>
                </c:pt>
                <c:pt idx="230">
                  <c:v>1.4999999999999999E-2</c:v>
                </c:pt>
                <c:pt idx="231">
                  <c:v>1.4999999999999999E-2</c:v>
                </c:pt>
                <c:pt idx="232">
                  <c:v>1.4999999999999999E-2</c:v>
                </c:pt>
                <c:pt idx="233">
                  <c:v>1.4999999999999999E-2</c:v>
                </c:pt>
                <c:pt idx="234">
                  <c:v>1.4999999999999999E-2</c:v>
                </c:pt>
                <c:pt idx="235">
                  <c:v>1.4999999999999999E-2</c:v>
                </c:pt>
                <c:pt idx="236">
                  <c:v>1.4999999999999999E-2</c:v>
                </c:pt>
                <c:pt idx="237">
                  <c:v>1.4999999999999999E-2</c:v>
                </c:pt>
                <c:pt idx="238">
                  <c:v>1.4999999999999999E-2</c:v>
                </c:pt>
                <c:pt idx="239">
                  <c:v>1.4999999999999999E-2</c:v>
                </c:pt>
                <c:pt idx="240">
                  <c:v>1.4999999999999999E-2</c:v>
                </c:pt>
                <c:pt idx="241">
                  <c:v>1.4999999999999999E-2</c:v>
                </c:pt>
                <c:pt idx="242">
                  <c:v>1.4999999999999999E-2</c:v>
                </c:pt>
                <c:pt idx="243">
                  <c:v>1.4999999999999999E-2</c:v>
                </c:pt>
                <c:pt idx="244">
                  <c:v>1.4999999999999999E-2</c:v>
                </c:pt>
                <c:pt idx="245">
                  <c:v>1.4999999999999999E-2</c:v>
                </c:pt>
                <c:pt idx="246">
                  <c:v>1.4999999999999999E-2</c:v>
                </c:pt>
                <c:pt idx="247">
                  <c:v>1.4999999999999999E-2</c:v>
                </c:pt>
                <c:pt idx="248">
                  <c:v>1.4999999999999999E-2</c:v>
                </c:pt>
                <c:pt idx="249">
                  <c:v>1.4999999999999999E-2</c:v>
                </c:pt>
                <c:pt idx="250">
                  <c:v>1.4999999999999999E-2</c:v>
                </c:pt>
                <c:pt idx="251">
                  <c:v>1.4999999999999999E-2</c:v>
                </c:pt>
                <c:pt idx="252">
                  <c:v>1.4999999999999999E-2</c:v>
                </c:pt>
                <c:pt idx="253">
                  <c:v>1.4999999999999999E-2</c:v>
                </c:pt>
                <c:pt idx="254">
                  <c:v>1.4999999999999999E-2</c:v>
                </c:pt>
                <c:pt idx="255">
                  <c:v>1.4999999999999999E-2</c:v>
                </c:pt>
                <c:pt idx="256">
                  <c:v>1.4999999999999999E-2</c:v>
                </c:pt>
                <c:pt idx="257">
                  <c:v>1.4999999999999999E-2</c:v>
                </c:pt>
                <c:pt idx="258">
                  <c:v>1.4999999999999999E-2</c:v>
                </c:pt>
                <c:pt idx="259">
                  <c:v>1.4999999999999999E-2</c:v>
                </c:pt>
                <c:pt idx="260">
                  <c:v>1.4999999999999999E-2</c:v>
                </c:pt>
                <c:pt idx="261">
                  <c:v>1.4999999999999999E-2</c:v>
                </c:pt>
                <c:pt idx="262">
                  <c:v>1.4999999999999999E-2</c:v>
                </c:pt>
                <c:pt idx="263">
                  <c:v>1.4999999999999999E-2</c:v>
                </c:pt>
                <c:pt idx="264">
                  <c:v>1.4999999999999999E-2</c:v>
                </c:pt>
                <c:pt idx="265">
                  <c:v>1.4999999999999999E-2</c:v>
                </c:pt>
                <c:pt idx="266">
                  <c:v>1.4999999999999999E-2</c:v>
                </c:pt>
                <c:pt idx="267">
                  <c:v>1.4999999999999999E-2</c:v>
                </c:pt>
                <c:pt idx="268">
                  <c:v>1.4999999999999999E-2</c:v>
                </c:pt>
                <c:pt idx="269">
                  <c:v>1.4999999999999999E-2</c:v>
                </c:pt>
                <c:pt idx="270">
                  <c:v>1.4999999999999999E-2</c:v>
                </c:pt>
                <c:pt idx="271">
                  <c:v>1.4999999999999999E-2</c:v>
                </c:pt>
                <c:pt idx="272">
                  <c:v>1.502E-2</c:v>
                </c:pt>
                <c:pt idx="273">
                  <c:v>1.4999999999999999E-2</c:v>
                </c:pt>
                <c:pt idx="274">
                  <c:v>1.4999999999999999E-2</c:v>
                </c:pt>
                <c:pt idx="275">
                  <c:v>1.4999999999999999E-2</c:v>
                </c:pt>
                <c:pt idx="276">
                  <c:v>1.4999999999999999E-2</c:v>
                </c:pt>
                <c:pt idx="277">
                  <c:v>1.4999999999999999E-2</c:v>
                </c:pt>
                <c:pt idx="278">
                  <c:v>1.4999999999999999E-2</c:v>
                </c:pt>
                <c:pt idx="279">
                  <c:v>1.4999999999999999E-2</c:v>
                </c:pt>
                <c:pt idx="280">
                  <c:v>1.4999999999999999E-2</c:v>
                </c:pt>
                <c:pt idx="281">
                  <c:v>1.4999999999999999E-2</c:v>
                </c:pt>
                <c:pt idx="282">
                  <c:v>1.4999999999999999E-2</c:v>
                </c:pt>
                <c:pt idx="283">
                  <c:v>1.4999999999999999E-2</c:v>
                </c:pt>
                <c:pt idx="284">
                  <c:v>1.502E-2</c:v>
                </c:pt>
                <c:pt idx="285">
                  <c:v>1.502E-2</c:v>
                </c:pt>
                <c:pt idx="286">
                  <c:v>1.502E-2</c:v>
                </c:pt>
                <c:pt idx="287">
                  <c:v>1.4999999999999999E-2</c:v>
                </c:pt>
                <c:pt idx="288">
                  <c:v>1.4999999999999999E-2</c:v>
                </c:pt>
                <c:pt idx="289">
                  <c:v>1.4999999999999999E-2</c:v>
                </c:pt>
                <c:pt idx="290">
                  <c:v>1.4999999999999999E-2</c:v>
                </c:pt>
                <c:pt idx="291">
                  <c:v>1.4999999999999999E-2</c:v>
                </c:pt>
                <c:pt idx="292">
                  <c:v>1.4999999999999999E-2</c:v>
                </c:pt>
                <c:pt idx="293">
                  <c:v>1.4999999999999999E-2</c:v>
                </c:pt>
                <c:pt idx="294">
                  <c:v>1.4999999999999999E-2</c:v>
                </c:pt>
                <c:pt idx="295">
                  <c:v>1.4999999999999999E-2</c:v>
                </c:pt>
                <c:pt idx="296">
                  <c:v>1.4999999999999999E-2</c:v>
                </c:pt>
                <c:pt idx="297">
                  <c:v>1.4999999999999999E-2</c:v>
                </c:pt>
                <c:pt idx="298">
                  <c:v>1.4999999999999999E-2</c:v>
                </c:pt>
                <c:pt idx="299">
                  <c:v>1.4999999999999999E-2</c:v>
                </c:pt>
                <c:pt idx="300">
                  <c:v>1.4999999999999999E-2</c:v>
                </c:pt>
                <c:pt idx="301">
                  <c:v>1.4999999999999999E-2</c:v>
                </c:pt>
                <c:pt idx="302">
                  <c:v>1.4999999999999999E-2</c:v>
                </c:pt>
                <c:pt idx="303">
                  <c:v>1.4999999999999999E-2</c:v>
                </c:pt>
                <c:pt idx="304">
                  <c:v>1.4999999999999999E-2</c:v>
                </c:pt>
                <c:pt idx="305">
                  <c:v>1.4999999999999999E-2</c:v>
                </c:pt>
                <c:pt idx="306">
                  <c:v>1.4999999999999999E-2</c:v>
                </c:pt>
                <c:pt idx="307">
                  <c:v>1.503E-2</c:v>
                </c:pt>
                <c:pt idx="308">
                  <c:v>1.5010000000000001E-2</c:v>
                </c:pt>
                <c:pt idx="309">
                  <c:v>1.5010000000000001E-2</c:v>
                </c:pt>
                <c:pt idx="310">
                  <c:v>1.5010000000000001E-2</c:v>
                </c:pt>
                <c:pt idx="311">
                  <c:v>1.5010000000000001E-2</c:v>
                </c:pt>
                <c:pt idx="312">
                  <c:v>1.503E-2</c:v>
                </c:pt>
                <c:pt idx="313">
                  <c:v>1.4999999999999999E-2</c:v>
                </c:pt>
                <c:pt idx="314">
                  <c:v>1.4999999999999999E-2</c:v>
                </c:pt>
                <c:pt idx="315">
                  <c:v>1.4999999999999999E-2</c:v>
                </c:pt>
                <c:pt idx="316">
                  <c:v>1.4999999999999999E-2</c:v>
                </c:pt>
                <c:pt idx="317">
                  <c:v>1.4999999999999999E-2</c:v>
                </c:pt>
                <c:pt idx="318">
                  <c:v>1.4999999999999999E-2</c:v>
                </c:pt>
                <c:pt idx="319">
                  <c:v>1.4999999999999999E-2</c:v>
                </c:pt>
                <c:pt idx="320">
                  <c:v>1.4999999999999999E-2</c:v>
                </c:pt>
                <c:pt idx="321">
                  <c:v>1.4999999999999999E-2</c:v>
                </c:pt>
                <c:pt idx="322">
                  <c:v>1.4999999999999999E-2</c:v>
                </c:pt>
                <c:pt idx="323">
                  <c:v>1.4999999999999999E-2</c:v>
                </c:pt>
                <c:pt idx="324">
                  <c:v>1.4999999999999999E-2</c:v>
                </c:pt>
                <c:pt idx="325">
                  <c:v>1.4999999999999999E-2</c:v>
                </c:pt>
                <c:pt idx="326">
                  <c:v>1.4999999999999999E-2</c:v>
                </c:pt>
                <c:pt idx="327">
                  <c:v>1.4999999999999999E-2</c:v>
                </c:pt>
                <c:pt idx="328">
                  <c:v>1.4999999999999999E-2</c:v>
                </c:pt>
                <c:pt idx="329">
                  <c:v>1.4999999999999999E-2</c:v>
                </c:pt>
                <c:pt idx="330">
                  <c:v>1.4999999999999999E-2</c:v>
                </c:pt>
                <c:pt idx="331">
                  <c:v>1.4999999999999999E-2</c:v>
                </c:pt>
                <c:pt idx="332">
                  <c:v>1.4999999999999999E-2</c:v>
                </c:pt>
                <c:pt idx="333">
                  <c:v>1.4999999999999999E-2</c:v>
                </c:pt>
                <c:pt idx="334">
                  <c:v>1.4999999999999999E-2</c:v>
                </c:pt>
                <c:pt idx="335">
                  <c:v>1.4999999999999999E-2</c:v>
                </c:pt>
                <c:pt idx="336">
                  <c:v>1.4999999999999999E-2</c:v>
                </c:pt>
                <c:pt idx="337">
                  <c:v>1.4999999999999999E-2</c:v>
                </c:pt>
                <c:pt idx="338">
                  <c:v>1.4999999999999999E-2</c:v>
                </c:pt>
                <c:pt idx="339">
                  <c:v>1.4999999999999999E-2</c:v>
                </c:pt>
                <c:pt idx="340">
                  <c:v>1.4999999999999999E-2</c:v>
                </c:pt>
                <c:pt idx="341">
                  <c:v>1.4999999999999999E-2</c:v>
                </c:pt>
                <c:pt idx="342">
                  <c:v>1.4999999999999999E-2</c:v>
                </c:pt>
                <c:pt idx="343">
                  <c:v>1.4999999999999999E-2</c:v>
                </c:pt>
                <c:pt idx="344">
                  <c:v>1.4999999999999999E-2</c:v>
                </c:pt>
                <c:pt idx="345">
                  <c:v>1.4999999999999999E-2</c:v>
                </c:pt>
                <c:pt idx="346">
                  <c:v>1.4999999999999999E-2</c:v>
                </c:pt>
                <c:pt idx="347">
                  <c:v>1.4999999999999999E-2</c:v>
                </c:pt>
                <c:pt idx="348">
                  <c:v>1.4999999999999999E-2</c:v>
                </c:pt>
                <c:pt idx="349">
                  <c:v>1.4999999999999999E-2</c:v>
                </c:pt>
                <c:pt idx="350">
                  <c:v>1.4999999999999999E-2</c:v>
                </c:pt>
                <c:pt idx="351">
                  <c:v>1.4999999999999999E-2</c:v>
                </c:pt>
              </c:numCache>
            </c:numRef>
          </c:val>
          <c:smooth val="0"/>
          <c:extLst>
            <c:ext xmlns:c16="http://schemas.microsoft.com/office/drawing/2014/chart" uri="{C3380CC4-5D6E-409C-BE32-E72D297353CC}">
              <c16:uniqueId val="{00000000-5F9E-6B45-963B-C6D865DE17E1}"/>
            </c:ext>
          </c:extLst>
        </c:ser>
        <c:dLbls>
          <c:showLegendKey val="0"/>
          <c:showVal val="0"/>
          <c:showCatName val="0"/>
          <c:showSerName val="0"/>
          <c:showPercent val="0"/>
          <c:showBubbleSize val="0"/>
        </c:dLbls>
        <c:smooth val="0"/>
        <c:axId val="1224127264"/>
        <c:axId val="1120030048"/>
      </c:lineChart>
      <c:dateAx>
        <c:axId val="12241272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030048"/>
        <c:crosses val="autoZero"/>
        <c:auto val="1"/>
        <c:lblOffset val="100"/>
        <c:baseTimeUnit val="days"/>
      </c:dateAx>
      <c:valAx>
        <c:axId val="1120030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127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lineChart>
        <c:grouping val="standard"/>
        <c:varyColors val="0"/>
        <c:ser>
          <c:idx val="0"/>
          <c:order val="0"/>
          <c:tx>
            <c:strRef>
              <c:f>'Données TMIB'!$G$1</c:f>
              <c:strCache>
                <c:ptCount val="1"/>
                <c:pt idx="0">
                  <c:v>Interbank Rate (key interest rate)</c:v>
                </c:pt>
              </c:strCache>
            </c:strRef>
          </c:tx>
          <c:spPr>
            <a:ln>
              <a:solidFill>
                <a:srgbClr val="FF0000"/>
              </a:solidFill>
            </a:ln>
          </c:spPr>
          <c:marker>
            <c:symbol val="none"/>
          </c:marker>
          <c:cat>
            <c:numRef>
              <c:f>'Données TMIB'!$A$2:$A$999</c:f>
              <c:numCache>
                <c:formatCode>m/d/yy</c:formatCode>
                <c:ptCount val="998"/>
                <c:pt idx="0">
                  <c:v>42982</c:v>
                </c:pt>
                <c:pt idx="1">
                  <c:v>42983</c:v>
                </c:pt>
                <c:pt idx="2">
                  <c:v>42984</c:v>
                </c:pt>
                <c:pt idx="3">
                  <c:v>42985</c:v>
                </c:pt>
                <c:pt idx="4">
                  <c:v>42986</c:v>
                </c:pt>
                <c:pt idx="5">
                  <c:v>42987</c:v>
                </c:pt>
                <c:pt idx="6">
                  <c:v>42988</c:v>
                </c:pt>
                <c:pt idx="7">
                  <c:v>42989</c:v>
                </c:pt>
                <c:pt idx="8">
                  <c:v>42990</c:v>
                </c:pt>
                <c:pt idx="9">
                  <c:v>42991</c:v>
                </c:pt>
                <c:pt idx="10">
                  <c:v>42992</c:v>
                </c:pt>
                <c:pt idx="11">
                  <c:v>42993</c:v>
                </c:pt>
                <c:pt idx="12">
                  <c:v>42994</c:v>
                </c:pt>
                <c:pt idx="13">
                  <c:v>42995</c:v>
                </c:pt>
                <c:pt idx="14">
                  <c:v>42996</c:v>
                </c:pt>
                <c:pt idx="15">
                  <c:v>42997</c:v>
                </c:pt>
                <c:pt idx="16">
                  <c:v>42998</c:v>
                </c:pt>
                <c:pt idx="17">
                  <c:v>42999</c:v>
                </c:pt>
                <c:pt idx="18">
                  <c:v>43000</c:v>
                </c:pt>
                <c:pt idx="19">
                  <c:v>43001</c:v>
                </c:pt>
                <c:pt idx="20">
                  <c:v>43002</c:v>
                </c:pt>
                <c:pt idx="21">
                  <c:v>43003</c:v>
                </c:pt>
                <c:pt idx="22">
                  <c:v>43004</c:v>
                </c:pt>
                <c:pt idx="23">
                  <c:v>43005</c:v>
                </c:pt>
                <c:pt idx="24">
                  <c:v>43006</c:v>
                </c:pt>
                <c:pt idx="25">
                  <c:v>43007</c:v>
                </c:pt>
                <c:pt idx="26">
                  <c:v>43008</c:v>
                </c:pt>
                <c:pt idx="27">
                  <c:v>43009</c:v>
                </c:pt>
                <c:pt idx="28">
                  <c:v>43010</c:v>
                </c:pt>
                <c:pt idx="29">
                  <c:v>43011</c:v>
                </c:pt>
                <c:pt idx="30">
                  <c:v>43012</c:v>
                </c:pt>
                <c:pt idx="31">
                  <c:v>43013</c:v>
                </c:pt>
                <c:pt idx="32">
                  <c:v>43014</c:v>
                </c:pt>
                <c:pt idx="33">
                  <c:v>43015</c:v>
                </c:pt>
                <c:pt idx="34">
                  <c:v>43016</c:v>
                </c:pt>
                <c:pt idx="35">
                  <c:v>43017</c:v>
                </c:pt>
                <c:pt idx="36">
                  <c:v>43018</c:v>
                </c:pt>
                <c:pt idx="37">
                  <c:v>43019</c:v>
                </c:pt>
                <c:pt idx="38">
                  <c:v>43020</c:v>
                </c:pt>
                <c:pt idx="39">
                  <c:v>43021</c:v>
                </c:pt>
                <c:pt idx="40">
                  <c:v>43022</c:v>
                </c:pt>
                <c:pt idx="41">
                  <c:v>43023</c:v>
                </c:pt>
                <c:pt idx="42">
                  <c:v>43024</c:v>
                </c:pt>
                <c:pt idx="43">
                  <c:v>43025</c:v>
                </c:pt>
                <c:pt idx="44">
                  <c:v>43026</c:v>
                </c:pt>
                <c:pt idx="45">
                  <c:v>43027</c:v>
                </c:pt>
                <c:pt idx="46">
                  <c:v>43028</c:v>
                </c:pt>
                <c:pt idx="47">
                  <c:v>43029</c:v>
                </c:pt>
                <c:pt idx="48">
                  <c:v>43030</c:v>
                </c:pt>
                <c:pt idx="49">
                  <c:v>43031</c:v>
                </c:pt>
                <c:pt idx="50">
                  <c:v>43032</c:v>
                </c:pt>
                <c:pt idx="51">
                  <c:v>43033</c:v>
                </c:pt>
                <c:pt idx="52">
                  <c:v>43034</c:v>
                </c:pt>
                <c:pt idx="53">
                  <c:v>43035</c:v>
                </c:pt>
                <c:pt idx="54">
                  <c:v>43036</c:v>
                </c:pt>
                <c:pt idx="55">
                  <c:v>43037</c:v>
                </c:pt>
                <c:pt idx="56">
                  <c:v>43038</c:v>
                </c:pt>
                <c:pt idx="57">
                  <c:v>43039</c:v>
                </c:pt>
                <c:pt idx="58">
                  <c:v>43040</c:v>
                </c:pt>
                <c:pt idx="59">
                  <c:v>43041</c:v>
                </c:pt>
                <c:pt idx="60">
                  <c:v>43042</c:v>
                </c:pt>
                <c:pt idx="61">
                  <c:v>43043</c:v>
                </c:pt>
                <c:pt idx="62">
                  <c:v>43044</c:v>
                </c:pt>
                <c:pt idx="63">
                  <c:v>43045</c:v>
                </c:pt>
                <c:pt idx="64">
                  <c:v>43046</c:v>
                </c:pt>
                <c:pt idx="65">
                  <c:v>43047</c:v>
                </c:pt>
                <c:pt idx="66">
                  <c:v>43048</c:v>
                </c:pt>
                <c:pt idx="67">
                  <c:v>43049</c:v>
                </c:pt>
                <c:pt idx="68">
                  <c:v>43050</c:v>
                </c:pt>
                <c:pt idx="69">
                  <c:v>43051</c:v>
                </c:pt>
                <c:pt idx="70">
                  <c:v>43052</c:v>
                </c:pt>
                <c:pt idx="71">
                  <c:v>43053</c:v>
                </c:pt>
                <c:pt idx="72">
                  <c:v>43054</c:v>
                </c:pt>
                <c:pt idx="73">
                  <c:v>43055</c:v>
                </c:pt>
                <c:pt idx="74">
                  <c:v>43056</c:v>
                </c:pt>
                <c:pt idx="75">
                  <c:v>43057</c:v>
                </c:pt>
                <c:pt idx="76">
                  <c:v>43058</c:v>
                </c:pt>
                <c:pt idx="77">
                  <c:v>43059</c:v>
                </c:pt>
                <c:pt idx="78">
                  <c:v>43060</c:v>
                </c:pt>
                <c:pt idx="79">
                  <c:v>43061</c:v>
                </c:pt>
                <c:pt idx="80">
                  <c:v>43062</c:v>
                </c:pt>
                <c:pt idx="81">
                  <c:v>43063</c:v>
                </c:pt>
                <c:pt idx="82">
                  <c:v>43064</c:v>
                </c:pt>
                <c:pt idx="83">
                  <c:v>43065</c:v>
                </c:pt>
                <c:pt idx="84">
                  <c:v>43066</c:v>
                </c:pt>
                <c:pt idx="85">
                  <c:v>43067</c:v>
                </c:pt>
                <c:pt idx="86">
                  <c:v>43068</c:v>
                </c:pt>
                <c:pt idx="87">
                  <c:v>43069</c:v>
                </c:pt>
                <c:pt idx="88">
                  <c:v>43070</c:v>
                </c:pt>
                <c:pt idx="89">
                  <c:v>43071</c:v>
                </c:pt>
                <c:pt idx="90">
                  <c:v>43072</c:v>
                </c:pt>
                <c:pt idx="91">
                  <c:v>43073</c:v>
                </c:pt>
                <c:pt idx="92">
                  <c:v>43074</c:v>
                </c:pt>
                <c:pt idx="93">
                  <c:v>43075</c:v>
                </c:pt>
                <c:pt idx="94">
                  <c:v>43076</c:v>
                </c:pt>
                <c:pt idx="95">
                  <c:v>43077</c:v>
                </c:pt>
                <c:pt idx="96">
                  <c:v>43078</c:v>
                </c:pt>
                <c:pt idx="97">
                  <c:v>43079</c:v>
                </c:pt>
                <c:pt idx="98">
                  <c:v>43080</c:v>
                </c:pt>
                <c:pt idx="99">
                  <c:v>43081</c:v>
                </c:pt>
                <c:pt idx="100">
                  <c:v>43082</c:v>
                </c:pt>
                <c:pt idx="101">
                  <c:v>43083</c:v>
                </c:pt>
                <c:pt idx="102">
                  <c:v>43084</c:v>
                </c:pt>
                <c:pt idx="103">
                  <c:v>43085</c:v>
                </c:pt>
                <c:pt idx="104">
                  <c:v>43086</c:v>
                </c:pt>
                <c:pt idx="105">
                  <c:v>43087</c:v>
                </c:pt>
                <c:pt idx="106">
                  <c:v>43088</c:v>
                </c:pt>
                <c:pt idx="107">
                  <c:v>43089</c:v>
                </c:pt>
                <c:pt idx="108">
                  <c:v>43090</c:v>
                </c:pt>
                <c:pt idx="109">
                  <c:v>43091</c:v>
                </c:pt>
                <c:pt idx="110">
                  <c:v>43092</c:v>
                </c:pt>
                <c:pt idx="111">
                  <c:v>43093</c:v>
                </c:pt>
                <c:pt idx="112">
                  <c:v>43094</c:v>
                </c:pt>
                <c:pt idx="113">
                  <c:v>43095</c:v>
                </c:pt>
                <c:pt idx="114">
                  <c:v>43096</c:v>
                </c:pt>
                <c:pt idx="115">
                  <c:v>43097</c:v>
                </c:pt>
                <c:pt idx="116">
                  <c:v>43098</c:v>
                </c:pt>
                <c:pt idx="117">
                  <c:v>43099</c:v>
                </c:pt>
                <c:pt idx="118">
                  <c:v>43100</c:v>
                </c:pt>
                <c:pt idx="119">
                  <c:v>43101</c:v>
                </c:pt>
                <c:pt idx="120">
                  <c:v>43102</c:v>
                </c:pt>
                <c:pt idx="121">
                  <c:v>43103</c:v>
                </c:pt>
                <c:pt idx="122">
                  <c:v>43104</c:v>
                </c:pt>
                <c:pt idx="123">
                  <c:v>43105</c:v>
                </c:pt>
                <c:pt idx="124">
                  <c:v>43106</c:v>
                </c:pt>
                <c:pt idx="125">
                  <c:v>43107</c:v>
                </c:pt>
                <c:pt idx="126">
                  <c:v>43108</c:v>
                </c:pt>
                <c:pt idx="127">
                  <c:v>43109</c:v>
                </c:pt>
                <c:pt idx="128">
                  <c:v>43110</c:v>
                </c:pt>
                <c:pt idx="129">
                  <c:v>43111</c:v>
                </c:pt>
                <c:pt idx="130">
                  <c:v>43112</c:v>
                </c:pt>
                <c:pt idx="131">
                  <c:v>43113</c:v>
                </c:pt>
                <c:pt idx="132">
                  <c:v>43114</c:v>
                </c:pt>
                <c:pt idx="133">
                  <c:v>43115</c:v>
                </c:pt>
                <c:pt idx="134">
                  <c:v>43116</c:v>
                </c:pt>
                <c:pt idx="135">
                  <c:v>43117</c:v>
                </c:pt>
                <c:pt idx="136">
                  <c:v>43118</c:v>
                </c:pt>
                <c:pt idx="137">
                  <c:v>43119</c:v>
                </c:pt>
                <c:pt idx="138">
                  <c:v>43120</c:v>
                </c:pt>
                <c:pt idx="139">
                  <c:v>43121</c:v>
                </c:pt>
                <c:pt idx="140">
                  <c:v>43122</c:v>
                </c:pt>
                <c:pt idx="141">
                  <c:v>43123</c:v>
                </c:pt>
                <c:pt idx="142">
                  <c:v>43124</c:v>
                </c:pt>
                <c:pt idx="143">
                  <c:v>43125</c:v>
                </c:pt>
                <c:pt idx="144">
                  <c:v>43126</c:v>
                </c:pt>
                <c:pt idx="145">
                  <c:v>43127</c:v>
                </c:pt>
                <c:pt idx="146">
                  <c:v>43128</c:v>
                </c:pt>
                <c:pt idx="147">
                  <c:v>43129</c:v>
                </c:pt>
                <c:pt idx="148">
                  <c:v>43130</c:v>
                </c:pt>
                <c:pt idx="149">
                  <c:v>43131</c:v>
                </c:pt>
                <c:pt idx="150">
                  <c:v>43132</c:v>
                </c:pt>
                <c:pt idx="151">
                  <c:v>43133</c:v>
                </c:pt>
                <c:pt idx="152">
                  <c:v>43134</c:v>
                </c:pt>
                <c:pt idx="153">
                  <c:v>43135</c:v>
                </c:pt>
                <c:pt idx="154">
                  <c:v>43136</c:v>
                </c:pt>
                <c:pt idx="155">
                  <c:v>43137</c:v>
                </c:pt>
                <c:pt idx="156">
                  <c:v>43138</c:v>
                </c:pt>
                <c:pt idx="157">
                  <c:v>43139</c:v>
                </c:pt>
                <c:pt idx="158">
                  <c:v>43140</c:v>
                </c:pt>
                <c:pt idx="159">
                  <c:v>43141</c:v>
                </c:pt>
                <c:pt idx="160">
                  <c:v>43142</c:v>
                </c:pt>
                <c:pt idx="161">
                  <c:v>43143</c:v>
                </c:pt>
                <c:pt idx="162">
                  <c:v>43144</c:v>
                </c:pt>
                <c:pt idx="163">
                  <c:v>43145</c:v>
                </c:pt>
                <c:pt idx="164">
                  <c:v>43146</c:v>
                </c:pt>
                <c:pt idx="165">
                  <c:v>43147</c:v>
                </c:pt>
                <c:pt idx="166">
                  <c:v>43148</c:v>
                </c:pt>
                <c:pt idx="167">
                  <c:v>43149</c:v>
                </c:pt>
                <c:pt idx="168">
                  <c:v>43150</c:v>
                </c:pt>
                <c:pt idx="169">
                  <c:v>43151</c:v>
                </c:pt>
                <c:pt idx="170">
                  <c:v>43152</c:v>
                </c:pt>
                <c:pt idx="171">
                  <c:v>43153</c:v>
                </c:pt>
                <c:pt idx="172">
                  <c:v>43154</c:v>
                </c:pt>
                <c:pt idx="173">
                  <c:v>43155</c:v>
                </c:pt>
                <c:pt idx="174">
                  <c:v>43156</c:v>
                </c:pt>
                <c:pt idx="175">
                  <c:v>43157</c:v>
                </c:pt>
                <c:pt idx="176">
                  <c:v>43158</c:v>
                </c:pt>
                <c:pt idx="177">
                  <c:v>43159</c:v>
                </c:pt>
                <c:pt idx="178">
                  <c:v>43160</c:v>
                </c:pt>
                <c:pt idx="179">
                  <c:v>43161</c:v>
                </c:pt>
                <c:pt idx="180">
                  <c:v>43162</c:v>
                </c:pt>
                <c:pt idx="181">
                  <c:v>43163</c:v>
                </c:pt>
                <c:pt idx="182">
                  <c:v>43164</c:v>
                </c:pt>
                <c:pt idx="183">
                  <c:v>43165</c:v>
                </c:pt>
                <c:pt idx="184">
                  <c:v>43166</c:v>
                </c:pt>
                <c:pt idx="185">
                  <c:v>43167</c:v>
                </c:pt>
                <c:pt idx="186">
                  <c:v>43168</c:v>
                </c:pt>
                <c:pt idx="187">
                  <c:v>43169</c:v>
                </c:pt>
                <c:pt idx="188">
                  <c:v>43170</c:v>
                </c:pt>
                <c:pt idx="189">
                  <c:v>43171</c:v>
                </c:pt>
                <c:pt idx="190">
                  <c:v>43172</c:v>
                </c:pt>
                <c:pt idx="191">
                  <c:v>43173</c:v>
                </c:pt>
                <c:pt idx="192">
                  <c:v>43174</c:v>
                </c:pt>
                <c:pt idx="193">
                  <c:v>43175</c:v>
                </c:pt>
                <c:pt idx="194">
                  <c:v>43176</c:v>
                </c:pt>
                <c:pt idx="195">
                  <c:v>43177</c:v>
                </c:pt>
                <c:pt idx="196">
                  <c:v>43178</c:v>
                </c:pt>
                <c:pt idx="197">
                  <c:v>43179</c:v>
                </c:pt>
                <c:pt idx="198">
                  <c:v>43180</c:v>
                </c:pt>
                <c:pt idx="199">
                  <c:v>43181</c:v>
                </c:pt>
                <c:pt idx="200">
                  <c:v>43182</c:v>
                </c:pt>
                <c:pt idx="201">
                  <c:v>43183</c:v>
                </c:pt>
                <c:pt idx="202">
                  <c:v>43184</c:v>
                </c:pt>
                <c:pt idx="203">
                  <c:v>43185</c:v>
                </c:pt>
                <c:pt idx="204">
                  <c:v>43186</c:v>
                </c:pt>
                <c:pt idx="205">
                  <c:v>43187</c:v>
                </c:pt>
                <c:pt idx="206">
                  <c:v>43188</c:v>
                </c:pt>
                <c:pt idx="207">
                  <c:v>43189</c:v>
                </c:pt>
                <c:pt idx="208">
                  <c:v>43190</c:v>
                </c:pt>
                <c:pt idx="209">
                  <c:v>43191</c:v>
                </c:pt>
                <c:pt idx="210">
                  <c:v>43192</c:v>
                </c:pt>
                <c:pt idx="211">
                  <c:v>43193</c:v>
                </c:pt>
                <c:pt idx="212">
                  <c:v>43194</c:v>
                </c:pt>
                <c:pt idx="213">
                  <c:v>43195</c:v>
                </c:pt>
                <c:pt idx="214">
                  <c:v>43196</c:v>
                </c:pt>
                <c:pt idx="215">
                  <c:v>43197</c:v>
                </c:pt>
                <c:pt idx="216">
                  <c:v>43198</c:v>
                </c:pt>
                <c:pt idx="217">
                  <c:v>43199</c:v>
                </c:pt>
                <c:pt idx="218">
                  <c:v>43200</c:v>
                </c:pt>
                <c:pt idx="219">
                  <c:v>43201</c:v>
                </c:pt>
                <c:pt idx="220">
                  <c:v>43202</c:v>
                </c:pt>
                <c:pt idx="221">
                  <c:v>43203</c:v>
                </c:pt>
                <c:pt idx="222">
                  <c:v>43204</c:v>
                </c:pt>
                <c:pt idx="223">
                  <c:v>43205</c:v>
                </c:pt>
                <c:pt idx="224">
                  <c:v>43206</c:v>
                </c:pt>
                <c:pt idx="225">
                  <c:v>43207</c:v>
                </c:pt>
                <c:pt idx="226">
                  <c:v>43208</c:v>
                </c:pt>
                <c:pt idx="227">
                  <c:v>43209</c:v>
                </c:pt>
                <c:pt idx="228">
                  <c:v>43210</c:v>
                </c:pt>
                <c:pt idx="229">
                  <c:v>43211</c:v>
                </c:pt>
                <c:pt idx="230">
                  <c:v>43212</c:v>
                </c:pt>
                <c:pt idx="231">
                  <c:v>43213</c:v>
                </c:pt>
                <c:pt idx="232">
                  <c:v>43214</c:v>
                </c:pt>
                <c:pt idx="233">
                  <c:v>43215</c:v>
                </c:pt>
                <c:pt idx="234">
                  <c:v>43216</c:v>
                </c:pt>
                <c:pt idx="235">
                  <c:v>43217</c:v>
                </c:pt>
                <c:pt idx="236">
                  <c:v>43218</c:v>
                </c:pt>
                <c:pt idx="237">
                  <c:v>43219</c:v>
                </c:pt>
                <c:pt idx="238">
                  <c:v>43220</c:v>
                </c:pt>
                <c:pt idx="239">
                  <c:v>43221</c:v>
                </c:pt>
                <c:pt idx="240">
                  <c:v>43222</c:v>
                </c:pt>
                <c:pt idx="241">
                  <c:v>43223</c:v>
                </c:pt>
                <c:pt idx="242">
                  <c:v>43224</c:v>
                </c:pt>
                <c:pt idx="243">
                  <c:v>43225</c:v>
                </c:pt>
                <c:pt idx="244">
                  <c:v>43226</c:v>
                </c:pt>
                <c:pt idx="245">
                  <c:v>43227</c:v>
                </c:pt>
                <c:pt idx="246">
                  <c:v>43228</c:v>
                </c:pt>
                <c:pt idx="247">
                  <c:v>43229</c:v>
                </c:pt>
                <c:pt idx="248">
                  <c:v>43230</c:v>
                </c:pt>
                <c:pt idx="249">
                  <c:v>43231</c:v>
                </c:pt>
                <c:pt idx="250">
                  <c:v>43232</c:v>
                </c:pt>
                <c:pt idx="251">
                  <c:v>43233</c:v>
                </c:pt>
                <c:pt idx="252">
                  <c:v>43234</c:v>
                </c:pt>
                <c:pt idx="253">
                  <c:v>43235</c:v>
                </c:pt>
                <c:pt idx="254">
                  <c:v>43236</c:v>
                </c:pt>
                <c:pt idx="255">
                  <c:v>43237</c:v>
                </c:pt>
                <c:pt idx="256">
                  <c:v>43238</c:v>
                </c:pt>
                <c:pt idx="257">
                  <c:v>43239</c:v>
                </c:pt>
                <c:pt idx="258">
                  <c:v>43240</c:v>
                </c:pt>
                <c:pt idx="259">
                  <c:v>43241</c:v>
                </c:pt>
                <c:pt idx="260">
                  <c:v>43242</c:v>
                </c:pt>
                <c:pt idx="261">
                  <c:v>43243</c:v>
                </c:pt>
                <c:pt idx="262">
                  <c:v>43244</c:v>
                </c:pt>
                <c:pt idx="263">
                  <c:v>43245</c:v>
                </c:pt>
                <c:pt idx="264">
                  <c:v>43246</c:v>
                </c:pt>
                <c:pt idx="265">
                  <c:v>43247</c:v>
                </c:pt>
                <c:pt idx="266">
                  <c:v>43248</c:v>
                </c:pt>
                <c:pt idx="267">
                  <c:v>43249</c:v>
                </c:pt>
                <c:pt idx="268">
                  <c:v>43250</c:v>
                </c:pt>
                <c:pt idx="269">
                  <c:v>43251</c:v>
                </c:pt>
                <c:pt idx="270">
                  <c:v>43252</c:v>
                </c:pt>
                <c:pt idx="271">
                  <c:v>43253</c:v>
                </c:pt>
                <c:pt idx="272">
                  <c:v>43254</c:v>
                </c:pt>
                <c:pt idx="273">
                  <c:v>43255</c:v>
                </c:pt>
                <c:pt idx="274">
                  <c:v>43256</c:v>
                </c:pt>
                <c:pt idx="275">
                  <c:v>43257</c:v>
                </c:pt>
                <c:pt idx="276">
                  <c:v>43258</c:v>
                </c:pt>
                <c:pt idx="277">
                  <c:v>43259</c:v>
                </c:pt>
                <c:pt idx="278">
                  <c:v>43260</c:v>
                </c:pt>
                <c:pt idx="279">
                  <c:v>43261</c:v>
                </c:pt>
                <c:pt idx="280">
                  <c:v>43262</c:v>
                </c:pt>
                <c:pt idx="281">
                  <c:v>43263</c:v>
                </c:pt>
                <c:pt idx="282">
                  <c:v>43264</c:v>
                </c:pt>
                <c:pt idx="283">
                  <c:v>43265</c:v>
                </c:pt>
                <c:pt idx="284">
                  <c:v>43266</c:v>
                </c:pt>
                <c:pt idx="285">
                  <c:v>43267</c:v>
                </c:pt>
                <c:pt idx="286">
                  <c:v>43268</c:v>
                </c:pt>
                <c:pt idx="287">
                  <c:v>43269</c:v>
                </c:pt>
                <c:pt idx="288">
                  <c:v>43270</c:v>
                </c:pt>
                <c:pt idx="289">
                  <c:v>43271</c:v>
                </c:pt>
                <c:pt idx="290">
                  <c:v>43272</c:v>
                </c:pt>
                <c:pt idx="291">
                  <c:v>43273</c:v>
                </c:pt>
                <c:pt idx="292">
                  <c:v>43274</c:v>
                </c:pt>
                <c:pt idx="293">
                  <c:v>43275</c:v>
                </c:pt>
                <c:pt idx="294">
                  <c:v>43276</c:v>
                </c:pt>
                <c:pt idx="295">
                  <c:v>43277</c:v>
                </c:pt>
                <c:pt idx="296">
                  <c:v>43278</c:v>
                </c:pt>
                <c:pt idx="297">
                  <c:v>43279</c:v>
                </c:pt>
                <c:pt idx="298">
                  <c:v>43280</c:v>
                </c:pt>
                <c:pt idx="299">
                  <c:v>43281</c:v>
                </c:pt>
                <c:pt idx="300">
                  <c:v>43282</c:v>
                </c:pt>
                <c:pt idx="301">
                  <c:v>43283</c:v>
                </c:pt>
                <c:pt idx="302">
                  <c:v>43284</c:v>
                </c:pt>
                <c:pt idx="303">
                  <c:v>43285</c:v>
                </c:pt>
                <c:pt idx="304">
                  <c:v>43286</c:v>
                </c:pt>
                <c:pt idx="305">
                  <c:v>43287</c:v>
                </c:pt>
                <c:pt idx="306">
                  <c:v>43288</c:v>
                </c:pt>
                <c:pt idx="307">
                  <c:v>43289</c:v>
                </c:pt>
                <c:pt idx="308">
                  <c:v>43290</c:v>
                </c:pt>
                <c:pt idx="309">
                  <c:v>43291</c:v>
                </c:pt>
                <c:pt idx="310">
                  <c:v>43292</c:v>
                </c:pt>
                <c:pt idx="311">
                  <c:v>43293</c:v>
                </c:pt>
                <c:pt idx="312">
                  <c:v>43294</c:v>
                </c:pt>
                <c:pt idx="313">
                  <c:v>43295</c:v>
                </c:pt>
                <c:pt idx="314">
                  <c:v>43296</c:v>
                </c:pt>
                <c:pt idx="315">
                  <c:v>43297</c:v>
                </c:pt>
                <c:pt idx="316">
                  <c:v>43298</c:v>
                </c:pt>
                <c:pt idx="317">
                  <c:v>43299</c:v>
                </c:pt>
                <c:pt idx="318">
                  <c:v>43300</c:v>
                </c:pt>
                <c:pt idx="319">
                  <c:v>43301</c:v>
                </c:pt>
                <c:pt idx="320">
                  <c:v>43302</c:v>
                </c:pt>
                <c:pt idx="321">
                  <c:v>43303</c:v>
                </c:pt>
                <c:pt idx="322">
                  <c:v>43304</c:v>
                </c:pt>
                <c:pt idx="323">
                  <c:v>43305</c:v>
                </c:pt>
                <c:pt idx="324">
                  <c:v>43306</c:v>
                </c:pt>
                <c:pt idx="325">
                  <c:v>43307</c:v>
                </c:pt>
                <c:pt idx="326">
                  <c:v>43308</c:v>
                </c:pt>
                <c:pt idx="327">
                  <c:v>43309</c:v>
                </c:pt>
                <c:pt idx="328">
                  <c:v>43310</c:v>
                </c:pt>
                <c:pt idx="329">
                  <c:v>43311</c:v>
                </c:pt>
                <c:pt idx="330">
                  <c:v>43312</c:v>
                </c:pt>
                <c:pt idx="331">
                  <c:v>43313</c:v>
                </c:pt>
                <c:pt idx="332">
                  <c:v>43314</c:v>
                </c:pt>
                <c:pt idx="333">
                  <c:v>43315</c:v>
                </c:pt>
                <c:pt idx="334">
                  <c:v>43316</c:v>
                </c:pt>
                <c:pt idx="335">
                  <c:v>43317</c:v>
                </c:pt>
                <c:pt idx="336">
                  <c:v>43318</c:v>
                </c:pt>
                <c:pt idx="337">
                  <c:v>43319</c:v>
                </c:pt>
                <c:pt idx="338">
                  <c:v>43320</c:v>
                </c:pt>
                <c:pt idx="339">
                  <c:v>43321</c:v>
                </c:pt>
                <c:pt idx="340">
                  <c:v>43322</c:v>
                </c:pt>
                <c:pt idx="341">
                  <c:v>43323</c:v>
                </c:pt>
                <c:pt idx="342">
                  <c:v>43324</c:v>
                </c:pt>
                <c:pt idx="343">
                  <c:v>43325</c:v>
                </c:pt>
                <c:pt idx="344">
                  <c:v>43326</c:v>
                </c:pt>
                <c:pt idx="345">
                  <c:v>43327</c:v>
                </c:pt>
                <c:pt idx="346">
                  <c:v>43328</c:v>
                </c:pt>
                <c:pt idx="347">
                  <c:v>43329</c:v>
                </c:pt>
                <c:pt idx="348">
                  <c:v>43330</c:v>
                </c:pt>
                <c:pt idx="349">
                  <c:v>43331</c:v>
                </c:pt>
                <c:pt idx="350">
                  <c:v>43332</c:v>
                </c:pt>
                <c:pt idx="351">
                  <c:v>43333</c:v>
                </c:pt>
                <c:pt idx="352">
                  <c:v>43334</c:v>
                </c:pt>
                <c:pt idx="353">
                  <c:v>43335</c:v>
                </c:pt>
                <c:pt idx="354">
                  <c:v>43336</c:v>
                </c:pt>
                <c:pt idx="355">
                  <c:v>43337</c:v>
                </c:pt>
                <c:pt idx="356">
                  <c:v>43338</c:v>
                </c:pt>
                <c:pt idx="357">
                  <c:v>43339</c:v>
                </c:pt>
                <c:pt idx="358">
                  <c:v>43340</c:v>
                </c:pt>
                <c:pt idx="359">
                  <c:v>43341</c:v>
                </c:pt>
                <c:pt idx="360">
                  <c:v>43342</c:v>
                </c:pt>
                <c:pt idx="361">
                  <c:v>43343</c:v>
                </c:pt>
                <c:pt idx="362">
                  <c:v>43344</c:v>
                </c:pt>
                <c:pt idx="363">
                  <c:v>43345</c:v>
                </c:pt>
                <c:pt idx="364">
                  <c:v>43346</c:v>
                </c:pt>
                <c:pt idx="365">
                  <c:v>43347</c:v>
                </c:pt>
                <c:pt idx="366">
                  <c:v>43348</c:v>
                </c:pt>
                <c:pt idx="367">
                  <c:v>43349</c:v>
                </c:pt>
                <c:pt idx="368">
                  <c:v>43350</c:v>
                </c:pt>
                <c:pt idx="369">
                  <c:v>43351</c:v>
                </c:pt>
                <c:pt idx="370">
                  <c:v>43352</c:v>
                </c:pt>
                <c:pt idx="371">
                  <c:v>43353</c:v>
                </c:pt>
                <c:pt idx="372">
                  <c:v>43354</c:v>
                </c:pt>
                <c:pt idx="373">
                  <c:v>43355</c:v>
                </c:pt>
                <c:pt idx="374">
                  <c:v>43356</c:v>
                </c:pt>
                <c:pt idx="375">
                  <c:v>43357</c:v>
                </c:pt>
                <c:pt idx="376">
                  <c:v>43358</c:v>
                </c:pt>
                <c:pt idx="377">
                  <c:v>43359</c:v>
                </c:pt>
                <c:pt idx="378">
                  <c:v>43360</c:v>
                </c:pt>
                <c:pt idx="379">
                  <c:v>43361</c:v>
                </c:pt>
                <c:pt idx="380">
                  <c:v>43362</c:v>
                </c:pt>
                <c:pt idx="381">
                  <c:v>43363</c:v>
                </c:pt>
                <c:pt idx="382">
                  <c:v>43364</c:v>
                </c:pt>
                <c:pt idx="383">
                  <c:v>43365</c:v>
                </c:pt>
                <c:pt idx="384">
                  <c:v>43366</c:v>
                </c:pt>
                <c:pt idx="385">
                  <c:v>43367</c:v>
                </c:pt>
                <c:pt idx="386">
                  <c:v>43368</c:v>
                </c:pt>
                <c:pt idx="387">
                  <c:v>43369</c:v>
                </c:pt>
                <c:pt idx="388">
                  <c:v>43370</c:v>
                </c:pt>
                <c:pt idx="389">
                  <c:v>43371</c:v>
                </c:pt>
                <c:pt idx="390">
                  <c:v>43372</c:v>
                </c:pt>
                <c:pt idx="391">
                  <c:v>43373</c:v>
                </c:pt>
                <c:pt idx="392">
                  <c:v>43374</c:v>
                </c:pt>
                <c:pt idx="393">
                  <c:v>43375</c:v>
                </c:pt>
                <c:pt idx="394">
                  <c:v>43376</c:v>
                </c:pt>
                <c:pt idx="395">
                  <c:v>43377</c:v>
                </c:pt>
                <c:pt idx="396">
                  <c:v>43378</c:v>
                </c:pt>
                <c:pt idx="397">
                  <c:v>43379</c:v>
                </c:pt>
                <c:pt idx="398">
                  <c:v>43380</c:v>
                </c:pt>
                <c:pt idx="399">
                  <c:v>43381</c:v>
                </c:pt>
                <c:pt idx="400">
                  <c:v>43382</c:v>
                </c:pt>
                <c:pt idx="401">
                  <c:v>43383</c:v>
                </c:pt>
                <c:pt idx="402">
                  <c:v>43384</c:v>
                </c:pt>
                <c:pt idx="403">
                  <c:v>43385</c:v>
                </c:pt>
                <c:pt idx="404">
                  <c:v>43386</c:v>
                </c:pt>
                <c:pt idx="405">
                  <c:v>43387</c:v>
                </c:pt>
                <c:pt idx="406">
                  <c:v>43388</c:v>
                </c:pt>
                <c:pt idx="407">
                  <c:v>43389</c:v>
                </c:pt>
                <c:pt idx="408">
                  <c:v>43390</c:v>
                </c:pt>
                <c:pt idx="409">
                  <c:v>43391</c:v>
                </c:pt>
                <c:pt idx="410">
                  <c:v>43392</c:v>
                </c:pt>
                <c:pt idx="411">
                  <c:v>43393</c:v>
                </c:pt>
                <c:pt idx="412">
                  <c:v>43394</c:v>
                </c:pt>
                <c:pt idx="413">
                  <c:v>43395</c:v>
                </c:pt>
                <c:pt idx="414">
                  <c:v>43396</c:v>
                </c:pt>
                <c:pt idx="415">
                  <c:v>43397</c:v>
                </c:pt>
                <c:pt idx="416">
                  <c:v>43398</c:v>
                </c:pt>
                <c:pt idx="417">
                  <c:v>43399</c:v>
                </c:pt>
                <c:pt idx="418">
                  <c:v>43400</c:v>
                </c:pt>
                <c:pt idx="419">
                  <c:v>43401</c:v>
                </c:pt>
                <c:pt idx="420">
                  <c:v>43402</c:v>
                </c:pt>
                <c:pt idx="421">
                  <c:v>43403</c:v>
                </c:pt>
                <c:pt idx="422">
                  <c:v>43404</c:v>
                </c:pt>
                <c:pt idx="423">
                  <c:v>43405</c:v>
                </c:pt>
                <c:pt idx="424">
                  <c:v>43406</c:v>
                </c:pt>
                <c:pt idx="425">
                  <c:v>43407</c:v>
                </c:pt>
                <c:pt idx="426">
                  <c:v>43408</c:v>
                </c:pt>
                <c:pt idx="427">
                  <c:v>43409</c:v>
                </c:pt>
                <c:pt idx="428">
                  <c:v>43410</c:v>
                </c:pt>
                <c:pt idx="429">
                  <c:v>43411</c:v>
                </c:pt>
                <c:pt idx="430">
                  <c:v>43412</c:v>
                </c:pt>
                <c:pt idx="431">
                  <c:v>43413</c:v>
                </c:pt>
                <c:pt idx="432">
                  <c:v>43414</c:v>
                </c:pt>
                <c:pt idx="433">
                  <c:v>43415</c:v>
                </c:pt>
                <c:pt idx="434">
                  <c:v>43416</c:v>
                </c:pt>
                <c:pt idx="435">
                  <c:v>43417</c:v>
                </c:pt>
                <c:pt idx="436">
                  <c:v>43418</c:v>
                </c:pt>
                <c:pt idx="437">
                  <c:v>43419</c:v>
                </c:pt>
                <c:pt idx="438">
                  <c:v>43420</c:v>
                </c:pt>
                <c:pt idx="439">
                  <c:v>43421</c:v>
                </c:pt>
                <c:pt idx="440">
                  <c:v>43422</c:v>
                </c:pt>
                <c:pt idx="441">
                  <c:v>43423</c:v>
                </c:pt>
                <c:pt idx="442">
                  <c:v>43424</c:v>
                </c:pt>
                <c:pt idx="443">
                  <c:v>43425</c:v>
                </c:pt>
                <c:pt idx="444">
                  <c:v>43426</c:v>
                </c:pt>
                <c:pt idx="445">
                  <c:v>43427</c:v>
                </c:pt>
                <c:pt idx="446">
                  <c:v>43428</c:v>
                </c:pt>
                <c:pt idx="447">
                  <c:v>43429</c:v>
                </c:pt>
                <c:pt idx="448">
                  <c:v>43430</c:v>
                </c:pt>
                <c:pt idx="449">
                  <c:v>43431</c:v>
                </c:pt>
                <c:pt idx="450">
                  <c:v>43432</c:v>
                </c:pt>
                <c:pt idx="451">
                  <c:v>43433</c:v>
                </c:pt>
                <c:pt idx="452">
                  <c:v>43434</c:v>
                </c:pt>
                <c:pt idx="453">
                  <c:v>43435</c:v>
                </c:pt>
                <c:pt idx="454">
                  <c:v>43436</c:v>
                </c:pt>
                <c:pt idx="455">
                  <c:v>43437</c:v>
                </c:pt>
                <c:pt idx="456">
                  <c:v>43438</c:v>
                </c:pt>
                <c:pt idx="457">
                  <c:v>43439</c:v>
                </c:pt>
                <c:pt idx="458">
                  <c:v>43440</c:v>
                </c:pt>
                <c:pt idx="459">
                  <c:v>43441</c:v>
                </c:pt>
                <c:pt idx="460">
                  <c:v>43442</c:v>
                </c:pt>
                <c:pt idx="461">
                  <c:v>43443</c:v>
                </c:pt>
                <c:pt idx="462">
                  <c:v>43444</c:v>
                </c:pt>
                <c:pt idx="463">
                  <c:v>43445</c:v>
                </c:pt>
                <c:pt idx="464">
                  <c:v>43446</c:v>
                </c:pt>
                <c:pt idx="465">
                  <c:v>43447</c:v>
                </c:pt>
                <c:pt idx="466">
                  <c:v>43448</c:v>
                </c:pt>
                <c:pt idx="467">
                  <c:v>43449</c:v>
                </c:pt>
                <c:pt idx="468">
                  <c:v>43450</c:v>
                </c:pt>
                <c:pt idx="469">
                  <c:v>43451</c:v>
                </c:pt>
                <c:pt idx="470">
                  <c:v>43452</c:v>
                </c:pt>
                <c:pt idx="471">
                  <c:v>43453</c:v>
                </c:pt>
                <c:pt idx="472">
                  <c:v>43454</c:v>
                </c:pt>
                <c:pt idx="473">
                  <c:v>43455</c:v>
                </c:pt>
                <c:pt idx="474">
                  <c:v>43456</c:v>
                </c:pt>
                <c:pt idx="475">
                  <c:v>43457</c:v>
                </c:pt>
                <c:pt idx="476">
                  <c:v>43458</c:v>
                </c:pt>
                <c:pt idx="477">
                  <c:v>43459</c:v>
                </c:pt>
                <c:pt idx="478">
                  <c:v>43460</c:v>
                </c:pt>
                <c:pt idx="479">
                  <c:v>43461</c:v>
                </c:pt>
                <c:pt idx="480">
                  <c:v>43462</c:v>
                </c:pt>
                <c:pt idx="481">
                  <c:v>43463</c:v>
                </c:pt>
                <c:pt idx="482">
                  <c:v>43464</c:v>
                </c:pt>
                <c:pt idx="483">
                  <c:v>43465</c:v>
                </c:pt>
                <c:pt idx="484">
                  <c:v>43466</c:v>
                </c:pt>
                <c:pt idx="485">
                  <c:v>43467</c:v>
                </c:pt>
                <c:pt idx="486">
                  <c:v>43468</c:v>
                </c:pt>
                <c:pt idx="487">
                  <c:v>43469</c:v>
                </c:pt>
                <c:pt idx="488">
                  <c:v>43470</c:v>
                </c:pt>
                <c:pt idx="489">
                  <c:v>43471</c:v>
                </c:pt>
                <c:pt idx="490">
                  <c:v>43472</c:v>
                </c:pt>
                <c:pt idx="491">
                  <c:v>43473</c:v>
                </c:pt>
                <c:pt idx="492">
                  <c:v>43474</c:v>
                </c:pt>
                <c:pt idx="493">
                  <c:v>43475</c:v>
                </c:pt>
                <c:pt idx="494">
                  <c:v>43476</c:v>
                </c:pt>
                <c:pt idx="495">
                  <c:v>43477</c:v>
                </c:pt>
                <c:pt idx="496">
                  <c:v>43478</c:v>
                </c:pt>
                <c:pt idx="497">
                  <c:v>43479</c:v>
                </c:pt>
                <c:pt idx="498">
                  <c:v>43480</c:v>
                </c:pt>
                <c:pt idx="499">
                  <c:v>43481</c:v>
                </c:pt>
                <c:pt idx="500">
                  <c:v>43482</c:v>
                </c:pt>
                <c:pt idx="501">
                  <c:v>43483</c:v>
                </c:pt>
                <c:pt idx="502">
                  <c:v>43484</c:v>
                </c:pt>
                <c:pt idx="503">
                  <c:v>43485</c:v>
                </c:pt>
                <c:pt idx="504">
                  <c:v>43486</c:v>
                </c:pt>
                <c:pt idx="505">
                  <c:v>43487</c:v>
                </c:pt>
                <c:pt idx="506">
                  <c:v>43488</c:v>
                </c:pt>
                <c:pt idx="507">
                  <c:v>43489</c:v>
                </c:pt>
                <c:pt idx="508">
                  <c:v>43490</c:v>
                </c:pt>
                <c:pt idx="509">
                  <c:v>43491</c:v>
                </c:pt>
                <c:pt idx="510">
                  <c:v>43492</c:v>
                </c:pt>
                <c:pt idx="511">
                  <c:v>43493</c:v>
                </c:pt>
                <c:pt idx="512">
                  <c:v>43494</c:v>
                </c:pt>
                <c:pt idx="513">
                  <c:v>43495</c:v>
                </c:pt>
                <c:pt idx="514">
                  <c:v>43496</c:v>
                </c:pt>
                <c:pt idx="515">
                  <c:v>43497</c:v>
                </c:pt>
                <c:pt idx="516">
                  <c:v>43498</c:v>
                </c:pt>
                <c:pt idx="517">
                  <c:v>43499</c:v>
                </c:pt>
                <c:pt idx="518">
                  <c:v>43500</c:v>
                </c:pt>
                <c:pt idx="519">
                  <c:v>43501</c:v>
                </c:pt>
                <c:pt idx="520">
                  <c:v>43502</c:v>
                </c:pt>
                <c:pt idx="521">
                  <c:v>43503</c:v>
                </c:pt>
                <c:pt idx="522">
                  <c:v>43504</c:v>
                </c:pt>
                <c:pt idx="523">
                  <c:v>43505</c:v>
                </c:pt>
                <c:pt idx="524">
                  <c:v>43506</c:v>
                </c:pt>
                <c:pt idx="525">
                  <c:v>43507</c:v>
                </c:pt>
                <c:pt idx="526">
                  <c:v>43508</c:v>
                </c:pt>
                <c:pt idx="527">
                  <c:v>43509</c:v>
                </c:pt>
                <c:pt idx="528">
                  <c:v>43510</c:v>
                </c:pt>
                <c:pt idx="529">
                  <c:v>43511</c:v>
                </c:pt>
                <c:pt idx="530">
                  <c:v>43512</c:v>
                </c:pt>
                <c:pt idx="531">
                  <c:v>43513</c:v>
                </c:pt>
                <c:pt idx="532">
                  <c:v>43514</c:v>
                </c:pt>
                <c:pt idx="533">
                  <c:v>43515</c:v>
                </c:pt>
                <c:pt idx="534">
                  <c:v>43516</c:v>
                </c:pt>
                <c:pt idx="535">
                  <c:v>43517</c:v>
                </c:pt>
                <c:pt idx="536">
                  <c:v>43518</c:v>
                </c:pt>
                <c:pt idx="537">
                  <c:v>43519</c:v>
                </c:pt>
                <c:pt idx="538">
                  <c:v>43520</c:v>
                </c:pt>
                <c:pt idx="539">
                  <c:v>43521</c:v>
                </c:pt>
                <c:pt idx="540">
                  <c:v>43522</c:v>
                </c:pt>
                <c:pt idx="541">
                  <c:v>43523</c:v>
                </c:pt>
                <c:pt idx="542">
                  <c:v>43524</c:v>
                </c:pt>
                <c:pt idx="543">
                  <c:v>43525</c:v>
                </c:pt>
                <c:pt idx="544">
                  <c:v>43526</c:v>
                </c:pt>
                <c:pt idx="545">
                  <c:v>43527</c:v>
                </c:pt>
                <c:pt idx="546">
                  <c:v>43528</c:v>
                </c:pt>
                <c:pt idx="547">
                  <c:v>43529</c:v>
                </c:pt>
                <c:pt idx="548">
                  <c:v>43530</c:v>
                </c:pt>
                <c:pt idx="549">
                  <c:v>43531</c:v>
                </c:pt>
                <c:pt idx="550">
                  <c:v>43532</c:v>
                </c:pt>
                <c:pt idx="551">
                  <c:v>43533</c:v>
                </c:pt>
                <c:pt idx="552">
                  <c:v>43534</c:v>
                </c:pt>
                <c:pt idx="553">
                  <c:v>43535</c:v>
                </c:pt>
                <c:pt idx="554">
                  <c:v>43536</c:v>
                </c:pt>
                <c:pt idx="555">
                  <c:v>43537</c:v>
                </c:pt>
                <c:pt idx="556">
                  <c:v>43538</c:v>
                </c:pt>
                <c:pt idx="557">
                  <c:v>43539</c:v>
                </c:pt>
                <c:pt idx="558">
                  <c:v>43540</c:v>
                </c:pt>
                <c:pt idx="559">
                  <c:v>43541</c:v>
                </c:pt>
                <c:pt idx="560">
                  <c:v>43542</c:v>
                </c:pt>
                <c:pt idx="561">
                  <c:v>43543</c:v>
                </c:pt>
                <c:pt idx="562">
                  <c:v>43544</c:v>
                </c:pt>
                <c:pt idx="563">
                  <c:v>43545</c:v>
                </c:pt>
                <c:pt idx="564">
                  <c:v>43546</c:v>
                </c:pt>
                <c:pt idx="565">
                  <c:v>43547</c:v>
                </c:pt>
                <c:pt idx="566">
                  <c:v>43548</c:v>
                </c:pt>
                <c:pt idx="567">
                  <c:v>43549</c:v>
                </c:pt>
                <c:pt idx="568">
                  <c:v>43550</c:v>
                </c:pt>
                <c:pt idx="569">
                  <c:v>43551</c:v>
                </c:pt>
                <c:pt idx="570">
                  <c:v>43552</c:v>
                </c:pt>
                <c:pt idx="571">
                  <c:v>43553</c:v>
                </c:pt>
                <c:pt idx="572">
                  <c:v>43554</c:v>
                </c:pt>
                <c:pt idx="573">
                  <c:v>43555</c:v>
                </c:pt>
                <c:pt idx="574">
                  <c:v>43556</c:v>
                </c:pt>
                <c:pt idx="575">
                  <c:v>43557</c:v>
                </c:pt>
                <c:pt idx="576">
                  <c:v>43558</c:v>
                </c:pt>
                <c:pt idx="577">
                  <c:v>43559</c:v>
                </c:pt>
                <c:pt idx="578">
                  <c:v>43560</c:v>
                </c:pt>
                <c:pt idx="579">
                  <c:v>43561</c:v>
                </c:pt>
                <c:pt idx="580">
                  <c:v>43562</c:v>
                </c:pt>
                <c:pt idx="581">
                  <c:v>43563</c:v>
                </c:pt>
                <c:pt idx="582">
                  <c:v>43564</c:v>
                </c:pt>
                <c:pt idx="583">
                  <c:v>43565</c:v>
                </c:pt>
                <c:pt idx="584">
                  <c:v>43566</c:v>
                </c:pt>
                <c:pt idx="585">
                  <c:v>43567</c:v>
                </c:pt>
                <c:pt idx="586">
                  <c:v>43568</c:v>
                </c:pt>
                <c:pt idx="587">
                  <c:v>43569</c:v>
                </c:pt>
                <c:pt idx="588">
                  <c:v>43570</c:v>
                </c:pt>
                <c:pt idx="589">
                  <c:v>43571</c:v>
                </c:pt>
                <c:pt idx="590">
                  <c:v>43572</c:v>
                </c:pt>
                <c:pt idx="591">
                  <c:v>43573</c:v>
                </c:pt>
                <c:pt idx="592">
                  <c:v>43574</c:v>
                </c:pt>
                <c:pt idx="593">
                  <c:v>43575</c:v>
                </c:pt>
                <c:pt idx="594">
                  <c:v>43576</c:v>
                </c:pt>
                <c:pt idx="595">
                  <c:v>43577</c:v>
                </c:pt>
                <c:pt idx="596">
                  <c:v>43578</c:v>
                </c:pt>
                <c:pt idx="597">
                  <c:v>43579</c:v>
                </c:pt>
                <c:pt idx="598">
                  <c:v>43580</c:v>
                </c:pt>
                <c:pt idx="599">
                  <c:v>43581</c:v>
                </c:pt>
                <c:pt idx="600">
                  <c:v>43582</c:v>
                </c:pt>
                <c:pt idx="601">
                  <c:v>43583</c:v>
                </c:pt>
                <c:pt idx="602">
                  <c:v>43584</c:v>
                </c:pt>
                <c:pt idx="603">
                  <c:v>43585</c:v>
                </c:pt>
                <c:pt idx="604">
                  <c:v>43586</c:v>
                </c:pt>
                <c:pt idx="605">
                  <c:v>43587</c:v>
                </c:pt>
                <c:pt idx="606">
                  <c:v>43588</c:v>
                </c:pt>
                <c:pt idx="607">
                  <c:v>43589</c:v>
                </c:pt>
                <c:pt idx="608">
                  <c:v>43590</c:v>
                </c:pt>
                <c:pt idx="609">
                  <c:v>43591</c:v>
                </c:pt>
                <c:pt idx="610">
                  <c:v>43592</c:v>
                </c:pt>
                <c:pt idx="611">
                  <c:v>43593</c:v>
                </c:pt>
                <c:pt idx="612">
                  <c:v>43594</c:v>
                </c:pt>
                <c:pt idx="613">
                  <c:v>43595</c:v>
                </c:pt>
                <c:pt idx="614">
                  <c:v>43596</c:v>
                </c:pt>
                <c:pt idx="615">
                  <c:v>43597</c:v>
                </c:pt>
                <c:pt idx="616">
                  <c:v>43598</c:v>
                </c:pt>
                <c:pt idx="617">
                  <c:v>43599</c:v>
                </c:pt>
                <c:pt idx="618">
                  <c:v>43600</c:v>
                </c:pt>
                <c:pt idx="619">
                  <c:v>43601</c:v>
                </c:pt>
                <c:pt idx="620">
                  <c:v>43602</c:v>
                </c:pt>
                <c:pt idx="621">
                  <c:v>43603</c:v>
                </c:pt>
                <c:pt idx="622">
                  <c:v>43604</c:v>
                </c:pt>
                <c:pt idx="623">
                  <c:v>43605</c:v>
                </c:pt>
                <c:pt idx="624">
                  <c:v>43606</c:v>
                </c:pt>
                <c:pt idx="625">
                  <c:v>43607</c:v>
                </c:pt>
                <c:pt idx="626">
                  <c:v>43608</c:v>
                </c:pt>
                <c:pt idx="627">
                  <c:v>43609</c:v>
                </c:pt>
                <c:pt idx="628">
                  <c:v>43610</c:v>
                </c:pt>
                <c:pt idx="629">
                  <c:v>43611</c:v>
                </c:pt>
                <c:pt idx="630">
                  <c:v>43612</c:v>
                </c:pt>
                <c:pt idx="631">
                  <c:v>43613</c:v>
                </c:pt>
                <c:pt idx="632">
                  <c:v>43614</c:v>
                </c:pt>
                <c:pt idx="633">
                  <c:v>43615</c:v>
                </c:pt>
                <c:pt idx="634">
                  <c:v>43616</c:v>
                </c:pt>
                <c:pt idx="635">
                  <c:v>43617</c:v>
                </c:pt>
                <c:pt idx="636">
                  <c:v>43618</c:v>
                </c:pt>
                <c:pt idx="637">
                  <c:v>43619</c:v>
                </c:pt>
                <c:pt idx="638">
                  <c:v>43620</c:v>
                </c:pt>
                <c:pt idx="639">
                  <c:v>43621</c:v>
                </c:pt>
                <c:pt idx="640">
                  <c:v>43622</c:v>
                </c:pt>
                <c:pt idx="641">
                  <c:v>43623</c:v>
                </c:pt>
                <c:pt idx="642">
                  <c:v>43624</c:v>
                </c:pt>
                <c:pt idx="643">
                  <c:v>43625</c:v>
                </c:pt>
                <c:pt idx="644">
                  <c:v>43626</c:v>
                </c:pt>
                <c:pt idx="645">
                  <c:v>43627</c:v>
                </c:pt>
                <c:pt idx="646">
                  <c:v>43628</c:v>
                </c:pt>
                <c:pt idx="647">
                  <c:v>43629</c:v>
                </c:pt>
                <c:pt idx="648">
                  <c:v>43630</c:v>
                </c:pt>
                <c:pt idx="649">
                  <c:v>43631</c:v>
                </c:pt>
                <c:pt idx="650">
                  <c:v>43632</c:v>
                </c:pt>
                <c:pt idx="651">
                  <c:v>43633</c:v>
                </c:pt>
                <c:pt idx="652">
                  <c:v>43634</c:v>
                </c:pt>
                <c:pt idx="653">
                  <c:v>43635</c:v>
                </c:pt>
                <c:pt idx="654">
                  <c:v>43636</c:v>
                </c:pt>
                <c:pt idx="655">
                  <c:v>43637</c:v>
                </c:pt>
                <c:pt idx="656">
                  <c:v>43638</c:v>
                </c:pt>
                <c:pt idx="657">
                  <c:v>43639</c:v>
                </c:pt>
                <c:pt idx="658">
                  <c:v>43640</c:v>
                </c:pt>
                <c:pt idx="659">
                  <c:v>43641</c:v>
                </c:pt>
                <c:pt idx="660">
                  <c:v>43642</c:v>
                </c:pt>
                <c:pt idx="661">
                  <c:v>43643</c:v>
                </c:pt>
                <c:pt idx="662">
                  <c:v>43644</c:v>
                </c:pt>
                <c:pt idx="663">
                  <c:v>43645</c:v>
                </c:pt>
                <c:pt idx="664">
                  <c:v>43646</c:v>
                </c:pt>
                <c:pt idx="665">
                  <c:v>43647</c:v>
                </c:pt>
                <c:pt idx="666">
                  <c:v>43648</c:v>
                </c:pt>
                <c:pt idx="667">
                  <c:v>43649</c:v>
                </c:pt>
                <c:pt idx="668">
                  <c:v>43650</c:v>
                </c:pt>
                <c:pt idx="669">
                  <c:v>43651</c:v>
                </c:pt>
                <c:pt idx="670">
                  <c:v>43652</c:v>
                </c:pt>
                <c:pt idx="671">
                  <c:v>43653</c:v>
                </c:pt>
                <c:pt idx="672">
                  <c:v>43654</c:v>
                </c:pt>
                <c:pt idx="673">
                  <c:v>43655</c:v>
                </c:pt>
                <c:pt idx="674">
                  <c:v>43656</c:v>
                </c:pt>
                <c:pt idx="675">
                  <c:v>43657</c:v>
                </c:pt>
                <c:pt idx="676">
                  <c:v>43658</c:v>
                </c:pt>
                <c:pt idx="677">
                  <c:v>43659</c:v>
                </c:pt>
                <c:pt idx="678">
                  <c:v>43660</c:v>
                </c:pt>
                <c:pt idx="679">
                  <c:v>43661</c:v>
                </c:pt>
                <c:pt idx="680">
                  <c:v>43662</c:v>
                </c:pt>
                <c:pt idx="681">
                  <c:v>43663</c:v>
                </c:pt>
                <c:pt idx="682">
                  <c:v>43664</c:v>
                </c:pt>
                <c:pt idx="683">
                  <c:v>43665</c:v>
                </c:pt>
                <c:pt idx="684">
                  <c:v>43666</c:v>
                </c:pt>
                <c:pt idx="685">
                  <c:v>43667</c:v>
                </c:pt>
                <c:pt idx="686">
                  <c:v>43668</c:v>
                </c:pt>
                <c:pt idx="687">
                  <c:v>43669</c:v>
                </c:pt>
                <c:pt idx="688">
                  <c:v>43670</c:v>
                </c:pt>
                <c:pt idx="689">
                  <c:v>43671</c:v>
                </c:pt>
                <c:pt idx="690">
                  <c:v>43672</c:v>
                </c:pt>
                <c:pt idx="691">
                  <c:v>43673</c:v>
                </c:pt>
                <c:pt idx="692">
                  <c:v>43674</c:v>
                </c:pt>
                <c:pt idx="693">
                  <c:v>43675</c:v>
                </c:pt>
                <c:pt idx="694">
                  <c:v>43676</c:v>
                </c:pt>
                <c:pt idx="695">
                  <c:v>43677</c:v>
                </c:pt>
                <c:pt idx="696">
                  <c:v>43678</c:v>
                </c:pt>
                <c:pt idx="697">
                  <c:v>43679</c:v>
                </c:pt>
                <c:pt idx="698">
                  <c:v>43680</c:v>
                </c:pt>
                <c:pt idx="699">
                  <c:v>43681</c:v>
                </c:pt>
                <c:pt idx="700">
                  <c:v>43682</c:v>
                </c:pt>
                <c:pt idx="701">
                  <c:v>43683</c:v>
                </c:pt>
                <c:pt idx="702">
                  <c:v>43684</c:v>
                </c:pt>
                <c:pt idx="703">
                  <c:v>43685</c:v>
                </c:pt>
                <c:pt idx="704">
                  <c:v>43686</c:v>
                </c:pt>
                <c:pt idx="705">
                  <c:v>43687</c:v>
                </c:pt>
                <c:pt idx="706">
                  <c:v>43688</c:v>
                </c:pt>
                <c:pt idx="707">
                  <c:v>43689</c:v>
                </c:pt>
                <c:pt idx="708">
                  <c:v>43690</c:v>
                </c:pt>
                <c:pt idx="709">
                  <c:v>43691</c:v>
                </c:pt>
                <c:pt idx="710">
                  <c:v>43692</c:v>
                </c:pt>
                <c:pt idx="711">
                  <c:v>43693</c:v>
                </c:pt>
                <c:pt idx="712">
                  <c:v>43694</c:v>
                </c:pt>
                <c:pt idx="713">
                  <c:v>43695</c:v>
                </c:pt>
                <c:pt idx="714">
                  <c:v>43696</c:v>
                </c:pt>
                <c:pt idx="715">
                  <c:v>43697</c:v>
                </c:pt>
                <c:pt idx="716">
                  <c:v>43698</c:v>
                </c:pt>
                <c:pt idx="717">
                  <c:v>43699</c:v>
                </c:pt>
                <c:pt idx="718">
                  <c:v>43700</c:v>
                </c:pt>
                <c:pt idx="719">
                  <c:v>43701</c:v>
                </c:pt>
                <c:pt idx="720">
                  <c:v>43702</c:v>
                </c:pt>
                <c:pt idx="721">
                  <c:v>43703</c:v>
                </c:pt>
                <c:pt idx="722">
                  <c:v>43704</c:v>
                </c:pt>
                <c:pt idx="723">
                  <c:v>43705</c:v>
                </c:pt>
                <c:pt idx="724">
                  <c:v>43706</c:v>
                </c:pt>
                <c:pt idx="725">
                  <c:v>43707</c:v>
                </c:pt>
                <c:pt idx="726">
                  <c:v>43708</c:v>
                </c:pt>
                <c:pt idx="727">
                  <c:v>43709</c:v>
                </c:pt>
                <c:pt idx="728">
                  <c:v>43710</c:v>
                </c:pt>
                <c:pt idx="729">
                  <c:v>43711</c:v>
                </c:pt>
                <c:pt idx="730">
                  <c:v>43712</c:v>
                </c:pt>
                <c:pt idx="731">
                  <c:v>43713</c:v>
                </c:pt>
                <c:pt idx="732">
                  <c:v>43714</c:v>
                </c:pt>
                <c:pt idx="733">
                  <c:v>43715</c:v>
                </c:pt>
                <c:pt idx="734">
                  <c:v>43716</c:v>
                </c:pt>
                <c:pt idx="735">
                  <c:v>43717</c:v>
                </c:pt>
                <c:pt idx="736">
                  <c:v>43718</c:v>
                </c:pt>
                <c:pt idx="737">
                  <c:v>43719</c:v>
                </c:pt>
                <c:pt idx="738">
                  <c:v>43720</c:v>
                </c:pt>
                <c:pt idx="739">
                  <c:v>43721</c:v>
                </c:pt>
                <c:pt idx="740">
                  <c:v>43722</c:v>
                </c:pt>
                <c:pt idx="741">
                  <c:v>43723</c:v>
                </c:pt>
                <c:pt idx="742">
                  <c:v>43724</c:v>
                </c:pt>
                <c:pt idx="743">
                  <c:v>43725</c:v>
                </c:pt>
                <c:pt idx="744">
                  <c:v>43726</c:v>
                </c:pt>
                <c:pt idx="745">
                  <c:v>43727</c:v>
                </c:pt>
                <c:pt idx="746">
                  <c:v>43728</c:v>
                </c:pt>
                <c:pt idx="747">
                  <c:v>43729</c:v>
                </c:pt>
                <c:pt idx="748">
                  <c:v>43730</c:v>
                </c:pt>
                <c:pt idx="749">
                  <c:v>43731</c:v>
                </c:pt>
                <c:pt idx="750">
                  <c:v>43732</c:v>
                </c:pt>
                <c:pt idx="751">
                  <c:v>43733</c:v>
                </c:pt>
                <c:pt idx="752">
                  <c:v>43734</c:v>
                </c:pt>
                <c:pt idx="753">
                  <c:v>43735</c:v>
                </c:pt>
                <c:pt idx="754">
                  <c:v>43736</c:v>
                </c:pt>
                <c:pt idx="755">
                  <c:v>43737</c:v>
                </c:pt>
                <c:pt idx="756">
                  <c:v>43738</c:v>
                </c:pt>
                <c:pt idx="757">
                  <c:v>43739</c:v>
                </c:pt>
                <c:pt idx="758">
                  <c:v>43740</c:v>
                </c:pt>
                <c:pt idx="759">
                  <c:v>43741</c:v>
                </c:pt>
                <c:pt idx="760">
                  <c:v>43742</c:v>
                </c:pt>
                <c:pt idx="761">
                  <c:v>43743</c:v>
                </c:pt>
                <c:pt idx="762">
                  <c:v>43744</c:v>
                </c:pt>
                <c:pt idx="763">
                  <c:v>43745</c:v>
                </c:pt>
                <c:pt idx="764">
                  <c:v>43746</c:v>
                </c:pt>
                <c:pt idx="765">
                  <c:v>43747</c:v>
                </c:pt>
                <c:pt idx="766">
                  <c:v>43748</c:v>
                </c:pt>
                <c:pt idx="767">
                  <c:v>43749</c:v>
                </c:pt>
                <c:pt idx="768">
                  <c:v>43750</c:v>
                </c:pt>
                <c:pt idx="769">
                  <c:v>43751</c:v>
                </c:pt>
                <c:pt idx="770">
                  <c:v>43752</c:v>
                </c:pt>
                <c:pt idx="771">
                  <c:v>43753</c:v>
                </c:pt>
                <c:pt idx="772">
                  <c:v>43754</c:v>
                </c:pt>
                <c:pt idx="773">
                  <c:v>43755</c:v>
                </c:pt>
                <c:pt idx="774">
                  <c:v>43756</c:v>
                </c:pt>
                <c:pt idx="775">
                  <c:v>43757</c:v>
                </c:pt>
                <c:pt idx="776">
                  <c:v>43758</c:v>
                </c:pt>
                <c:pt idx="777">
                  <c:v>43759</c:v>
                </c:pt>
                <c:pt idx="778">
                  <c:v>43760</c:v>
                </c:pt>
                <c:pt idx="779">
                  <c:v>43761</c:v>
                </c:pt>
                <c:pt idx="780">
                  <c:v>43762</c:v>
                </c:pt>
                <c:pt idx="781">
                  <c:v>43763</c:v>
                </c:pt>
                <c:pt idx="782">
                  <c:v>43764</c:v>
                </c:pt>
                <c:pt idx="783">
                  <c:v>43765</c:v>
                </c:pt>
                <c:pt idx="784">
                  <c:v>43766</c:v>
                </c:pt>
                <c:pt idx="785">
                  <c:v>43767</c:v>
                </c:pt>
                <c:pt idx="786">
                  <c:v>43768</c:v>
                </c:pt>
                <c:pt idx="787">
                  <c:v>43769</c:v>
                </c:pt>
                <c:pt idx="788">
                  <c:v>43770</c:v>
                </c:pt>
                <c:pt idx="789">
                  <c:v>43771</c:v>
                </c:pt>
                <c:pt idx="790">
                  <c:v>43772</c:v>
                </c:pt>
                <c:pt idx="791">
                  <c:v>43773</c:v>
                </c:pt>
                <c:pt idx="792">
                  <c:v>43774</c:v>
                </c:pt>
                <c:pt idx="793">
                  <c:v>43775</c:v>
                </c:pt>
                <c:pt idx="794">
                  <c:v>43776</c:v>
                </c:pt>
                <c:pt idx="795">
                  <c:v>43777</c:v>
                </c:pt>
                <c:pt idx="796">
                  <c:v>43778</c:v>
                </c:pt>
                <c:pt idx="797">
                  <c:v>43779</c:v>
                </c:pt>
                <c:pt idx="798">
                  <c:v>43780</c:v>
                </c:pt>
                <c:pt idx="799">
                  <c:v>43781</c:v>
                </c:pt>
                <c:pt idx="800">
                  <c:v>43782</c:v>
                </c:pt>
                <c:pt idx="801">
                  <c:v>43783</c:v>
                </c:pt>
                <c:pt idx="802">
                  <c:v>43784</c:v>
                </c:pt>
                <c:pt idx="803">
                  <c:v>43785</c:v>
                </c:pt>
                <c:pt idx="804">
                  <c:v>43786</c:v>
                </c:pt>
                <c:pt idx="805">
                  <c:v>43787</c:v>
                </c:pt>
                <c:pt idx="806">
                  <c:v>43788</c:v>
                </c:pt>
                <c:pt idx="807">
                  <c:v>43789</c:v>
                </c:pt>
                <c:pt idx="808">
                  <c:v>43790</c:v>
                </c:pt>
                <c:pt idx="809">
                  <c:v>43791</c:v>
                </c:pt>
                <c:pt idx="810">
                  <c:v>43792</c:v>
                </c:pt>
                <c:pt idx="811">
                  <c:v>43793</c:v>
                </c:pt>
                <c:pt idx="812">
                  <c:v>43794</c:v>
                </c:pt>
                <c:pt idx="813">
                  <c:v>43795</c:v>
                </c:pt>
                <c:pt idx="814">
                  <c:v>43796</c:v>
                </c:pt>
                <c:pt idx="815">
                  <c:v>43797</c:v>
                </c:pt>
                <c:pt idx="816">
                  <c:v>43798</c:v>
                </c:pt>
                <c:pt idx="817">
                  <c:v>43799</c:v>
                </c:pt>
                <c:pt idx="818">
                  <c:v>43800</c:v>
                </c:pt>
                <c:pt idx="819">
                  <c:v>43801</c:v>
                </c:pt>
                <c:pt idx="820">
                  <c:v>43802</c:v>
                </c:pt>
                <c:pt idx="821">
                  <c:v>43803</c:v>
                </c:pt>
                <c:pt idx="822">
                  <c:v>43804</c:v>
                </c:pt>
                <c:pt idx="823">
                  <c:v>43805</c:v>
                </c:pt>
                <c:pt idx="824">
                  <c:v>43806</c:v>
                </c:pt>
                <c:pt idx="825">
                  <c:v>43807</c:v>
                </c:pt>
                <c:pt idx="826">
                  <c:v>43808</c:v>
                </c:pt>
                <c:pt idx="827">
                  <c:v>43809</c:v>
                </c:pt>
                <c:pt idx="828">
                  <c:v>43810</c:v>
                </c:pt>
                <c:pt idx="829">
                  <c:v>43811</c:v>
                </c:pt>
                <c:pt idx="830">
                  <c:v>43812</c:v>
                </c:pt>
                <c:pt idx="831">
                  <c:v>43813</c:v>
                </c:pt>
                <c:pt idx="832">
                  <c:v>43814</c:v>
                </c:pt>
                <c:pt idx="833">
                  <c:v>43815</c:v>
                </c:pt>
                <c:pt idx="834">
                  <c:v>43816</c:v>
                </c:pt>
                <c:pt idx="835">
                  <c:v>43817</c:v>
                </c:pt>
                <c:pt idx="836">
                  <c:v>43818</c:v>
                </c:pt>
                <c:pt idx="837">
                  <c:v>43819</c:v>
                </c:pt>
                <c:pt idx="838">
                  <c:v>43820</c:v>
                </c:pt>
                <c:pt idx="839">
                  <c:v>43821</c:v>
                </c:pt>
                <c:pt idx="840">
                  <c:v>43822</c:v>
                </c:pt>
                <c:pt idx="841">
                  <c:v>43823</c:v>
                </c:pt>
                <c:pt idx="842">
                  <c:v>43824</c:v>
                </c:pt>
                <c:pt idx="843">
                  <c:v>43825</c:v>
                </c:pt>
                <c:pt idx="844">
                  <c:v>43826</c:v>
                </c:pt>
                <c:pt idx="845">
                  <c:v>43827</c:v>
                </c:pt>
                <c:pt idx="846">
                  <c:v>43828</c:v>
                </c:pt>
                <c:pt idx="847">
                  <c:v>43829</c:v>
                </c:pt>
                <c:pt idx="848">
                  <c:v>43830</c:v>
                </c:pt>
                <c:pt idx="849">
                  <c:v>43831</c:v>
                </c:pt>
                <c:pt idx="850">
                  <c:v>43832</c:v>
                </c:pt>
                <c:pt idx="851">
                  <c:v>43833</c:v>
                </c:pt>
                <c:pt idx="852">
                  <c:v>43834</c:v>
                </c:pt>
                <c:pt idx="853">
                  <c:v>43835</c:v>
                </c:pt>
                <c:pt idx="854">
                  <c:v>43836</c:v>
                </c:pt>
                <c:pt idx="855">
                  <c:v>43837</c:v>
                </c:pt>
                <c:pt idx="856">
                  <c:v>43838</c:v>
                </c:pt>
                <c:pt idx="857">
                  <c:v>43839</c:v>
                </c:pt>
                <c:pt idx="858">
                  <c:v>43840</c:v>
                </c:pt>
                <c:pt idx="859">
                  <c:v>43841</c:v>
                </c:pt>
                <c:pt idx="860">
                  <c:v>43842</c:v>
                </c:pt>
                <c:pt idx="861">
                  <c:v>43843</c:v>
                </c:pt>
                <c:pt idx="862">
                  <c:v>43844</c:v>
                </c:pt>
                <c:pt idx="863">
                  <c:v>43845</c:v>
                </c:pt>
                <c:pt idx="864">
                  <c:v>43846</c:v>
                </c:pt>
                <c:pt idx="865">
                  <c:v>43847</c:v>
                </c:pt>
                <c:pt idx="866">
                  <c:v>43848</c:v>
                </c:pt>
                <c:pt idx="867">
                  <c:v>43849</c:v>
                </c:pt>
                <c:pt idx="868">
                  <c:v>43850</c:v>
                </c:pt>
                <c:pt idx="869">
                  <c:v>43851</c:v>
                </c:pt>
                <c:pt idx="870">
                  <c:v>43852</c:v>
                </c:pt>
                <c:pt idx="871">
                  <c:v>43853</c:v>
                </c:pt>
                <c:pt idx="872">
                  <c:v>43854</c:v>
                </c:pt>
                <c:pt idx="873">
                  <c:v>43855</c:v>
                </c:pt>
                <c:pt idx="874">
                  <c:v>43856</c:v>
                </c:pt>
                <c:pt idx="875">
                  <c:v>43857</c:v>
                </c:pt>
                <c:pt idx="876">
                  <c:v>43858</c:v>
                </c:pt>
                <c:pt idx="877">
                  <c:v>43859</c:v>
                </c:pt>
                <c:pt idx="878">
                  <c:v>43860</c:v>
                </c:pt>
                <c:pt idx="879">
                  <c:v>43861</c:v>
                </c:pt>
                <c:pt idx="880">
                  <c:v>43862</c:v>
                </c:pt>
                <c:pt idx="881">
                  <c:v>43863</c:v>
                </c:pt>
                <c:pt idx="882">
                  <c:v>43864</c:v>
                </c:pt>
                <c:pt idx="883">
                  <c:v>43865</c:v>
                </c:pt>
                <c:pt idx="884">
                  <c:v>43866</c:v>
                </c:pt>
                <c:pt idx="885">
                  <c:v>43867</c:v>
                </c:pt>
                <c:pt idx="886">
                  <c:v>43868</c:v>
                </c:pt>
                <c:pt idx="887">
                  <c:v>43869</c:v>
                </c:pt>
                <c:pt idx="888">
                  <c:v>43870</c:v>
                </c:pt>
                <c:pt idx="889">
                  <c:v>43871</c:v>
                </c:pt>
                <c:pt idx="890">
                  <c:v>43872</c:v>
                </c:pt>
                <c:pt idx="891">
                  <c:v>43873</c:v>
                </c:pt>
                <c:pt idx="892">
                  <c:v>43874</c:v>
                </c:pt>
                <c:pt idx="893">
                  <c:v>43875</c:v>
                </c:pt>
                <c:pt idx="894">
                  <c:v>43876</c:v>
                </c:pt>
                <c:pt idx="895">
                  <c:v>43877</c:v>
                </c:pt>
                <c:pt idx="896">
                  <c:v>43878</c:v>
                </c:pt>
                <c:pt idx="897">
                  <c:v>43879</c:v>
                </c:pt>
                <c:pt idx="898">
                  <c:v>43880</c:v>
                </c:pt>
                <c:pt idx="899">
                  <c:v>43881</c:v>
                </c:pt>
                <c:pt idx="900">
                  <c:v>43882</c:v>
                </c:pt>
                <c:pt idx="901">
                  <c:v>43883</c:v>
                </c:pt>
                <c:pt idx="902">
                  <c:v>43884</c:v>
                </c:pt>
                <c:pt idx="903">
                  <c:v>43885</c:v>
                </c:pt>
                <c:pt idx="904">
                  <c:v>43886</c:v>
                </c:pt>
                <c:pt idx="905">
                  <c:v>43887</c:v>
                </c:pt>
                <c:pt idx="906">
                  <c:v>43888</c:v>
                </c:pt>
                <c:pt idx="907">
                  <c:v>43889</c:v>
                </c:pt>
                <c:pt idx="908">
                  <c:v>43890</c:v>
                </c:pt>
                <c:pt idx="909">
                  <c:v>43891</c:v>
                </c:pt>
                <c:pt idx="910">
                  <c:v>43892</c:v>
                </c:pt>
                <c:pt idx="911">
                  <c:v>43893</c:v>
                </c:pt>
                <c:pt idx="912">
                  <c:v>43894</c:v>
                </c:pt>
                <c:pt idx="913">
                  <c:v>43895</c:v>
                </c:pt>
                <c:pt idx="914">
                  <c:v>43896</c:v>
                </c:pt>
                <c:pt idx="915">
                  <c:v>43897</c:v>
                </c:pt>
                <c:pt idx="916">
                  <c:v>43898</c:v>
                </c:pt>
                <c:pt idx="917">
                  <c:v>43899</c:v>
                </c:pt>
                <c:pt idx="918">
                  <c:v>43900</c:v>
                </c:pt>
                <c:pt idx="919">
                  <c:v>43901</c:v>
                </c:pt>
                <c:pt idx="920">
                  <c:v>43902</c:v>
                </c:pt>
                <c:pt idx="921">
                  <c:v>43903</c:v>
                </c:pt>
                <c:pt idx="922">
                  <c:v>43904</c:v>
                </c:pt>
                <c:pt idx="923">
                  <c:v>43905</c:v>
                </c:pt>
                <c:pt idx="924">
                  <c:v>43906</c:v>
                </c:pt>
                <c:pt idx="925">
                  <c:v>43907</c:v>
                </c:pt>
                <c:pt idx="926">
                  <c:v>43908</c:v>
                </c:pt>
                <c:pt idx="927">
                  <c:v>43909</c:v>
                </c:pt>
                <c:pt idx="928">
                  <c:v>43910</c:v>
                </c:pt>
                <c:pt idx="929">
                  <c:v>43911</c:v>
                </c:pt>
                <c:pt idx="930">
                  <c:v>43912</c:v>
                </c:pt>
                <c:pt idx="931">
                  <c:v>43913</c:v>
                </c:pt>
                <c:pt idx="932">
                  <c:v>43914</c:v>
                </c:pt>
                <c:pt idx="933">
                  <c:v>43915</c:v>
                </c:pt>
                <c:pt idx="934">
                  <c:v>43916</c:v>
                </c:pt>
                <c:pt idx="935">
                  <c:v>43917</c:v>
                </c:pt>
                <c:pt idx="936">
                  <c:v>43918</c:v>
                </c:pt>
                <c:pt idx="937">
                  <c:v>43919</c:v>
                </c:pt>
                <c:pt idx="938">
                  <c:v>43920</c:v>
                </c:pt>
                <c:pt idx="939">
                  <c:v>43921</c:v>
                </c:pt>
                <c:pt idx="940">
                  <c:v>43922</c:v>
                </c:pt>
                <c:pt idx="941">
                  <c:v>43923</c:v>
                </c:pt>
                <c:pt idx="942">
                  <c:v>43924</c:v>
                </c:pt>
                <c:pt idx="943">
                  <c:v>43925</c:v>
                </c:pt>
                <c:pt idx="944">
                  <c:v>43926</c:v>
                </c:pt>
                <c:pt idx="945">
                  <c:v>43927</c:v>
                </c:pt>
                <c:pt idx="946">
                  <c:v>43928</c:v>
                </c:pt>
                <c:pt idx="947">
                  <c:v>43929</c:v>
                </c:pt>
                <c:pt idx="948">
                  <c:v>43930</c:v>
                </c:pt>
                <c:pt idx="949">
                  <c:v>43931</c:v>
                </c:pt>
                <c:pt idx="950">
                  <c:v>43932</c:v>
                </c:pt>
                <c:pt idx="951">
                  <c:v>43933</c:v>
                </c:pt>
                <c:pt idx="952">
                  <c:v>43934</c:v>
                </c:pt>
                <c:pt idx="953">
                  <c:v>43935</c:v>
                </c:pt>
                <c:pt idx="954">
                  <c:v>43936</c:v>
                </c:pt>
                <c:pt idx="955">
                  <c:v>43937</c:v>
                </c:pt>
                <c:pt idx="956">
                  <c:v>43938</c:v>
                </c:pt>
                <c:pt idx="957">
                  <c:v>43939</c:v>
                </c:pt>
                <c:pt idx="958">
                  <c:v>43940</c:v>
                </c:pt>
                <c:pt idx="959">
                  <c:v>43941</c:v>
                </c:pt>
                <c:pt idx="960">
                  <c:v>43942</c:v>
                </c:pt>
                <c:pt idx="961">
                  <c:v>43943</c:v>
                </c:pt>
                <c:pt idx="962">
                  <c:v>43944</c:v>
                </c:pt>
                <c:pt idx="963">
                  <c:v>43945</c:v>
                </c:pt>
                <c:pt idx="964">
                  <c:v>43946</c:v>
                </c:pt>
                <c:pt idx="965">
                  <c:v>43947</c:v>
                </c:pt>
                <c:pt idx="966">
                  <c:v>43948</c:v>
                </c:pt>
                <c:pt idx="967">
                  <c:v>43949</c:v>
                </c:pt>
                <c:pt idx="968">
                  <c:v>43950</c:v>
                </c:pt>
                <c:pt idx="969">
                  <c:v>43951</c:v>
                </c:pt>
                <c:pt idx="970">
                  <c:v>43952</c:v>
                </c:pt>
                <c:pt idx="971">
                  <c:v>43953</c:v>
                </c:pt>
                <c:pt idx="972">
                  <c:v>43954</c:v>
                </c:pt>
                <c:pt idx="973">
                  <c:v>43955</c:v>
                </c:pt>
                <c:pt idx="974">
                  <c:v>43956</c:v>
                </c:pt>
                <c:pt idx="975">
                  <c:v>43957</c:v>
                </c:pt>
                <c:pt idx="976">
                  <c:v>43958</c:v>
                </c:pt>
                <c:pt idx="977">
                  <c:v>43959</c:v>
                </c:pt>
                <c:pt idx="978">
                  <c:v>43960</c:v>
                </c:pt>
                <c:pt idx="979">
                  <c:v>43961</c:v>
                </c:pt>
                <c:pt idx="980">
                  <c:v>43962</c:v>
                </c:pt>
                <c:pt idx="981">
                  <c:v>43963</c:v>
                </c:pt>
                <c:pt idx="982">
                  <c:v>43964</c:v>
                </c:pt>
                <c:pt idx="983">
                  <c:v>43965</c:v>
                </c:pt>
                <c:pt idx="984">
                  <c:v>43966</c:v>
                </c:pt>
                <c:pt idx="985">
                  <c:v>43967</c:v>
                </c:pt>
                <c:pt idx="986">
                  <c:v>43968</c:v>
                </c:pt>
                <c:pt idx="987">
                  <c:v>43969</c:v>
                </c:pt>
                <c:pt idx="988">
                  <c:v>43970</c:v>
                </c:pt>
                <c:pt idx="989">
                  <c:v>43971</c:v>
                </c:pt>
                <c:pt idx="990">
                  <c:v>43972</c:v>
                </c:pt>
                <c:pt idx="991">
                  <c:v>43973</c:v>
                </c:pt>
                <c:pt idx="992">
                  <c:v>43974</c:v>
                </c:pt>
                <c:pt idx="993">
                  <c:v>43975</c:v>
                </c:pt>
                <c:pt idx="994">
                  <c:v>43976</c:v>
                </c:pt>
                <c:pt idx="995">
                  <c:v>43977</c:v>
                </c:pt>
                <c:pt idx="996">
                  <c:v>43978</c:v>
                </c:pt>
                <c:pt idx="997">
                  <c:v>43979</c:v>
                </c:pt>
              </c:numCache>
            </c:numRef>
          </c:cat>
          <c:val>
            <c:numRef>
              <c:f>'Données TMIB'!$G$2:$G$1001</c:f>
              <c:numCache>
                <c:formatCode>0.000%</c:formatCode>
                <c:ptCount val="1000"/>
                <c:pt idx="0">
                  <c:v>2.2790000000000001E-2</c:v>
                </c:pt>
                <c:pt idx="1">
                  <c:v>2.2790000000000001E-2</c:v>
                </c:pt>
                <c:pt idx="2">
                  <c:v>2.2919999999999999E-2</c:v>
                </c:pt>
                <c:pt idx="3">
                  <c:v>2.3259999999999999E-2</c:v>
                </c:pt>
                <c:pt idx="4">
                  <c:v>2.325E-2</c:v>
                </c:pt>
                <c:pt idx="5">
                  <c:v>2.2769999999999999E-2</c:v>
                </c:pt>
                <c:pt idx="6">
                  <c:v>2.3E-2</c:v>
                </c:pt>
                <c:pt idx="7">
                  <c:v>2.3E-2</c:v>
                </c:pt>
                <c:pt idx="8">
                  <c:v>2.3E-2</c:v>
                </c:pt>
                <c:pt idx="9">
                  <c:v>2.3449999999999999E-2</c:v>
                </c:pt>
                <c:pt idx="10">
                  <c:v>2.3599999999999999E-2</c:v>
                </c:pt>
                <c:pt idx="11">
                  <c:v>2.3429999999999999E-2</c:v>
                </c:pt>
                <c:pt idx="12">
                  <c:v>2.2790000000000001E-2</c:v>
                </c:pt>
                <c:pt idx="13">
                  <c:v>2.2700000000000001E-2</c:v>
                </c:pt>
                <c:pt idx="14">
                  <c:v>2.2700000000000001E-2</c:v>
                </c:pt>
                <c:pt idx="15">
                  <c:v>2.2700000000000001E-2</c:v>
                </c:pt>
                <c:pt idx="16">
                  <c:v>2.2620000000000001E-2</c:v>
                </c:pt>
                <c:pt idx="17">
                  <c:v>2.2530000000000001E-2</c:v>
                </c:pt>
                <c:pt idx="18">
                  <c:v>2.2550000000000001E-2</c:v>
                </c:pt>
                <c:pt idx="19">
                  <c:v>2.2859999999999998E-2</c:v>
                </c:pt>
                <c:pt idx="20">
                  <c:v>2.2859999999999998E-2</c:v>
                </c:pt>
                <c:pt idx="21">
                  <c:v>2.2859999999999998E-2</c:v>
                </c:pt>
                <c:pt idx="22">
                  <c:v>2.2859999999999998E-2</c:v>
                </c:pt>
                <c:pt idx="23">
                  <c:v>2.2769999999999999E-2</c:v>
                </c:pt>
                <c:pt idx="24">
                  <c:v>2.273E-2</c:v>
                </c:pt>
                <c:pt idx="25">
                  <c:v>2.2790000000000001E-2</c:v>
                </c:pt>
                <c:pt idx="26">
                  <c:v>2.2620000000000001E-2</c:v>
                </c:pt>
                <c:pt idx="27">
                  <c:v>2.2610000000000002E-2</c:v>
                </c:pt>
                <c:pt idx="28">
                  <c:v>2.2610000000000002E-2</c:v>
                </c:pt>
                <c:pt idx="29">
                  <c:v>2.2610000000000002E-2</c:v>
                </c:pt>
                <c:pt idx="30">
                  <c:v>2.2599999999999999E-2</c:v>
                </c:pt>
                <c:pt idx="31">
                  <c:v>2.256E-2</c:v>
                </c:pt>
                <c:pt idx="32">
                  <c:v>2.256E-2</c:v>
                </c:pt>
                <c:pt idx="33">
                  <c:v>2.2530000000000001E-2</c:v>
                </c:pt>
                <c:pt idx="34">
                  <c:v>2.273E-2</c:v>
                </c:pt>
                <c:pt idx="35">
                  <c:v>2.273E-2</c:v>
                </c:pt>
                <c:pt idx="36">
                  <c:v>2.273E-2</c:v>
                </c:pt>
                <c:pt idx="37">
                  <c:v>2.256E-2</c:v>
                </c:pt>
                <c:pt idx="38">
                  <c:v>2.2620000000000001E-2</c:v>
                </c:pt>
                <c:pt idx="39">
                  <c:v>2.2540000000000001E-2</c:v>
                </c:pt>
                <c:pt idx="40">
                  <c:v>2.256E-2</c:v>
                </c:pt>
                <c:pt idx="41">
                  <c:v>2.2630000000000001E-2</c:v>
                </c:pt>
                <c:pt idx="42">
                  <c:v>2.2630000000000001E-2</c:v>
                </c:pt>
                <c:pt idx="43">
                  <c:v>2.2630000000000001E-2</c:v>
                </c:pt>
                <c:pt idx="44">
                  <c:v>2.2579999999999999E-2</c:v>
                </c:pt>
                <c:pt idx="45">
                  <c:v>2.2499999999999999E-2</c:v>
                </c:pt>
                <c:pt idx="46">
                  <c:v>2.2499999999999999E-2</c:v>
                </c:pt>
                <c:pt idx="47">
                  <c:v>2.2509999999999999E-2</c:v>
                </c:pt>
                <c:pt idx="48">
                  <c:v>2.2509999999999999E-2</c:v>
                </c:pt>
                <c:pt idx="49">
                  <c:v>2.2509999999999999E-2</c:v>
                </c:pt>
                <c:pt idx="50">
                  <c:v>2.2509999999999999E-2</c:v>
                </c:pt>
                <c:pt idx="51">
                  <c:v>2.2749999999999999E-2</c:v>
                </c:pt>
                <c:pt idx="52">
                  <c:v>2.2720000000000001E-2</c:v>
                </c:pt>
                <c:pt idx="53">
                  <c:v>2.2890000000000001E-2</c:v>
                </c:pt>
                <c:pt idx="54">
                  <c:v>2.282E-2</c:v>
                </c:pt>
                <c:pt idx="55">
                  <c:v>2.2870000000000001E-2</c:v>
                </c:pt>
                <c:pt idx="56">
                  <c:v>2.2870000000000001E-2</c:v>
                </c:pt>
                <c:pt idx="57">
                  <c:v>2.2870000000000001E-2</c:v>
                </c:pt>
                <c:pt idx="58">
                  <c:v>2.2970000000000001E-2</c:v>
                </c:pt>
                <c:pt idx="59">
                  <c:v>2.282E-2</c:v>
                </c:pt>
                <c:pt idx="60">
                  <c:v>2.3050000000000001E-2</c:v>
                </c:pt>
                <c:pt idx="61">
                  <c:v>2.3040000000000001E-2</c:v>
                </c:pt>
                <c:pt idx="62">
                  <c:v>2.3349999999999999E-2</c:v>
                </c:pt>
                <c:pt idx="63">
                  <c:v>2.3349999999999999E-2</c:v>
                </c:pt>
                <c:pt idx="64">
                  <c:v>2.3349999999999999E-2</c:v>
                </c:pt>
                <c:pt idx="65">
                  <c:v>2.3349999999999999E-2</c:v>
                </c:pt>
                <c:pt idx="66">
                  <c:v>2.2849999999999999E-2</c:v>
                </c:pt>
                <c:pt idx="67">
                  <c:v>2.2870000000000001E-2</c:v>
                </c:pt>
                <c:pt idx="68">
                  <c:v>2.273E-2</c:v>
                </c:pt>
                <c:pt idx="69">
                  <c:v>2.2669999999999999E-2</c:v>
                </c:pt>
                <c:pt idx="70">
                  <c:v>2.2669999999999999E-2</c:v>
                </c:pt>
                <c:pt idx="71">
                  <c:v>2.2669999999999999E-2</c:v>
                </c:pt>
                <c:pt idx="72">
                  <c:v>2.2499999999999999E-2</c:v>
                </c:pt>
                <c:pt idx="73">
                  <c:v>2.2499999999999999E-2</c:v>
                </c:pt>
                <c:pt idx="74">
                  <c:v>2.2530000000000001E-2</c:v>
                </c:pt>
                <c:pt idx="75">
                  <c:v>2.2509999999999999E-2</c:v>
                </c:pt>
                <c:pt idx="76">
                  <c:v>2.2610000000000002E-2</c:v>
                </c:pt>
                <c:pt idx="77">
                  <c:v>2.2610000000000002E-2</c:v>
                </c:pt>
                <c:pt idx="78">
                  <c:v>2.2610000000000002E-2</c:v>
                </c:pt>
                <c:pt idx="79">
                  <c:v>2.2499999999999999E-2</c:v>
                </c:pt>
                <c:pt idx="80">
                  <c:v>2.2499999999999999E-2</c:v>
                </c:pt>
                <c:pt idx="81">
                  <c:v>2.2499999999999999E-2</c:v>
                </c:pt>
                <c:pt idx="82">
                  <c:v>2.256E-2</c:v>
                </c:pt>
                <c:pt idx="83">
                  <c:v>2.2630000000000001E-2</c:v>
                </c:pt>
                <c:pt idx="84">
                  <c:v>2.2630000000000001E-2</c:v>
                </c:pt>
                <c:pt idx="85">
                  <c:v>2.2630000000000001E-2</c:v>
                </c:pt>
                <c:pt idx="86">
                  <c:v>2.2589999999999999E-2</c:v>
                </c:pt>
                <c:pt idx="87">
                  <c:v>2.2589999999999999E-2</c:v>
                </c:pt>
                <c:pt idx="88">
                  <c:v>2.2630000000000001E-2</c:v>
                </c:pt>
                <c:pt idx="89">
                  <c:v>2.3060000000000001E-2</c:v>
                </c:pt>
                <c:pt idx="90">
                  <c:v>2.3060000000000001E-2</c:v>
                </c:pt>
                <c:pt idx="91">
                  <c:v>2.3060000000000001E-2</c:v>
                </c:pt>
                <c:pt idx="92">
                  <c:v>2.3060000000000001E-2</c:v>
                </c:pt>
                <c:pt idx="93">
                  <c:v>2.2929999999999999E-2</c:v>
                </c:pt>
                <c:pt idx="94">
                  <c:v>2.2540000000000001E-2</c:v>
                </c:pt>
                <c:pt idx="95">
                  <c:v>2.2530000000000001E-2</c:v>
                </c:pt>
                <c:pt idx="96">
                  <c:v>2.2800000000000001E-2</c:v>
                </c:pt>
                <c:pt idx="97">
                  <c:v>2.2939999999999999E-2</c:v>
                </c:pt>
                <c:pt idx="98">
                  <c:v>2.2939999999999999E-2</c:v>
                </c:pt>
                <c:pt idx="99">
                  <c:v>2.2939999999999999E-2</c:v>
                </c:pt>
                <c:pt idx="100">
                  <c:v>2.298E-2</c:v>
                </c:pt>
                <c:pt idx="101">
                  <c:v>2.29E-2</c:v>
                </c:pt>
                <c:pt idx="102">
                  <c:v>2.3220000000000001E-2</c:v>
                </c:pt>
                <c:pt idx="103">
                  <c:v>2.3009999999999999E-2</c:v>
                </c:pt>
                <c:pt idx="104">
                  <c:v>2.2790000000000001E-2</c:v>
                </c:pt>
                <c:pt idx="105">
                  <c:v>2.2790000000000001E-2</c:v>
                </c:pt>
                <c:pt idx="106">
                  <c:v>2.2790000000000001E-2</c:v>
                </c:pt>
                <c:pt idx="107">
                  <c:v>2.2599999999999999E-2</c:v>
                </c:pt>
                <c:pt idx="108">
                  <c:v>2.2499999999999999E-2</c:v>
                </c:pt>
                <c:pt idx="109">
                  <c:v>2.2499999999999999E-2</c:v>
                </c:pt>
                <c:pt idx="110">
                  <c:v>2.2499999999999999E-2</c:v>
                </c:pt>
                <c:pt idx="111">
                  <c:v>2.266E-2</c:v>
                </c:pt>
                <c:pt idx="112">
                  <c:v>2.266E-2</c:v>
                </c:pt>
                <c:pt idx="113">
                  <c:v>2.266E-2</c:v>
                </c:pt>
                <c:pt idx="114">
                  <c:v>2.2499999999999999E-2</c:v>
                </c:pt>
                <c:pt idx="115">
                  <c:v>2.2610000000000002E-2</c:v>
                </c:pt>
                <c:pt idx="116">
                  <c:v>2.2919999999999999E-2</c:v>
                </c:pt>
                <c:pt idx="117">
                  <c:v>2.2929999999999999E-2</c:v>
                </c:pt>
                <c:pt idx="118">
                  <c:v>2.315E-2</c:v>
                </c:pt>
                <c:pt idx="119">
                  <c:v>2.315E-2</c:v>
                </c:pt>
                <c:pt idx="120">
                  <c:v>2.315E-2</c:v>
                </c:pt>
                <c:pt idx="121">
                  <c:v>2.315E-2</c:v>
                </c:pt>
                <c:pt idx="122">
                  <c:v>2.281E-2</c:v>
                </c:pt>
                <c:pt idx="123">
                  <c:v>2.264E-2</c:v>
                </c:pt>
                <c:pt idx="124">
                  <c:v>2.2720000000000001E-2</c:v>
                </c:pt>
                <c:pt idx="125">
                  <c:v>2.2749999999999999E-2</c:v>
                </c:pt>
                <c:pt idx="126">
                  <c:v>2.2749999999999999E-2</c:v>
                </c:pt>
                <c:pt idx="127">
                  <c:v>2.2749999999999999E-2</c:v>
                </c:pt>
                <c:pt idx="128">
                  <c:v>2.273E-2</c:v>
                </c:pt>
                <c:pt idx="129">
                  <c:v>2.273E-2</c:v>
                </c:pt>
                <c:pt idx="130">
                  <c:v>2.2519999999999998E-2</c:v>
                </c:pt>
                <c:pt idx="131">
                  <c:v>2.2519999999999998E-2</c:v>
                </c:pt>
                <c:pt idx="132">
                  <c:v>2.2530000000000001E-2</c:v>
                </c:pt>
                <c:pt idx="133">
                  <c:v>2.2530000000000001E-2</c:v>
                </c:pt>
                <c:pt idx="134">
                  <c:v>2.2530000000000001E-2</c:v>
                </c:pt>
                <c:pt idx="135">
                  <c:v>2.2610000000000002E-2</c:v>
                </c:pt>
                <c:pt idx="136">
                  <c:v>2.2530000000000001E-2</c:v>
                </c:pt>
                <c:pt idx="137">
                  <c:v>2.2589999999999999E-2</c:v>
                </c:pt>
                <c:pt idx="138">
                  <c:v>2.2599999999999999E-2</c:v>
                </c:pt>
                <c:pt idx="139">
                  <c:v>2.2550000000000001E-2</c:v>
                </c:pt>
                <c:pt idx="140">
                  <c:v>2.2550000000000001E-2</c:v>
                </c:pt>
                <c:pt idx="141">
                  <c:v>2.2550000000000001E-2</c:v>
                </c:pt>
                <c:pt idx="142">
                  <c:v>2.2499999999999999E-2</c:v>
                </c:pt>
                <c:pt idx="143">
                  <c:v>2.2499999999999999E-2</c:v>
                </c:pt>
                <c:pt idx="144">
                  <c:v>2.2499999999999999E-2</c:v>
                </c:pt>
                <c:pt idx="145">
                  <c:v>2.2499999999999999E-2</c:v>
                </c:pt>
                <c:pt idx="146">
                  <c:v>2.2540000000000001E-2</c:v>
                </c:pt>
                <c:pt idx="147">
                  <c:v>2.2540000000000001E-2</c:v>
                </c:pt>
                <c:pt idx="148">
                  <c:v>2.2540000000000001E-2</c:v>
                </c:pt>
                <c:pt idx="149">
                  <c:v>2.2519999999999998E-2</c:v>
                </c:pt>
                <c:pt idx="150">
                  <c:v>2.2540000000000001E-2</c:v>
                </c:pt>
                <c:pt idx="151">
                  <c:v>2.2540000000000001E-2</c:v>
                </c:pt>
                <c:pt idx="152">
                  <c:v>2.2499999999999999E-2</c:v>
                </c:pt>
                <c:pt idx="153">
                  <c:v>2.2499999999999999E-2</c:v>
                </c:pt>
                <c:pt idx="154">
                  <c:v>2.2499999999999999E-2</c:v>
                </c:pt>
                <c:pt idx="155">
                  <c:v>2.2499999999999999E-2</c:v>
                </c:pt>
                <c:pt idx="156">
                  <c:v>2.2499999999999999E-2</c:v>
                </c:pt>
                <c:pt idx="157">
                  <c:v>2.2499999999999999E-2</c:v>
                </c:pt>
                <c:pt idx="158">
                  <c:v>2.2499999999999999E-2</c:v>
                </c:pt>
                <c:pt idx="159">
                  <c:v>2.2499999999999999E-2</c:v>
                </c:pt>
                <c:pt idx="160">
                  <c:v>2.2540000000000001E-2</c:v>
                </c:pt>
                <c:pt idx="161">
                  <c:v>2.2540000000000001E-2</c:v>
                </c:pt>
                <c:pt idx="162">
                  <c:v>2.2540000000000001E-2</c:v>
                </c:pt>
                <c:pt idx="163">
                  <c:v>2.2589999999999999E-2</c:v>
                </c:pt>
                <c:pt idx="164">
                  <c:v>2.2499999999999999E-2</c:v>
                </c:pt>
                <c:pt idx="165">
                  <c:v>2.2599999999999999E-2</c:v>
                </c:pt>
                <c:pt idx="166">
                  <c:v>2.2499999999999999E-2</c:v>
                </c:pt>
                <c:pt idx="167">
                  <c:v>2.257E-2</c:v>
                </c:pt>
                <c:pt idx="168">
                  <c:v>2.257E-2</c:v>
                </c:pt>
                <c:pt idx="169">
                  <c:v>2.257E-2</c:v>
                </c:pt>
                <c:pt idx="170">
                  <c:v>2.2540000000000001E-2</c:v>
                </c:pt>
                <c:pt idx="171">
                  <c:v>2.2499999999999999E-2</c:v>
                </c:pt>
                <c:pt idx="172">
                  <c:v>2.2499999999999999E-2</c:v>
                </c:pt>
                <c:pt idx="173">
                  <c:v>2.2499999999999999E-2</c:v>
                </c:pt>
                <c:pt idx="174">
                  <c:v>2.2499999999999999E-2</c:v>
                </c:pt>
                <c:pt idx="175">
                  <c:v>2.2499999999999999E-2</c:v>
                </c:pt>
                <c:pt idx="176">
                  <c:v>2.2499999999999999E-2</c:v>
                </c:pt>
                <c:pt idx="177">
                  <c:v>2.2499999999999999E-2</c:v>
                </c:pt>
                <c:pt idx="178">
                  <c:v>2.2499999999999999E-2</c:v>
                </c:pt>
                <c:pt idx="179">
                  <c:v>2.2550000000000001E-2</c:v>
                </c:pt>
                <c:pt idx="180">
                  <c:v>2.2550000000000001E-2</c:v>
                </c:pt>
                <c:pt idx="181">
                  <c:v>2.2499999999999999E-2</c:v>
                </c:pt>
                <c:pt idx="182">
                  <c:v>2.2499999999999999E-2</c:v>
                </c:pt>
                <c:pt idx="183">
                  <c:v>2.2499999999999999E-2</c:v>
                </c:pt>
                <c:pt idx="184">
                  <c:v>2.2499999999999999E-2</c:v>
                </c:pt>
                <c:pt idx="185">
                  <c:v>2.2679999999999999E-2</c:v>
                </c:pt>
                <c:pt idx="186">
                  <c:v>2.2710000000000001E-2</c:v>
                </c:pt>
                <c:pt idx="187">
                  <c:v>2.274E-2</c:v>
                </c:pt>
                <c:pt idx="188">
                  <c:v>2.2749999999999999E-2</c:v>
                </c:pt>
                <c:pt idx="189">
                  <c:v>2.2749999999999999E-2</c:v>
                </c:pt>
                <c:pt idx="190">
                  <c:v>2.2749999999999999E-2</c:v>
                </c:pt>
                <c:pt idx="191">
                  <c:v>2.2700000000000001E-2</c:v>
                </c:pt>
                <c:pt idx="192">
                  <c:v>2.2710000000000001E-2</c:v>
                </c:pt>
                <c:pt idx="193">
                  <c:v>2.2710000000000001E-2</c:v>
                </c:pt>
                <c:pt idx="194">
                  <c:v>2.2790000000000001E-2</c:v>
                </c:pt>
                <c:pt idx="195">
                  <c:v>2.2710000000000001E-2</c:v>
                </c:pt>
                <c:pt idx="196">
                  <c:v>2.2710000000000001E-2</c:v>
                </c:pt>
                <c:pt idx="197">
                  <c:v>2.2710000000000001E-2</c:v>
                </c:pt>
                <c:pt idx="198">
                  <c:v>2.2550000000000001E-2</c:v>
                </c:pt>
                <c:pt idx="199">
                  <c:v>2.2519999999999998E-2</c:v>
                </c:pt>
                <c:pt idx="200">
                  <c:v>2.2499999999999999E-2</c:v>
                </c:pt>
                <c:pt idx="201">
                  <c:v>2.2499999999999999E-2</c:v>
                </c:pt>
                <c:pt idx="202">
                  <c:v>2.257E-2</c:v>
                </c:pt>
                <c:pt idx="203">
                  <c:v>2.257E-2</c:v>
                </c:pt>
                <c:pt idx="204">
                  <c:v>2.257E-2</c:v>
                </c:pt>
                <c:pt idx="205">
                  <c:v>2.2759999999999999E-2</c:v>
                </c:pt>
                <c:pt idx="206">
                  <c:v>2.273E-2</c:v>
                </c:pt>
                <c:pt idx="207">
                  <c:v>2.273E-2</c:v>
                </c:pt>
                <c:pt idx="208">
                  <c:v>2.283E-2</c:v>
                </c:pt>
                <c:pt idx="209">
                  <c:v>2.3230000000000001E-2</c:v>
                </c:pt>
                <c:pt idx="210">
                  <c:v>2.3230000000000001E-2</c:v>
                </c:pt>
                <c:pt idx="211">
                  <c:v>2.3230000000000001E-2</c:v>
                </c:pt>
                <c:pt idx="212">
                  <c:v>2.291E-2</c:v>
                </c:pt>
                <c:pt idx="213">
                  <c:v>2.299E-2</c:v>
                </c:pt>
                <c:pt idx="214">
                  <c:v>2.29E-2</c:v>
                </c:pt>
                <c:pt idx="215">
                  <c:v>2.3019999999999999E-2</c:v>
                </c:pt>
                <c:pt idx="216">
                  <c:v>2.2589999999999999E-2</c:v>
                </c:pt>
                <c:pt idx="217">
                  <c:v>2.2589999999999999E-2</c:v>
                </c:pt>
                <c:pt idx="218">
                  <c:v>2.2589999999999999E-2</c:v>
                </c:pt>
                <c:pt idx="219">
                  <c:v>2.2519999999999998E-2</c:v>
                </c:pt>
                <c:pt idx="220">
                  <c:v>2.2519999999999998E-2</c:v>
                </c:pt>
                <c:pt idx="221">
                  <c:v>2.2509999999999999E-2</c:v>
                </c:pt>
                <c:pt idx="222">
                  <c:v>2.2499999999999999E-2</c:v>
                </c:pt>
                <c:pt idx="223">
                  <c:v>2.2499999999999999E-2</c:v>
                </c:pt>
                <c:pt idx="224">
                  <c:v>2.2499999999999999E-2</c:v>
                </c:pt>
                <c:pt idx="225">
                  <c:v>2.2499999999999999E-2</c:v>
                </c:pt>
                <c:pt idx="226">
                  <c:v>2.2519999999999998E-2</c:v>
                </c:pt>
                <c:pt idx="227">
                  <c:v>2.2610000000000002E-2</c:v>
                </c:pt>
                <c:pt idx="228">
                  <c:v>2.2679999999999999E-2</c:v>
                </c:pt>
                <c:pt idx="229">
                  <c:v>2.274E-2</c:v>
                </c:pt>
                <c:pt idx="230">
                  <c:v>2.257E-2</c:v>
                </c:pt>
                <c:pt idx="231">
                  <c:v>2.257E-2</c:v>
                </c:pt>
                <c:pt idx="232">
                  <c:v>2.257E-2</c:v>
                </c:pt>
                <c:pt idx="233">
                  <c:v>2.2519999999999998E-2</c:v>
                </c:pt>
                <c:pt idx="234">
                  <c:v>2.2530000000000001E-2</c:v>
                </c:pt>
                <c:pt idx="235">
                  <c:v>2.2530000000000001E-2</c:v>
                </c:pt>
                <c:pt idx="236">
                  <c:v>2.266E-2</c:v>
                </c:pt>
                <c:pt idx="237">
                  <c:v>2.264E-2</c:v>
                </c:pt>
                <c:pt idx="238">
                  <c:v>2.264E-2</c:v>
                </c:pt>
                <c:pt idx="239">
                  <c:v>2.264E-2</c:v>
                </c:pt>
                <c:pt idx="240">
                  <c:v>2.2669999999999999E-2</c:v>
                </c:pt>
                <c:pt idx="241">
                  <c:v>2.2669999999999999E-2</c:v>
                </c:pt>
                <c:pt idx="242">
                  <c:v>2.256E-2</c:v>
                </c:pt>
                <c:pt idx="243">
                  <c:v>2.274E-2</c:v>
                </c:pt>
                <c:pt idx="244">
                  <c:v>2.2960000000000001E-2</c:v>
                </c:pt>
                <c:pt idx="245">
                  <c:v>2.2960000000000001E-2</c:v>
                </c:pt>
                <c:pt idx="246">
                  <c:v>2.2960000000000001E-2</c:v>
                </c:pt>
                <c:pt idx="247">
                  <c:v>2.325E-2</c:v>
                </c:pt>
                <c:pt idx="248">
                  <c:v>2.333E-2</c:v>
                </c:pt>
                <c:pt idx="249">
                  <c:v>2.3400000000000001E-2</c:v>
                </c:pt>
                <c:pt idx="250">
                  <c:v>2.3130000000000001E-2</c:v>
                </c:pt>
                <c:pt idx="251">
                  <c:v>2.3040000000000001E-2</c:v>
                </c:pt>
                <c:pt idx="252">
                  <c:v>2.3040000000000001E-2</c:v>
                </c:pt>
                <c:pt idx="253">
                  <c:v>2.3040000000000001E-2</c:v>
                </c:pt>
                <c:pt idx="254">
                  <c:v>2.29E-2</c:v>
                </c:pt>
                <c:pt idx="255">
                  <c:v>2.2880000000000001E-2</c:v>
                </c:pt>
                <c:pt idx="256">
                  <c:v>2.2790000000000001E-2</c:v>
                </c:pt>
                <c:pt idx="257">
                  <c:v>2.2800000000000001E-2</c:v>
                </c:pt>
                <c:pt idx="258">
                  <c:v>2.2700000000000001E-2</c:v>
                </c:pt>
                <c:pt idx="259">
                  <c:v>2.2700000000000001E-2</c:v>
                </c:pt>
                <c:pt idx="260">
                  <c:v>2.2700000000000001E-2</c:v>
                </c:pt>
                <c:pt idx="261">
                  <c:v>2.257E-2</c:v>
                </c:pt>
                <c:pt idx="262">
                  <c:v>2.2589999999999999E-2</c:v>
                </c:pt>
                <c:pt idx="263">
                  <c:v>2.2579999999999999E-2</c:v>
                </c:pt>
                <c:pt idx="264">
                  <c:v>2.265E-2</c:v>
                </c:pt>
                <c:pt idx="265">
                  <c:v>2.2579999999999999E-2</c:v>
                </c:pt>
                <c:pt idx="266">
                  <c:v>2.2579999999999999E-2</c:v>
                </c:pt>
                <c:pt idx="267">
                  <c:v>2.2579999999999999E-2</c:v>
                </c:pt>
                <c:pt idx="268">
                  <c:v>2.265E-2</c:v>
                </c:pt>
                <c:pt idx="269">
                  <c:v>2.2589999999999999E-2</c:v>
                </c:pt>
                <c:pt idx="270">
                  <c:v>2.265E-2</c:v>
                </c:pt>
                <c:pt idx="271">
                  <c:v>2.2540000000000001E-2</c:v>
                </c:pt>
                <c:pt idx="272">
                  <c:v>2.266E-2</c:v>
                </c:pt>
                <c:pt idx="273">
                  <c:v>2.266E-2</c:v>
                </c:pt>
                <c:pt idx="274">
                  <c:v>2.266E-2</c:v>
                </c:pt>
                <c:pt idx="275">
                  <c:v>2.2689999999999998E-2</c:v>
                </c:pt>
                <c:pt idx="276">
                  <c:v>2.2780000000000002E-2</c:v>
                </c:pt>
                <c:pt idx="277">
                  <c:v>2.273E-2</c:v>
                </c:pt>
                <c:pt idx="278">
                  <c:v>2.2579999999999999E-2</c:v>
                </c:pt>
                <c:pt idx="279">
                  <c:v>2.273E-2</c:v>
                </c:pt>
                <c:pt idx="280">
                  <c:v>2.273E-2</c:v>
                </c:pt>
                <c:pt idx="281">
                  <c:v>2.273E-2</c:v>
                </c:pt>
                <c:pt idx="282">
                  <c:v>2.265E-2</c:v>
                </c:pt>
                <c:pt idx="283">
                  <c:v>2.2700000000000001E-2</c:v>
                </c:pt>
                <c:pt idx="284">
                  <c:v>2.2759999999999999E-2</c:v>
                </c:pt>
                <c:pt idx="285">
                  <c:v>2.3300000000000001E-2</c:v>
                </c:pt>
                <c:pt idx="286">
                  <c:v>2.3300000000000001E-2</c:v>
                </c:pt>
                <c:pt idx="287">
                  <c:v>2.3300000000000001E-2</c:v>
                </c:pt>
                <c:pt idx="288">
                  <c:v>2.3300000000000001E-2</c:v>
                </c:pt>
                <c:pt idx="289">
                  <c:v>2.316E-2</c:v>
                </c:pt>
                <c:pt idx="290">
                  <c:v>2.2610000000000002E-2</c:v>
                </c:pt>
                <c:pt idx="291">
                  <c:v>2.2550000000000001E-2</c:v>
                </c:pt>
                <c:pt idx="292">
                  <c:v>2.2519999999999998E-2</c:v>
                </c:pt>
                <c:pt idx="293">
                  <c:v>2.2519999999999998E-2</c:v>
                </c:pt>
                <c:pt idx="294">
                  <c:v>2.2519999999999998E-2</c:v>
                </c:pt>
                <c:pt idx="295">
                  <c:v>2.2519999999999998E-2</c:v>
                </c:pt>
                <c:pt idx="296">
                  <c:v>2.2509999999999999E-2</c:v>
                </c:pt>
                <c:pt idx="297">
                  <c:v>2.2519999999999998E-2</c:v>
                </c:pt>
                <c:pt idx="298">
                  <c:v>2.2519999999999998E-2</c:v>
                </c:pt>
                <c:pt idx="299">
                  <c:v>2.2849999999999999E-2</c:v>
                </c:pt>
                <c:pt idx="300">
                  <c:v>2.298E-2</c:v>
                </c:pt>
                <c:pt idx="301">
                  <c:v>2.298E-2</c:v>
                </c:pt>
                <c:pt idx="302">
                  <c:v>2.298E-2</c:v>
                </c:pt>
                <c:pt idx="303">
                  <c:v>2.3099999999999999E-2</c:v>
                </c:pt>
                <c:pt idx="304">
                  <c:v>2.2950000000000002E-2</c:v>
                </c:pt>
                <c:pt idx="305">
                  <c:v>2.299E-2</c:v>
                </c:pt>
                <c:pt idx="306">
                  <c:v>2.2960000000000001E-2</c:v>
                </c:pt>
                <c:pt idx="307">
                  <c:v>2.3050000000000001E-2</c:v>
                </c:pt>
                <c:pt idx="308">
                  <c:v>2.3050000000000001E-2</c:v>
                </c:pt>
                <c:pt idx="309">
                  <c:v>2.3050000000000001E-2</c:v>
                </c:pt>
                <c:pt idx="310">
                  <c:v>2.3460000000000002E-2</c:v>
                </c:pt>
                <c:pt idx="311">
                  <c:v>2.35E-2</c:v>
                </c:pt>
                <c:pt idx="312">
                  <c:v>2.3570000000000001E-2</c:v>
                </c:pt>
                <c:pt idx="313">
                  <c:v>2.2689999999999998E-2</c:v>
                </c:pt>
                <c:pt idx="314">
                  <c:v>2.2960000000000001E-2</c:v>
                </c:pt>
                <c:pt idx="315">
                  <c:v>2.2960000000000001E-2</c:v>
                </c:pt>
                <c:pt idx="316">
                  <c:v>2.2960000000000001E-2</c:v>
                </c:pt>
                <c:pt idx="317">
                  <c:v>2.274E-2</c:v>
                </c:pt>
                <c:pt idx="318">
                  <c:v>2.2929999999999999E-2</c:v>
                </c:pt>
                <c:pt idx="319">
                  <c:v>2.2700000000000001E-2</c:v>
                </c:pt>
                <c:pt idx="320">
                  <c:v>2.2769999999999999E-2</c:v>
                </c:pt>
                <c:pt idx="321">
                  <c:v>2.298E-2</c:v>
                </c:pt>
                <c:pt idx="322">
                  <c:v>2.298E-2</c:v>
                </c:pt>
                <c:pt idx="323">
                  <c:v>2.298E-2</c:v>
                </c:pt>
                <c:pt idx="324">
                  <c:v>2.283E-2</c:v>
                </c:pt>
                <c:pt idx="325">
                  <c:v>2.273E-2</c:v>
                </c:pt>
                <c:pt idx="326">
                  <c:v>2.2669999999999999E-2</c:v>
                </c:pt>
                <c:pt idx="327">
                  <c:v>2.2870000000000001E-2</c:v>
                </c:pt>
                <c:pt idx="328">
                  <c:v>2.3300000000000001E-2</c:v>
                </c:pt>
                <c:pt idx="329">
                  <c:v>2.3300000000000001E-2</c:v>
                </c:pt>
                <c:pt idx="330">
                  <c:v>2.3300000000000001E-2</c:v>
                </c:pt>
                <c:pt idx="331">
                  <c:v>2.3300000000000001E-2</c:v>
                </c:pt>
                <c:pt idx="332">
                  <c:v>2.3230000000000001E-2</c:v>
                </c:pt>
                <c:pt idx="333">
                  <c:v>2.3089999999999999E-2</c:v>
                </c:pt>
                <c:pt idx="334">
                  <c:v>2.2759999999999999E-2</c:v>
                </c:pt>
                <c:pt idx="335">
                  <c:v>2.2749999999999999E-2</c:v>
                </c:pt>
                <c:pt idx="336">
                  <c:v>2.2749999999999999E-2</c:v>
                </c:pt>
                <c:pt idx="337">
                  <c:v>2.2749999999999999E-2</c:v>
                </c:pt>
                <c:pt idx="338">
                  <c:v>2.266E-2</c:v>
                </c:pt>
                <c:pt idx="339">
                  <c:v>2.265E-2</c:v>
                </c:pt>
                <c:pt idx="340">
                  <c:v>2.2700000000000001E-2</c:v>
                </c:pt>
                <c:pt idx="341">
                  <c:v>2.2710000000000001E-2</c:v>
                </c:pt>
                <c:pt idx="342">
                  <c:v>2.265E-2</c:v>
                </c:pt>
                <c:pt idx="343">
                  <c:v>2.265E-2</c:v>
                </c:pt>
                <c:pt idx="344">
                  <c:v>2.265E-2</c:v>
                </c:pt>
                <c:pt idx="345">
                  <c:v>2.2790000000000001E-2</c:v>
                </c:pt>
                <c:pt idx="346">
                  <c:v>2.2790000000000001E-2</c:v>
                </c:pt>
                <c:pt idx="347">
                  <c:v>2.3189999999999999E-2</c:v>
                </c:pt>
                <c:pt idx="348">
                  <c:v>2.2970000000000001E-2</c:v>
                </c:pt>
                <c:pt idx="349">
                  <c:v>2.358E-2</c:v>
                </c:pt>
                <c:pt idx="350">
                  <c:v>2.358E-2</c:v>
                </c:pt>
                <c:pt idx="351">
                  <c:v>2.358E-2</c:v>
                </c:pt>
                <c:pt idx="352">
                  <c:v>2.358E-2</c:v>
                </c:pt>
                <c:pt idx="353">
                  <c:v>2.358E-2</c:v>
                </c:pt>
                <c:pt idx="354">
                  <c:v>2.358E-2</c:v>
                </c:pt>
                <c:pt idx="355">
                  <c:v>2.358E-2</c:v>
                </c:pt>
                <c:pt idx="356">
                  <c:v>2.3109999999999999E-2</c:v>
                </c:pt>
                <c:pt idx="357">
                  <c:v>2.3109999999999999E-2</c:v>
                </c:pt>
                <c:pt idx="358">
                  <c:v>2.3109999999999999E-2</c:v>
                </c:pt>
                <c:pt idx="359">
                  <c:v>2.316E-2</c:v>
                </c:pt>
                <c:pt idx="360">
                  <c:v>2.299E-2</c:v>
                </c:pt>
                <c:pt idx="361">
                  <c:v>2.2880000000000001E-2</c:v>
                </c:pt>
                <c:pt idx="362">
                  <c:v>2.2839999999999999E-2</c:v>
                </c:pt>
                <c:pt idx="363">
                  <c:v>2.2939999999999999E-2</c:v>
                </c:pt>
                <c:pt idx="364">
                  <c:v>2.2939999999999999E-2</c:v>
                </c:pt>
                <c:pt idx="365">
                  <c:v>2.2939999999999999E-2</c:v>
                </c:pt>
                <c:pt idx="366">
                  <c:v>2.2689999999999998E-2</c:v>
                </c:pt>
                <c:pt idx="367">
                  <c:v>2.2689999999999998E-2</c:v>
                </c:pt>
                <c:pt idx="368">
                  <c:v>2.256E-2</c:v>
                </c:pt>
                <c:pt idx="369">
                  <c:v>2.2499999999999999E-2</c:v>
                </c:pt>
                <c:pt idx="370">
                  <c:v>2.256E-2</c:v>
                </c:pt>
                <c:pt idx="371">
                  <c:v>2.256E-2</c:v>
                </c:pt>
                <c:pt idx="372">
                  <c:v>2.256E-2</c:v>
                </c:pt>
                <c:pt idx="373">
                  <c:v>2.257E-2</c:v>
                </c:pt>
                <c:pt idx="374">
                  <c:v>2.257E-2</c:v>
                </c:pt>
                <c:pt idx="375">
                  <c:v>2.2579999999999999E-2</c:v>
                </c:pt>
                <c:pt idx="376">
                  <c:v>2.2519999999999998E-2</c:v>
                </c:pt>
                <c:pt idx="377">
                  <c:v>2.257E-2</c:v>
                </c:pt>
                <c:pt idx="378">
                  <c:v>2.257E-2</c:v>
                </c:pt>
                <c:pt idx="379">
                  <c:v>2.257E-2</c:v>
                </c:pt>
                <c:pt idx="380">
                  <c:v>2.2579999999999999E-2</c:v>
                </c:pt>
                <c:pt idx="381">
                  <c:v>2.266E-2</c:v>
                </c:pt>
                <c:pt idx="382">
                  <c:v>2.2509999999999999E-2</c:v>
                </c:pt>
                <c:pt idx="383">
                  <c:v>2.2519999999999998E-2</c:v>
                </c:pt>
                <c:pt idx="384">
                  <c:v>2.2620000000000001E-2</c:v>
                </c:pt>
                <c:pt idx="385">
                  <c:v>2.2620000000000001E-2</c:v>
                </c:pt>
                <c:pt idx="386">
                  <c:v>2.2620000000000001E-2</c:v>
                </c:pt>
                <c:pt idx="387">
                  <c:v>2.2689999999999998E-2</c:v>
                </c:pt>
                <c:pt idx="388">
                  <c:v>2.2620000000000001E-2</c:v>
                </c:pt>
                <c:pt idx="389">
                  <c:v>2.2769999999999999E-2</c:v>
                </c:pt>
                <c:pt idx="390">
                  <c:v>2.2689999999999998E-2</c:v>
                </c:pt>
                <c:pt idx="391">
                  <c:v>2.2970000000000001E-2</c:v>
                </c:pt>
                <c:pt idx="392">
                  <c:v>2.2970000000000001E-2</c:v>
                </c:pt>
                <c:pt idx="393">
                  <c:v>2.2970000000000001E-2</c:v>
                </c:pt>
                <c:pt idx="394">
                  <c:v>2.2620000000000001E-2</c:v>
                </c:pt>
                <c:pt idx="395">
                  <c:v>2.2630000000000001E-2</c:v>
                </c:pt>
                <c:pt idx="396">
                  <c:v>2.2610000000000002E-2</c:v>
                </c:pt>
                <c:pt idx="397">
                  <c:v>2.2589999999999999E-2</c:v>
                </c:pt>
                <c:pt idx="398">
                  <c:v>2.2589999999999999E-2</c:v>
                </c:pt>
                <c:pt idx="399">
                  <c:v>2.2589999999999999E-2</c:v>
                </c:pt>
                <c:pt idx="400">
                  <c:v>2.2589999999999999E-2</c:v>
                </c:pt>
                <c:pt idx="401">
                  <c:v>2.2550000000000001E-2</c:v>
                </c:pt>
                <c:pt idx="402">
                  <c:v>2.2540000000000001E-2</c:v>
                </c:pt>
                <c:pt idx="403">
                  <c:v>2.2589999999999999E-2</c:v>
                </c:pt>
                <c:pt idx="404">
                  <c:v>2.2970000000000001E-2</c:v>
                </c:pt>
                <c:pt idx="405">
                  <c:v>2.3040000000000001E-2</c:v>
                </c:pt>
                <c:pt idx="406">
                  <c:v>2.3040000000000001E-2</c:v>
                </c:pt>
                <c:pt idx="407">
                  <c:v>2.3040000000000001E-2</c:v>
                </c:pt>
                <c:pt idx="408">
                  <c:v>2.3050000000000001E-2</c:v>
                </c:pt>
                <c:pt idx="409">
                  <c:v>2.3019999999999999E-2</c:v>
                </c:pt>
                <c:pt idx="410">
                  <c:v>2.2950000000000002E-2</c:v>
                </c:pt>
                <c:pt idx="411">
                  <c:v>2.2870000000000001E-2</c:v>
                </c:pt>
                <c:pt idx="412">
                  <c:v>2.2749999999999999E-2</c:v>
                </c:pt>
                <c:pt idx="413">
                  <c:v>2.2749999999999999E-2</c:v>
                </c:pt>
                <c:pt idx="414">
                  <c:v>2.2749999999999999E-2</c:v>
                </c:pt>
                <c:pt idx="415">
                  <c:v>2.2540000000000001E-2</c:v>
                </c:pt>
                <c:pt idx="416">
                  <c:v>2.2519999999999998E-2</c:v>
                </c:pt>
                <c:pt idx="417">
                  <c:v>2.2499999999999999E-2</c:v>
                </c:pt>
                <c:pt idx="418">
                  <c:v>2.2610000000000002E-2</c:v>
                </c:pt>
                <c:pt idx="419">
                  <c:v>2.2509999999999999E-2</c:v>
                </c:pt>
                <c:pt idx="420">
                  <c:v>2.2509999999999999E-2</c:v>
                </c:pt>
                <c:pt idx="421">
                  <c:v>2.2509999999999999E-2</c:v>
                </c:pt>
                <c:pt idx="422">
                  <c:v>2.2579999999999999E-2</c:v>
                </c:pt>
                <c:pt idx="423">
                  <c:v>2.3009999999999999E-2</c:v>
                </c:pt>
                <c:pt idx="424">
                  <c:v>2.324E-2</c:v>
                </c:pt>
                <c:pt idx="425">
                  <c:v>2.2849999999999999E-2</c:v>
                </c:pt>
                <c:pt idx="426">
                  <c:v>2.2880000000000001E-2</c:v>
                </c:pt>
                <c:pt idx="427">
                  <c:v>2.2880000000000001E-2</c:v>
                </c:pt>
                <c:pt idx="428">
                  <c:v>2.2880000000000001E-2</c:v>
                </c:pt>
                <c:pt idx="429">
                  <c:v>2.2800000000000001E-2</c:v>
                </c:pt>
                <c:pt idx="430">
                  <c:v>2.2800000000000001E-2</c:v>
                </c:pt>
                <c:pt idx="431">
                  <c:v>2.2859999999999998E-2</c:v>
                </c:pt>
                <c:pt idx="432">
                  <c:v>2.2769999999999999E-2</c:v>
                </c:pt>
                <c:pt idx="433">
                  <c:v>2.29E-2</c:v>
                </c:pt>
                <c:pt idx="434">
                  <c:v>2.29E-2</c:v>
                </c:pt>
                <c:pt idx="435">
                  <c:v>2.29E-2</c:v>
                </c:pt>
                <c:pt idx="436">
                  <c:v>2.274E-2</c:v>
                </c:pt>
                <c:pt idx="437">
                  <c:v>2.2800000000000001E-2</c:v>
                </c:pt>
                <c:pt idx="438">
                  <c:v>2.266E-2</c:v>
                </c:pt>
                <c:pt idx="439">
                  <c:v>2.2589999999999999E-2</c:v>
                </c:pt>
                <c:pt idx="440">
                  <c:v>2.2689999999999998E-2</c:v>
                </c:pt>
                <c:pt idx="441">
                  <c:v>2.2689999999999998E-2</c:v>
                </c:pt>
                <c:pt idx="442">
                  <c:v>2.2689999999999998E-2</c:v>
                </c:pt>
                <c:pt idx="443">
                  <c:v>2.3060000000000001E-2</c:v>
                </c:pt>
                <c:pt idx="444">
                  <c:v>2.3060000000000001E-2</c:v>
                </c:pt>
                <c:pt idx="445">
                  <c:v>2.3060000000000001E-2</c:v>
                </c:pt>
                <c:pt idx="446">
                  <c:v>2.2679999999999999E-2</c:v>
                </c:pt>
                <c:pt idx="447">
                  <c:v>2.3009999999999999E-2</c:v>
                </c:pt>
                <c:pt idx="448">
                  <c:v>2.3009999999999999E-2</c:v>
                </c:pt>
                <c:pt idx="449">
                  <c:v>2.3009999999999999E-2</c:v>
                </c:pt>
                <c:pt idx="450">
                  <c:v>2.2800000000000001E-2</c:v>
                </c:pt>
                <c:pt idx="451">
                  <c:v>2.256E-2</c:v>
                </c:pt>
                <c:pt idx="452">
                  <c:v>2.2499999999999999E-2</c:v>
                </c:pt>
                <c:pt idx="453">
                  <c:v>2.2499999999999999E-2</c:v>
                </c:pt>
                <c:pt idx="454">
                  <c:v>2.3109999999999999E-2</c:v>
                </c:pt>
                <c:pt idx="455">
                  <c:v>2.3109999999999999E-2</c:v>
                </c:pt>
                <c:pt idx="456">
                  <c:v>2.3109999999999999E-2</c:v>
                </c:pt>
                <c:pt idx="457">
                  <c:v>2.3109999999999999E-2</c:v>
                </c:pt>
                <c:pt idx="458">
                  <c:v>2.298E-2</c:v>
                </c:pt>
                <c:pt idx="459">
                  <c:v>2.3040000000000001E-2</c:v>
                </c:pt>
                <c:pt idx="460">
                  <c:v>2.2669999999999999E-2</c:v>
                </c:pt>
                <c:pt idx="461">
                  <c:v>2.3290000000000002E-2</c:v>
                </c:pt>
                <c:pt idx="462">
                  <c:v>2.3290000000000002E-2</c:v>
                </c:pt>
                <c:pt idx="463">
                  <c:v>2.3290000000000002E-2</c:v>
                </c:pt>
                <c:pt idx="464">
                  <c:v>2.2550000000000001E-2</c:v>
                </c:pt>
                <c:pt idx="465">
                  <c:v>2.2929999999999999E-2</c:v>
                </c:pt>
                <c:pt idx="466">
                  <c:v>2.3099999999999999E-2</c:v>
                </c:pt>
                <c:pt idx="467">
                  <c:v>2.2890000000000001E-2</c:v>
                </c:pt>
                <c:pt idx="468">
                  <c:v>2.2800000000000001E-2</c:v>
                </c:pt>
                <c:pt idx="469">
                  <c:v>2.2800000000000001E-2</c:v>
                </c:pt>
                <c:pt idx="470">
                  <c:v>2.2800000000000001E-2</c:v>
                </c:pt>
                <c:pt idx="471">
                  <c:v>2.2550000000000001E-2</c:v>
                </c:pt>
                <c:pt idx="472">
                  <c:v>2.2610000000000002E-2</c:v>
                </c:pt>
                <c:pt idx="473">
                  <c:v>2.2630000000000001E-2</c:v>
                </c:pt>
                <c:pt idx="474">
                  <c:v>2.2620000000000001E-2</c:v>
                </c:pt>
                <c:pt idx="475">
                  <c:v>2.274E-2</c:v>
                </c:pt>
                <c:pt idx="476">
                  <c:v>2.274E-2</c:v>
                </c:pt>
                <c:pt idx="477">
                  <c:v>2.274E-2</c:v>
                </c:pt>
                <c:pt idx="478">
                  <c:v>2.274E-2</c:v>
                </c:pt>
                <c:pt idx="479">
                  <c:v>2.2550000000000001E-2</c:v>
                </c:pt>
                <c:pt idx="480">
                  <c:v>2.281E-2</c:v>
                </c:pt>
                <c:pt idx="481">
                  <c:v>2.264E-2</c:v>
                </c:pt>
                <c:pt idx="482">
                  <c:v>2.3369999999999998E-2</c:v>
                </c:pt>
                <c:pt idx="483">
                  <c:v>2.3369999999999998E-2</c:v>
                </c:pt>
                <c:pt idx="484">
                  <c:v>2.3369999999999998E-2</c:v>
                </c:pt>
                <c:pt idx="485">
                  <c:v>2.316E-2</c:v>
                </c:pt>
                <c:pt idx="486">
                  <c:v>2.316E-2</c:v>
                </c:pt>
                <c:pt idx="487">
                  <c:v>2.282E-2</c:v>
                </c:pt>
                <c:pt idx="488">
                  <c:v>2.2530000000000001E-2</c:v>
                </c:pt>
                <c:pt idx="489">
                  <c:v>2.299E-2</c:v>
                </c:pt>
                <c:pt idx="490">
                  <c:v>2.299E-2</c:v>
                </c:pt>
                <c:pt idx="491">
                  <c:v>2.299E-2</c:v>
                </c:pt>
                <c:pt idx="492">
                  <c:v>2.308E-2</c:v>
                </c:pt>
                <c:pt idx="493">
                  <c:v>2.3019999999999999E-2</c:v>
                </c:pt>
                <c:pt idx="494">
                  <c:v>2.3029999999999998E-2</c:v>
                </c:pt>
                <c:pt idx="495">
                  <c:v>2.2880000000000001E-2</c:v>
                </c:pt>
                <c:pt idx="496">
                  <c:v>2.2880000000000001E-2</c:v>
                </c:pt>
                <c:pt idx="497">
                  <c:v>2.2880000000000001E-2</c:v>
                </c:pt>
                <c:pt idx="498">
                  <c:v>2.2880000000000001E-2</c:v>
                </c:pt>
                <c:pt idx="499">
                  <c:v>2.3089999999999999E-2</c:v>
                </c:pt>
                <c:pt idx="500">
                  <c:v>2.3E-2</c:v>
                </c:pt>
                <c:pt idx="501">
                  <c:v>2.2749999999999999E-2</c:v>
                </c:pt>
                <c:pt idx="502">
                  <c:v>2.2929999999999999E-2</c:v>
                </c:pt>
                <c:pt idx="503">
                  <c:v>2.2679999999999999E-2</c:v>
                </c:pt>
                <c:pt idx="504">
                  <c:v>2.2679999999999999E-2</c:v>
                </c:pt>
                <c:pt idx="505">
                  <c:v>2.2679999999999999E-2</c:v>
                </c:pt>
                <c:pt idx="506">
                  <c:v>2.265E-2</c:v>
                </c:pt>
                <c:pt idx="507">
                  <c:v>2.2610000000000002E-2</c:v>
                </c:pt>
                <c:pt idx="508">
                  <c:v>2.2630000000000001E-2</c:v>
                </c:pt>
                <c:pt idx="509">
                  <c:v>2.265E-2</c:v>
                </c:pt>
                <c:pt idx="510">
                  <c:v>2.273E-2</c:v>
                </c:pt>
                <c:pt idx="511">
                  <c:v>2.273E-2</c:v>
                </c:pt>
                <c:pt idx="512">
                  <c:v>2.273E-2</c:v>
                </c:pt>
                <c:pt idx="513">
                  <c:v>2.282E-2</c:v>
                </c:pt>
                <c:pt idx="514">
                  <c:v>2.2970000000000001E-2</c:v>
                </c:pt>
                <c:pt idx="515">
                  <c:v>2.2960000000000001E-2</c:v>
                </c:pt>
                <c:pt idx="516">
                  <c:v>2.3040000000000001E-2</c:v>
                </c:pt>
                <c:pt idx="517">
                  <c:v>2.2939999999999999E-2</c:v>
                </c:pt>
                <c:pt idx="518">
                  <c:v>2.2939999999999999E-2</c:v>
                </c:pt>
                <c:pt idx="519">
                  <c:v>2.2939999999999999E-2</c:v>
                </c:pt>
                <c:pt idx="520">
                  <c:v>2.265E-2</c:v>
                </c:pt>
                <c:pt idx="521">
                  <c:v>2.2630000000000001E-2</c:v>
                </c:pt>
                <c:pt idx="522">
                  <c:v>2.2599999999999999E-2</c:v>
                </c:pt>
                <c:pt idx="523">
                  <c:v>2.2630000000000001E-2</c:v>
                </c:pt>
                <c:pt idx="524">
                  <c:v>2.256E-2</c:v>
                </c:pt>
                <c:pt idx="525">
                  <c:v>2.256E-2</c:v>
                </c:pt>
                <c:pt idx="526">
                  <c:v>2.256E-2</c:v>
                </c:pt>
                <c:pt idx="527">
                  <c:v>2.2530000000000001E-2</c:v>
                </c:pt>
                <c:pt idx="528">
                  <c:v>2.2519999999999998E-2</c:v>
                </c:pt>
                <c:pt idx="529">
                  <c:v>2.2519999999999998E-2</c:v>
                </c:pt>
                <c:pt idx="530">
                  <c:v>2.2550000000000001E-2</c:v>
                </c:pt>
                <c:pt idx="531">
                  <c:v>2.257E-2</c:v>
                </c:pt>
                <c:pt idx="532">
                  <c:v>2.257E-2</c:v>
                </c:pt>
                <c:pt idx="533">
                  <c:v>2.257E-2</c:v>
                </c:pt>
                <c:pt idx="534">
                  <c:v>2.274E-2</c:v>
                </c:pt>
                <c:pt idx="535">
                  <c:v>2.2679999999999999E-2</c:v>
                </c:pt>
                <c:pt idx="536">
                  <c:v>2.257E-2</c:v>
                </c:pt>
                <c:pt idx="537">
                  <c:v>2.264E-2</c:v>
                </c:pt>
                <c:pt idx="538">
                  <c:v>2.2589999999999999E-2</c:v>
                </c:pt>
                <c:pt idx="539">
                  <c:v>2.2589999999999999E-2</c:v>
                </c:pt>
                <c:pt idx="540">
                  <c:v>2.2589999999999999E-2</c:v>
                </c:pt>
                <c:pt idx="541">
                  <c:v>2.2519999999999998E-2</c:v>
                </c:pt>
                <c:pt idx="542">
                  <c:v>2.2509999999999999E-2</c:v>
                </c:pt>
                <c:pt idx="543">
                  <c:v>2.2599999999999999E-2</c:v>
                </c:pt>
                <c:pt idx="544">
                  <c:v>2.2610000000000002E-2</c:v>
                </c:pt>
                <c:pt idx="545">
                  <c:v>2.2599999999999999E-2</c:v>
                </c:pt>
                <c:pt idx="546">
                  <c:v>2.2599999999999999E-2</c:v>
                </c:pt>
                <c:pt idx="547">
                  <c:v>2.2599999999999999E-2</c:v>
                </c:pt>
                <c:pt idx="548">
                  <c:v>2.2620000000000001E-2</c:v>
                </c:pt>
                <c:pt idx="549">
                  <c:v>2.2620000000000001E-2</c:v>
                </c:pt>
                <c:pt idx="550">
                  <c:v>2.2519999999999998E-2</c:v>
                </c:pt>
                <c:pt idx="551">
                  <c:v>2.2589999999999999E-2</c:v>
                </c:pt>
                <c:pt idx="552">
                  <c:v>2.2579999999999999E-2</c:v>
                </c:pt>
                <c:pt idx="553">
                  <c:v>2.2579999999999999E-2</c:v>
                </c:pt>
                <c:pt idx="554">
                  <c:v>2.2579999999999999E-2</c:v>
                </c:pt>
                <c:pt idx="555">
                  <c:v>2.2540000000000001E-2</c:v>
                </c:pt>
                <c:pt idx="556">
                  <c:v>2.2509999999999999E-2</c:v>
                </c:pt>
                <c:pt idx="557">
                  <c:v>2.2550000000000001E-2</c:v>
                </c:pt>
                <c:pt idx="558">
                  <c:v>2.2530000000000001E-2</c:v>
                </c:pt>
                <c:pt idx="559">
                  <c:v>2.2540000000000001E-2</c:v>
                </c:pt>
                <c:pt idx="560">
                  <c:v>2.2540000000000001E-2</c:v>
                </c:pt>
                <c:pt idx="561">
                  <c:v>2.2540000000000001E-2</c:v>
                </c:pt>
                <c:pt idx="562">
                  <c:v>2.2499999999999999E-2</c:v>
                </c:pt>
                <c:pt idx="563">
                  <c:v>2.2499999999999999E-2</c:v>
                </c:pt>
                <c:pt idx="564">
                  <c:v>2.2499999999999999E-2</c:v>
                </c:pt>
                <c:pt idx="565">
                  <c:v>2.2540000000000001E-2</c:v>
                </c:pt>
                <c:pt idx="566">
                  <c:v>2.266E-2</c:v>
                </c:pt>
                <c:pt idx="567">
                  <c:v>2.266E-2</c:v>
                </c:pt>
                <c:pt idx="568">
                  <c:v>2.266E-2</c:v>
                </c:pt>
                <c:pt idx="569">
                  <c:v>2.2630000000000001E-2</c:v>
                </c:pt>
                <c:pt idx="570">
                  <c:v>2.265E-2</c:v>
                </c:pt>
                <c:pt idx="571">
                  <c:v>2.2620000000000001E-2</c:v>
                </c:pt>
                <c:pt idx="572">
                  <c:v>2.2589999999999999E-2</c:v>
                </c:pt>
                <c:pt idx="573">
                  <c:v>2.2769999999999999E-2</c:v>
                </c:pt>
                <c:pt idx="574">
                  <c:v>2.2769999999999999E-2</c:v>
                </c:pt>
                <c:pt idx="575">
                  <c:v>2.2769999999999999E-2</c:v>
                </c:pt>
                <c:pt idx="576">
                  <c:v>2.2599999999999999E-2</c:v>
                </c:pt>
                <c:pt idx="577">
                  <c:v>2.2630000000000001E-2</c:v>
                </c:pt>
                <c:pt idx="578">
                  <c:v>2.265E-2</c:v>
                </c:pt>
                <c:pt idx="579">
                  <c:v>2.2579999999999999E-2</c:v>
                </c:pt>
                <c:pt idx="580">
                  <c:v>2.2720000000000001E-2</c:v>
                </c:pt>
                <c:pt idx="581">
                  <c:v>2.2720000000000001E-2</c:v>
                </c:pt>
                <c:pt idx="582">
                  <c:v>2.2720000000000001E-2</c:v>
                </c:pt>
                <c:pt idx="583">
                  <c:v>2.2700000000000001E-2</c:v>
                </c:pt>
                <c:pt idx="584">
                  <c:v>2.2630000000000001E-2</c:v>
                </c:pt>
                <c:pt idx="585">
                  <c:v>2.2610000000000002E-2</c:v>
                </c:pt>
                <c:pt idx="586">
                  <c:v>2.2710000000000001E-2</c:v>
                </c:pt>
                <c:pt idx="587">
                  <c:v>2.2610000000000002E-2</c:v>
                </c:pt>
                <c:pt idx="588">
                  <c:v>2.2610000000000002E-2</c:v>
                </c:pt>
                <c:pt idx="589">
                  <c:v>2.2610000000000002E-2</c:v>
                </c:pt>
                <c:pt idx="590">
                  <c:v>2.2679999999999999E-2</c:v>
                </c:pt>
                <c:pt idx="591">
                  <c:v>2.2669999999999999E-2</c:v>
                </c:pt>
                <c:pt idx="592">
                  <c:v>2.2749999999999999E-2</c:v>
                </c:pt>
                <c:pt idx="593">
                  <c:v>2.256E-2</c:v>
                </c:pt>
                <c:pt idx="594">
                  <c:v>2.2849999999999999E-2</c:v>
                </c:pt>
                <c:pt idx="595">
                  <c:v>2.2849999999999999E-2</c:v>
                </c:pt>
                <c:pt idx="596">
                  <c:v>2.2849999999999999E-2</c:v>
                </c:pt>
                <c:pt idx="597">
                  <c:v>2.2579999999999999E-2</c:v>
                </c:pt>
                <c:pt idx="598">
                  <c:v>2.281E-2</c:v>
                </c:pt>
                <c:pt idx="599">
                  <c:v>2.273E-2</c:v>
                </c:pt>
                <c:pt idx="600">
                  <c:v>2.264E-2</c:v>
                </c:pt>
                <c:pt idx="601">
                  <c:v>2.2599999999999999E-2</c:v>
                </c:pt>
                <c:pt idx="602">
                  <c:v>2.2599999999999999E-2</c:v>
                </c:pt>
                <c:pt idx="603">
                  <c:v>2.2599999999999999E-2</c:v>
                </c:pt>
                <c:pt idx="604">
                  <c:v>2.2530000000000001E-2</c:v>
                </c:pt>
                <c:pt idx="605">
                  <c:v>2.283E-2</c:v>
                </c:pt>
                <c:pt idx="606">
                  <c:v>2.283E-2</c:v>
                </c:pt>
                <c:pt idx="607">
                  <c:v>2.2540000000000001E-2</c:v>
                </c:pt>
                <c:pt idx="608">
                  <c:v>2.2689999999999998E-2</c:v>
                </c:pt>
                <c:pt idx="609">
                  <c:v>2.2689999999999998E-2</c:v>
                </c:pt>
                <c:pt idx="610">
                  <c:v>2.2689999999999998E-2</c:v>
                </c:pt>
                <c:pt idx="611">
                  <c:v>2.256E-2</c:v>
                </c:pt>
                <c:pt idx="612">
                  <c:v>2.2530000000000001E-2</c:v>
                </c:pt>
                <c:pt idx="613">
                  <c:v>2.257E-2</c:v>
                </c:pt>
                <c:pt idx="614">
                  <c:v>2.2519999999999998E-2</c:v>
                </c:pt>
                <c:pt idx="615">
                  <c:v>2.2519999999999998E-2</c:v>
                </c:pt>
                <c:pt idx="616">
                  <c:v>2.2519999999999998E-2</c:v>
                </c:pt>
                <c:pt idx="617">
                  <c:v>2.2519999999999998E-2</c:v>
                </c:pt>
                <c:pt idx="618">
                  <c:v>2.2530000000000001E-2</c:v>
                </c:pt>
                <c:pt idx="619">
                  <c:v>2.2509999999999999E-2</c:v>
                </c:pt>
                <c:pt idx="620">
                  <c:v>2.2509999999999999E-2</c:v>
                </c:pt>
                <c:pt idx="621">
                  <c:v>2.2550000000000001E-2</c:v>
                </c:pt>
                <c:pt idx="622">
                  <c:v>2.2499999999999999E-2</c:v>
                </c:pt>
                <c:pt idx="623">
                  <c:v>2.2499999999999999E-2</c:v>
                </c:pt>
                <c:pt idx="624">
                  <c:v>2.2499999999999999E-2</c:v>
                </c:pt>
                <c:pt idx="625">
                  <c:v>2.256E-2</c:v>
                </c:pt>
                <c:pt idx="626">
                  <c:v>2.2499999999999999E-2</c:v>
                </c:pt>
                <c:pt idx="627">
                  <c:v>2.2499999999999999E-2</c:v>
                </c:pt>
                <c:pt idx="628">
                  <c:v>2.256E-2</c:v>
                </c:pt>
                <c:pt idx="629">
                  <c:v>2.2540000000000001E-2</c:v>
                </c:pt>
                <c:pt idx="630">
                  <c:v>2.2540000000000001E-2</c:v>
                </c:pt>
                <c:pt idx="631">
                  <c:v>2.2540000000000001E-2</c:v>
                </c:pt>
                <c:pt idx="632">
                  <c:v>2.2540000000000001E-2</c:v>
                </c:pt>
                <c:pt idx="633">
                  <c:v>2.2540000000000001E-2</c:v>
                </c:pt>
                <c:pt idx="634">
                  <c:v>2.256E-2</c:v>
                </c:pt>
                <c:pt idx="635">
                  <c:v>2.266E-2</c:v>
                </c:pt>
                <c:pt idx="636">
                  <c:v>2.2679999999999999E-2</c:v>
                </c:pt>
                <c:pt idx="637">
                  <c:v>2.2679999999999999E-2</c:v>
                </c:pt>
                <c:pt idx="638">
                  <c:v>2.2679999999999999E-2</c:v>
                </c:pt>
                <c:pt idx="639">
                  <c:v>2.2669999999999999E-2</c:v>
                </c:pt>
                <c:pt idx="640">
                  <c:v>2.2839999999999999E-2</c:v>
                </c:pt>
                <c:pt idx="641">
                  <c:v>2.2839999999999999E-2</c:v>
                </c:pt>
                <c:pt idx="642">
                  <c:v>2.2839999999999999E-2</c:v>
                </c:pt>
                <c:pt idx="643">
                  <c:v>2.2839999999999999E-2</c:v>
                </c:pt>
                <c:pt idx="644">
                  <c:v>2.2839999999999999E-2</c:v>
                </c:pt>
                <c:pt idx="645">
                  <c:v>2.2839999999999999E-2</c:v>
                </c:pt>
                <c:pt idx="646">
                  <c:v>2.2530000000000001E-2</c:v>
                </c:pt>
                <c:pt idx="647">
                  <c:v>2.2689999999999998E-2</c:v>
                </c:pt>
                <c:pt idx="648">
                  <c:v>2.273E-2</c:v>
                </c:pt>
                <c:pt idx="649">
                  <c:v>2.256E-2</c:v>
                </c:pt>
                <c:pt idx="650">
                  <c:v>2.2550000000000001E-2</c:v>
                </c:pt>
                <c:pt idx="651">
                  <c:v>2.2550000000000001E-2</c:v>
                </c:pt>
                <c:pt idx="652">
                  <c:v>2.2550000000000001E-2</c:v>
                </c:pt>
                <c:pt idx="653">
                  <c:v>2.2519999999999998E-2</c:v>
                </c:pt>
                <c:pt idx="654">
                  <c:v>2.2499999999999999E-2</c:v>
                </c:pt>
                <c:pt idx="655">
                  <c:v>2.2499999999999999E-2</c:v>
                </c:pt>
                <c:pt idx="656">
                  <c:v>2.307E-2</c:v>
                </c:pt>
                <c:pt idx="657">
                  <c:v>2.2669999999999999E-2</c:v>
                </c:pt>
                <c:pt idx="658">
                  <c:v>2.2669999999999999E-2</c:v>
                </c:pt>
                <c:pt idx="659">
                  <c:v>2.2669999999999999E-2</c:v>
                </c:pt>
                <c:pt idx="660">
                  <c:v>2.256E-2</c:v>
                </c:pt>
                <c:pt idx="661">
                  <c:v>2.2579999999999999E-2</c:v>
                </c:pt>
                <c:pt idx="662">
                  <c:v>2.2620000000000001E-2</c:v>
                </c:pt>
                <c:pt idx="663">
                  <c:v>2.265E-2</c:v>
                </c:pt>
                <c:pt idx="664">
                  <c:v>2.29E-2</c:v>
                </c:pt>
                <c:pt idx="665">
                  <c:v>2.29E-2</c:v>
                </c:pt>
                <c:pt idx="666">
                  <c:v>2.29E-2</c:v>
                </c:pt>
                <c:pt idx="667">
                  <c:v>2.2679999999999999E-2</c:v>
                </c:pt>
                <c:pt idx="668">
                  <c:v>2.256E-2</c:v>
                </c:pt>
                <c:pt idx="669">
                  <c:v>2.256E-2</c:v>
                </c:pt>
                <c:pt idx="670">
                  <c:v>2.2499999999999999E-2</c:v>
                </c:pt>
                <c:pt idx="671">
                  <c:v>2.2550000000000001E-2</c:v>
                </c:pt>
                <c:pt idx="672">
                  <c:v>2.2550000000000001E-2</c:v>
                </c:pt>
                <c:pt idx="673">
                  <c:v>2.2550000000000001E-2</c:v>
                </c:pt>
                <c:pt idx="674">
                  <c:v>2.2519999999999998E-2</c:v>
                </c:pt>
                <c:pt idx="675">
                  <c:v>2.2530000000000001E-2</c:v>
                </c:pt>
                <c:pt idx="676">
                  <c:v>2.256E-2</c:v>
                </c:pt>
                <c:pt idx="677">
                  <c:v>2.2550000000000001E-2</c:v>
                </c:pt>
                <c:pt idx="678">
                  <c:v>2.264E-2</c:v>
                </c:pt>
                <c:pt idx="679">
                  <c:v>2.264E-2</c:v>
                </c:pt>
                <c:pt idx="680">
                  <c:v>2.264E-2</c:v>
                </c:pt>
                <c:pt idx="681">
                  <c:v>2.2679999999999999E-2</c:v>
                </c:pt>
                <c:pt idx="682">
                  <c:v>2.2579999999999999E-2</c:v>
                </c:pt>
                <c:pt idx="683">
                  <c:v>2.2509999999999999E-2</c:v>
                </c:pt>
                <c:pt idx="684">
                  <c:v>2.2599999999999999E-2</c:v>
                </c:pt>
                <c:pt idx="685">
                  <c:v>2.264E-2</c:v>
                </c:pt>
                <c:pt idx="686">
                  <c:v>2.264E-2</c:v>
                </c:pt>
                <c:pt idx="687">
                  <c:v>2.264E-2</c:v>
                </c:pt>
                <c:pt idx="688">
                  <c:v>2.2550000000000001E-2</c:v>
                </c:pt>
                <c:pt idx="689">
                  <c:v>2.2499999999999999E-2</c:v>
                </c:pt>
                <c:pt idx="690">
                  <c:v>2.2499999999999999E-2</c:v>
                </c:pt>
                <c:pt idx="691">
                  <c:v>2.265E-2</c:v>
                </c:pt>
                <c:pt idx="692">
                  <c:v>2.2630000000000001E-2</c:v>
                </c:pt>
                <c:pt idx="693">
                  <c:v>2.2630000000000001E-2</c:v>
                </c:pt>
                <c:pt idx="694">
                  <c:v>2.2630000000000001E-2</c:v>
                </c:pt>
                <c:pt idx="695">
                  <c:v>2.2700000000000001E-2</c:v>
                </c:pt>
                <c:pt idx="696">
                  <c:v>2.2700000000000001E-2</c:v>
                </c:pt>
                <c:pt idx="697">
                  <c:v>2.2970000000000001E-2</c:v>
                </c:pt>
                <c:pt idx="698">
                  <c:v>2.317E-2</c:v>
                </c:pt>
                <c:pt idx="699">
                  <c:v>2.315E-2</c:v>
                </c:pt>
                <c:pt idx="700">
                  <c:v>2.315E-2</c:v>
                </c:pt>
                <c:pt idx="701">
                  <c:v>2.315E-2</c:v>
                </c:pt>
                <c:pt idx="702">
                  <c:v>2.3109999999999999E-2</c:v>
                </c:pt>
                <c:pt idx="703">
                  <c:v>2.2669999999999999E-2</c:v>
                </c:pt>
                <c:pt idx="704">
                  <c:v>2.2849999999999999E-2</c:v>
                </c:pt>
                <c:pt idx="705">
                  <c:v>2.358E-2</c:v>
                </c:pt>
                <c:pt idx="706">
                  <c:v>2.8570000000000002E-2</c:v>
                </c:pt>
                <c:pt idx="707">
                  <c:v>2.8570000000000002E-2</c:v>
                </c:pt>
                <c:pt idx="708">
                  <c:v>2.8570000000000002E-2</c:v>
                </c:pt>
                <c:pt idx="709">
                  <c:v>2.8570000000000002E-2</c:v>
                </c:pt>
                <c:pt idx="710">
                  <c:v>2.8570000000000002E-2</c:v>
                </c:pt>
                <c:pt idx="711">
                  <c:v>2.8570000000000002E-2</c:v>
                </c:pt>
                <c:pt idx="712">
                  <c:v>2.4240000000000001E-2</c:v>
                </c:pt>
                <c:pt idx="713">
                  <c:v>2.3820000000000001E-2</c:v>
                </c:pt>
                <c:pt idx="714">
                  <c:v>2.3820000000000001E-2</c:v>
                </c:pt>
                <c:pt idx="715">
                  <c:v>2.3820000000000001E-2</c:v>
                </c:pt>
                <c:pt idx="716">
                  <c:v>2.384E-2</c:v>
                </c:pt>
                <c:pt idx="717">
                  <c:v>2.384E-2</c:v>
                </c:pt>
                <c:pt idx="718">
                  <c:v>2.384E-2</c:v>
                </c:pt>
                <c:pt idx="719">
                  <c:v>2.334E-2</c:v>
                </c:pt>
                <c:pt idx="720">
                  <c:v>2.281E-2</c:v>
                </c:pt>
                <c:pt idx="721">
                  <c:v>2.281E-2</c:v>
                </c:pt>
                <c:pt idx="722">
                  <c:v>2.281E-2</c:v>
                </c:pt>
                <c:pt idx="723">
                  <c:v>2.257E-2</c:v>
                </c:pt>
                <c:pt idx="724">
                  <c:v>2.2499999999999999E-2</c:v>
                </c:pt>
                <c:pt idx="725">
                  <c:v>2.2499999999999999E-2</c:v>
                </c:pt>
                <c:pt idx="726">
                  <c:v>2.2579999999999999E-2</c:v>
                </c:pt>
                <c:pt idx="727">
                  <c:v>2.2929999999999999E-2</c:v>
                </c:pt>
                <c:pt idx="728">
                  <c:v>2.2929999999999999E-2</c:v>
                </c:pt>
                <c:pt idx="729">
                  <c:v>2.2929999999999999E-2</c:v>
                </c:pt>
                <c:pt idx="730">
                  <c:v>2.2499999999999999E-2</c:v>
                </c:pt>
                <c:pt idx="731">
                  <c:v>2.256E-2</c:v>
                </c:pt>
                <c:pt idx="732">
                  <c:v>2.2610000000000002E-2</c:v>
                </c:pt>
                <c:pt idx="733">
                  <c:v>2.2550000000000001E-2</c:v>
                </c:pt>
                <c:pt idx="734">
                  <c:v>2.257E-2</c:v>
                </c:pt>
                <c:pt idx="735">
                  <c:v>2.257E-2</c:v>
                </c:pt>
                <c:pt idx="736">
                  <c:v>2.257E-2</c:v>
                </c:pt>
                <c:pt idx="737">
                  <c:v>2.2589999999999999E-2</c:v>
                </c:pt>
                <c:pt idx="738">
                  <c:v>2.2550000000000001E-2</c:v>
                </c:pt>
                <c:pt idx="739">
                  <c:v>2.2499999999999999E-2</c:v>
                </c:pt>
                <c:pt idx="740">
                  <c:v>2.2530000000000001E-2</c:v>
                </c:pt>
                <c:pt idx="741">
                  <c:v>2.2870000000000001E-2</c:v>
                </c:pt>
                <c:pt idx="742">
                  <c:v>2.2870000000000001E-2</c:v>
                </c:pt>
                <c:pt idx="743">
                  <c:v>2.2870000000000001E-2</c:v>
                </c:pt>
                <c:pt idx="744">
                  <c:v>2.3009999999999999E-2</c:v>
                </c:pt>
                <c:pt idx="745">
                  <c:v>2.273E-2</c:v>
                </c:pt>
                <c:pt idx="746">
                  <c:v>2.256E-2</c:v>
                </c:pt>
                <c:pt idx="747">
                  <c:v>2.2550000000000001E-2</c:v>
                </c:pt>
                <c:pt idx="748">
                  <c:v>2.257E-2</c:v>
                </c:pt>
                <c:pt idx="749">
                  <c:v>2.257E-2</c:v>
                </c:pt>
                <c:pt idx="750">
                  <c:v>2.257E-2</c:v>
                </c:pt>
                <c:pt idx="751">
                  <c:v>2.2499999999999999E-2</c:v>
                </c:pt>
                <c:pt idx="752">
                  <c:v>2.2499999999999999E-2</c:v>
                </c:pt>
                <c:pt idx="753">
                  <c:v>2.2499999999999999E-2</c:v>
                </c:pt>
                <c:pt idx="754">
                  <c:v>2.2550000000000001E-2</c:v>
                </c:pt>
                <c:pt idx="755">
                  <c:v>2.2679999999999999E-2</c:v>
                </c:pt>
                <c:pt idx="756">
                  <c:v>2.2679999999999999E-2</c:v>
                </c:pt>
                <c:pt idx="757">
                  <c:v>2.2679999999999999E-2</c:v>
                </c:pt>
                <c:pt idx="758">
                  <c:v>2.298E-2</c:v>
                </c:pt>
                <c:pt idx="759">
                  <c:v>2.2499999999999999E-2</c:v>
                </c:pt>
                <c:pt idx="760">
                  <c:v>2.2499999999999999E-2</c:v>
                </c:pt>
                <c:pt idx="761">
                  <c:v>2.2499999999999999E-2</c:v>
                </c:pt>
                <c:pt idx="762">
                  <c:v>2.2550000000000001E-2</c:v>
                </c:pt>
                <c:pt idx="763">
                  <c:v>2.2550000000000001E-2</c:v>
                </c:pt>
                <c:pt idx="764">
                  <c:v>2.2550000000000001E-2</c:v>
                </c:pt>
                <c:pt idx="765">
                  <c:v>2.2579999999999999E-2</c:v>
                </c:pt>
                <c:pt idx="766">
                  <c:v>2.2540000000000001E-2</c:v>
                </c:pt>
                <c:pt idx="767">
                  <c:v>2.2550000000000001E-2</c:v>
                </c:pt>
                <c:pt idx="768">
                  <c:v>2.257E-2</c:v>
                </c:pt>
                <c:pt idx="769">
                  <c:v>2.2540000000000001E-2</c:v>
                </c:pt>
                <c:pt idx="770">
                  <c:v>2.2540000000000001E-2</c:v>
                </c:pt>
                <c:pt idx="771">
                  <c:v>2.2540000000000001E-2</c:v>
                </c:pt>
                <c:pt idx="772">
                  <c:v>2.2710000000000001E-2</c:v>
                </c:pt>
                <c:pt idx="773">
                  <c:v>2.2700000000000001E-2</c:v>
                </c:pt>
                <c:pt idx="774">
                  <c:v>2.256E-2</c:v>
                </c:pt>
                <c:pt idx="775">
                  <c:v>2.2550000000000001E-2</c:v>
                </c:pt>
                <c:pt idx="776">
                  <c:v>2.2579999999999999E-2</c:v>
                </c:pt>
                <c:pt idx="777">
                  <c:v>2.2579999999999999E-2</c:v>
                </c:pt>
                <c:pt idx="778">
                  <c:v>2.2579999999999999E-2</c:v>
                </c:pt>
                <c:pt idx="779">
                  <c:v>2.2499999999999999E-2</c:v>
                </c:pt>
                <c:pt idx="780">
                  <c:v>2.2499999999999999E-2</c:v>
                </c:pt>
                <c:pt idx="781">
                  <c:v>2.2499999999999999E-2</c:v>
                </c:pt>
                <c:pt idx="782">
                  <c:v>2.2499999999999999E-2</c:v>
                </c:pt>
                <c:pt idx="783">
                  <c:v>2.2499999999999999E-2</c:v>
                </c:pt>
                <c:pt idx="784">
                  <c:v>2.2499999999999999E-2</c:v>
                </c:pt>
                <c:pt idx="785">
                  <c:v>2.2499999999999999E-2</c:v>
                </c:pt>
                <c:pt idx="786">
                  <c:v>2.2550000000000001E-2</c:v>
                </c:pt>
                <c:pt idx="787">
                  <c:v>2.2599999999999999E-2</c:v>
                </c:pt>
                <c:pt idx="788">
                  <c:v>2.2800000000000001E-2</c:v>
                </c:pt>
                <c:pt idx="789">
                  <c:v>2.2939999999999999E-2</c:v>
                </c:pt>
                <c:pt idx="790">
                  <c:v>2.2700000000000001E-2</c:v>
                </c:pt>
                <c:pt idx="791">
                  <c:v>2.2700000000000001E-2</c:v>
                </c:pt>
                <c:pt idx="792">
                  <c:v>2.2700000000000001E-2</c:v>
                </c:pt>
                <c:pt idx="793">
                  <c:v>2.264E-2</c:v>
                </c:pt>
                <c:pt idx="794">
                  <c:v>2.2610000000000002E-2</c:v>
                </c:pt>
                <c:pt idx="795">
                  <c:v>2.2610000000000002E-2</c:v>
                </c:pt>
                <c:pt idx="796">
                  <c:v>2.3029999999999998E-2</c:v>
                </c:pt>
                <c:pt idx="797">
                  <c:v>2.2630000000000001E-2</c:v>
                </c:pt>
                <c:pt idx="798">
                  <c:v>2.2630000000000001E-2</c:v>
                </c:pt>
                <c:pt idx="799">
                  <c:v>2.2630000000000001E-2</c:v>
                </c:pt>
                <c:pt idx="800">
                  <c:v>2.2630000000000001E-2</c:v>
                </c:pt>
                <c:pt idx="801">
                  <c:v>2.2530000000000001E-2</c:v>
                </c:pt>
                <c:pt idx="802">
                  <c:v>2.264E-2</c:v>
                </c:pt>
                <c:pt idx="803">
                  <c:v>2.2530000000000001E-2</c:v>
                </c:pt>
                <c:pt idx="804">
                  <c:v>2.2720000000000001E-2</c:v>
                </c:pt>
                <c:pt idx="805">
                  <c:v>2.2720000000000001E-2</c:v>
                </c:pt>
                <c:pt idx="806">
                  <c:v>2.2720000000000001E-2</c:v>
                </c:pt>
                <c:pt idx="807">
                  <c:v>2.2720000000000001E-2</c:v>
                </c:pt>
                <c:pt idx="808">
                  <c:v>2.2519999999999998E-2</c:v>
                </c:pt>
                <c:pt idx="809">
                  <c:v>2.2519999999999998E-2</c:v>
                </c:pt>
                <c:pt idx="810">
                  <c:v>2.264E-2</c:v>
                </c:pt>
                <c:pt idx="811">
                  <c:v>2.2679999999999999E-2</c:v>
                </c:pt>
                <c:pt idx="812">
                  <c:v>2.2679999999999999E-2</c:v>
                </c:pt>
                <c:pt idx="813">
                  <c:v>2.2679999999999999E-2</c:v>
                </c:pt>
                <c:pt idx="814">
                  <c:v>2.2679999999999999E-2</c:v>
                </c:pt>
                <c:pt idx="815">
                  <c:v>2.2769999999999999E-2</c:v>
                </c:pt>
                <c:pt idx="816">
                  <c:v>2.2769999999999999E-2</c:v>
                </c:pt>
                <c:pt idx="817">
                  <c:v>2.2530000000000001E-2</c:v>
                </c:pt>
                <c:pt idx="818">
                  <c:v>2.2759999999999999E-2</c:v>
                </c:pt>
                <c:pt idx="819">
                  <c:v>2.2759999999999999E-2</c:v>
                </c:pt>
                <c:pt idx="820">
                  <c:v>2.2759999999999999E-2</c:v>
                </c:pt>
                <c:pt idx="821">
                  <c:v>2.2499999999999999E-2</c:v>
                </c:pt>
                <c:pt idx="822">
                  <c:v>2.2509999999999999E-2</c:v>
                </c:pt>
                <c:pt idx="823">
                  <c:v>2.2499999999999999E-2</c:v>
                </c:pt>
                <c:pt idx="824">
                  <c:v>2.2550000000000001E-2</c:v>
                </c:pt>
                <c:pt idx="825">
                  <c:v>2.265E-2</c:v>
                </c:pt>
                <c:pt idx="826">
                  <c:v>2.265E-2</c:v>
                </c:pt>
                <c:pt idx="827">
                  <c:v>2.265E-2</c:v>
                </c:pt>
                <c:pt idx="828">
                  <c:v>2.2509999999999999E-2</c:v>
                </c:pt>
                <c:pt idx="829">
                  <c:v>2.2519999999999998E-2</c:v>
                </c:pt>
                <c:pt idx="830">
                  <c:v>2.2540000000000001E-2</c:v>
                </c:pt>
                <c:pt idx="831">
                  <c:v>2.2579999999999999E-2</c:v>
                </c:pt>
                <c:pt idx="832">
                  <c:v>2.2540000000000001E-2</c:v>
                </c:pt>
                <c:pt idx="833">
                  <c:v>2.2540000000000001E-2</c:v>
                </c:pt>
                <c:pt idx="834">
                  <c:v>2.2540000000000001E-2</c:v>
                </c:pt>
                <c:pt idx="835">
                  <c:v>2.2509999999999999E-2</c:v>
                </c:pt>
                <c:pt idx="836">
                  <c:v>2.2499999999999999E-2</c:v>
                </c:pt>
                <c:pt idx="837">
                  <c:v>2.2620000000000001E-2</c:v>
                </c:pt>
                <c:pt idx="838">
                  <c:v>2.2839999999999999E-2</c:v>
                </c:pt>
                <c:pt idx="839">
                  <c:v>2.3099999999999999E-2</c:v>
                </c:pt>
                <c:pt idx="840">
                  <c:v>2.3099999999999999E-2</c:v>
                </c:pt>
                <c:pt idx="841">
                  <c:v>2.3099999999999999E-2</c:v>
                </c:pt>
                <c:pt idx="842">
                  <c:v>2.299E-2</c:v>
                </c:pt>
                <c:pt idx="843">
                  <c:v>2.3460000000000002E-2</c:v>
                </c:pt>
                <c:pt idx="844">
                  <c:v>2.2950000000000002E-2</c:v>
                </c:pt>
                <c:pt idx="845">
                  <c:v>2.2519999999999998E-2</c:v>
                </c:pt>
                <c:pt idx="846">
                  <c:v>2.2540000000000001E-2</c:v>
                </c:pt>
                <c:pt idx="847">
                  <c:v>2.2540000000000001E-2</c:v>
                </c:pt>
                <c:pt idx="848">
                  <c:v>2.2540000000000001E-2</c:v>
                </c:pt>
                <c:pt idx="849">
                  <c:v>2.2540000000000001E-2</c:v>
                </c:pt>
                <c:pt idx="850">
                  <c:v>2.2620000000000001E-2</c:v>
                </c:pt>
                <c:pt idx="851">
                  <c:v>2.2620000000000001E-2</c:v>
                </c:pt>
                <c:pt idx="852">
                  <c:v>2.2499999999999999E-2</c:v>
                </c:pt>
                <c:pt idx="853">
                  <c:v>2.2509999999999999E-2</c:v>
                </c:pt>
                <c:pt idx="854">
                  <c:v>2.2509999999999999E-2</c:v>
                </c:pt>
                <c:pt idx="855">
                  <c:v>2.2509999999999999E-2</c:v>
                </c:pt>
                <c:pt idx="856">
                  <c:v>2.2499999999999999E-2</c:v>
                </c:pt>
                <c:pt idx="857">
                  <c:v>2.2499999999999999E-2</c:v>
                </c:pt>
                <c:pt idx="858">
                  <c:v>2.2499999999999999E-2</c:v>
                </c:pt>
                <c:pt idx="859">
                  <c:v>2.2499999999999999E-2</c:v>
                </c:pt>
                <c:pt idx="860">
                  <c:v>2.2499999999999999E-2</c:v>
                </c:pt>
                <c:pt idx="861">
                  <c:v>2.2499999999999999E-2</c:v>
                </c:pt>
                <c:pt idx="862">
                  <c:v>2.2499999999999999E-2</c:v>
                </c:pt>
                <c:pt idx="863">
                  <c:v>2.2499999999999999E-2</c:v>
                </c:pt>
                <c:pt idx="864">
                  <c:v>2.2499999999999999E-2</c:v>
                </c:pt>
                <c:pt idx="865">
                  <c:v>2.2499999999999999E-2</c:v>
                </c:pt>
                <c:pt idx="866">
                  <c:v>2.2499999999999999E-2</c:v>
                </c:pt>
                <c:pt idx="867">
                  <c:v>2.2550000000000001E-2</c:v>
                </c:pt>
                <c:pt idx="868">
                  <c:v>2.2550000000000001E-2</c:v>
                </c:pt>
                <c:pt idx="869">
                  <c:v>2.2550000000000001E-2</c:v>
                </c:pt>
                <c:pt idx="870">
                  <c:v>2.2499999999999999E-2</c:v>
                </c:pt>
                <c:pt idx="871">
                  <c:v>2.2499999999999999E-2</c:v>
                </c:pt>
                <c:pt idx="872">
                  <c:v>2.2589999999999999E-2</c:v>
                </c:pt>
                <c:pt idx="873">
                  <c:v>2.2579999999999999E-2</c:v>
                </c:pt>
                <c:pt idx="874">
                  <c:v>2.3019999999999999E-2</c:v>
                </c:pt>
                <c:pt idx="875">
                  <c:v>2.3019999999999999E-2</c:v>
                </c:pt>
                <c:pt idx="876">
                  <c:v>2.3019999999999999E-2</c:v>
                </c:pt>
                <c:pt idx="877">
                  <c:v>2.2780000000000002E-2</c:v>
                </c:pt>
                <c:pt idx="878">
                  <c:v>2.2800000000000001E-2</c:v>
                </c:pt>
                <c:pt idx="879">
                  <c:v>2.2919999999999999E-2</c:v>
                </c:pt>
                <c:pt idx="880">
                  <c:v>2.2509999999999999E-2</c:v>
                </c:pt>
                <c:pt idx="881">
                  <c:v>2.2499999999999999E-2</c:v>
                </c:pt>
                <c:pt idx="882">
                  <c:v>2.2499999999999999E-2</c:v>
                </c:pt>
                <c:pt idx="883">
                  <c:v>2.2499999999999999E-2</c:v>
                </c:pt>
                <c:pt idx="884">
                  <c:v>2.2499999999999999E-2</c:v>
                </c:pt>
                <c:pt idx="885">
                  <c:v>2.2499999999999999E-2</c:v>
                </c:pt>
                <c:pt idx="886">
                  <c:v>2.2499999999999999E-2</c:v>
                </c:pt>
                <c:pt idx="887">
                  <c:v>2.2499999999999999E-2</c:v>
                </c:pt>
                <c:pt idx="888">
                  <c:v>2.2499999999999999E-2</c:v>
                </c:pt>
                <c:pt idx="889">
                  <c:v>2.2499999999999999E-2</c:v>
                </c:pt>
                <c:pt idx="890">
                  <c:v>2.2499999999999999E-2</c:v>
                </c:pt>
                <c:pt idx="891">
                  <c:v>2.2499999999999999E-2</c:v>
                </c:pt>
                <c:pt idx="892">
                  <c:v>2.2499999999999999E-2</c:v>
                </c:pt>
                <c:pt idx="893">
                  <c:v>2.2530000000000001E-2</c:v>
                </c:pt>
                <c:pt idx="894">
                  <c:v>2.2499999999999999E-2</c:v>
                </c:pt>
                <c:pt idx="895">
                  <c:v>2.2499999999999999E-2</c:v>
                </c:pt>
                <c:pt idx="896">
                  <c:v>2.2499999999999999E-2</c:v>
                </c:pt>
                <c:pt idx="897">
                  <c:v>2.2499999999999999E-2</c:v>
                </c:pt>
                <c:pt idx="898">
                  <c:v>2.257E-2</c:v>
                </c:pt>
                <c:pt idx="899">
                  <c:v>2.2499999999999999E-2</c:v>
                </c:pt>
                <c:pt idx="900">
                  <c:v>2.2499999999999999E-2</c:v>
                </c:pt>
                <c:pt idx="901">
                  <c:v>2.2499999999999999E-2</c:v>
                </c:pt>
                <c:pt idx="902">
                  <c:v>2.2540000000000001E-2</c:v>
                </c:pt>
                <c:pt idx="903">
                  <c:v>2.2540000000000001E-2</c:v>
                </c:pt>
                <c:pt idx="904">
                  <c:v>2.2540000000000001E-2</c:v>
                </c:pt>
                <c:pt idx="905">
                  <c:v>2.2499999999999999E-2</c:v>
                </c:pt>
                <c:pt idx="906">
                  <c:v>2.2499999999999999E-2</c:v>
                </c:pt>
                <c:pt idx="907">
                  <c:v>2.2499999999999999E-2</c:v>
                </c:pt>
                <c:pt idx="908">
                  <c:v>2.2499999999999999E-2</c:v>
                </c:pt>
                <c:pt idx="909">
                  <c:v>2.2499999999999999E-2</c:v>
                </c:pt>
                <c:pt idx="910">
                  <c:v>2.2499999999999999E-2</c:v>
                </c:pt>
                <c:pt idx="911">
                  <c:v>2.2499999999999999E-2</c:v>
                </c:pt>
                <c:pt idx="912">
                  <c:v>2.2499999999999999E-2</c:v>
                </c:pt>
                <c:pt idx="913">
                  <c:v>2.2499999999999999E-2</c:v>
                </c:pt>
                <c:pt idx="914">
                  <c:v>2.2589999999999999E-2</c:v>
                </c:pt>
                <c:pt idx="915">
                  <c:v>2.2610000000000002E-2</c:v>
                </c:pt>
                <c:pt idx="916">
                  <c:v>2.2579999999999999E-2</c:v>
                </c:pt>
                <c:pt idx="917">
                  <c:v>2.2579999999999999E-2</c:v>
                </c:pt>
                <c:pt idx="918">
                  <c:v>2.2579999999999999E-2</c:v>
                </c:pt>
                <c:pt idx="919">
                  <c:v>2.2499999999999999E-2</c:v>
                </c:pt>
                <c:pt idx="920">
                  <c:v>2.2530000000000001E-2</c:v>
                </c:pt>
                <c:pt idx="921">
                  <c:v>2.2499999999999999E-2</c:v>
                </c:pt>
                <c:pt idx="922">
                  <c:v>2.2530000000000001E-2</c:v>
                </c:pt>
                <c:pt idx="923">
                  <c:v>2.264E-2</c:v>
                </c:pt>
                <c:pt idx="924">
                  <c:v>2.264E-2</c:v>
                </c:pt>
                <c:pt idx="925">
                  <c:v>2.264E-2</c:v>
                </c:pt>
                <c:pt idx="926">
                  <c:v>2.2790000000000001E-2</c:v>
                </c:pt>
                <c:pt idx="927">
                  <c:v>2.2599999999999999E-2</c:v>
                </c:pt>
                <c:pt idx="928">
                  <c:v>2.027E-2</c:v>
                </c:pt>
                <c:pt idx="929">
                  <c:v>2.0039999999999999E-2</c:v>
                </c:pt>
                <c:pt idx="930">
                  <c:v>2.0039999999999999E-2</c:v>
                </c:pt>
                <c:pt idx="931">
                  <c:v>2.0039999999999999E-2</c:v>
                </c:pt>
                <c:pt idx="932">
                  <c:v>2.0039999999999999E-2</c:v>
                </c:pt>
                <c:pt idx="933">
                  <c:v>0.02</c:v>
                </c:pt>
                <c:pt idx="934">
                  <c:v>0.02</c:v>
                </c:pt>
                <c:pt idx="935">
                  <c:v>0.02</c:v>
                </c:pt>
                <c:pt idx="936">
                  <c:v>0.02</c:v>
                </c:pt>
                <c:pt idx="937">
                  <c:v>0.02</c:v>
                </c:pt>
                <c:pt idx="938">
                  <c:v>0.02</c:v>
                </c:pt>
                <c:pt idx="939">
                  <c:v>0.02</c:v>
                </c:pt>
                <c:pt idx="940">
                  <c:v>0.02</c:v>
                </c:pt>
                <c:pt idx="941">
                  <c:v>0.02</c:v>
                </c:pt>
                <c:pt idx="942">
                  <c:v>0.02</c:v>
                </c:pt>
                <c:pt idx="943">
                  <c:v>0.02</c:v>
                </c:pt>
                <c:pt idx="944">
                  <c:v>2.0060000000000001E-2</c:v>
                </c:pt>
                <c:pt idx="945">
                  <c:v>2.0060000000000001E-2</c:v>
                </c:pt>
                <c:pt idx="946">
                  <c:v>2.0060000000000001E-2</c:v>
                </c:pt>
                <c:pt idx="947">
                  <c:v>0.02</c:v>
                </c:pt>
                <c:pt idx="948">
                  <c:v>0.02</c:v>
                </c:pt>
                <c:pt idx="949">
                  <c:v>0.02</c:v>
                </c:pt>
                <c:pt idx="950">
                  <c:v>2.0070000000000001E-2</c:v>
                </c:pt>
                <c:pt idx="951">
                  <c:v>2.0060000000000001E-2</c:v>
                </c:pt>
                <c:pt idx="952">
                  <c:v>2.0060000000000001E-2</c:v>
                </c:pt>
                <c:pt idx="953">
                  <c:v>2.0060000000000001E-2</c:v>
                </c:pt>
                <c:pt idx="954">
                  <c:v>2.0209999999999999E-2</c:v>
                </c:pt>
                <c:pt idx="955">
                  <c:v>2.0160000000000001E-2</c:v>
                </c:pt>
                <c:pt idx="956">
                  <c:v>2.0330000000000001E-2</c:v>
                </c:pt>
                <c:pt idx="957">
                  <c:v>2.0199999999999999E-2</c:v>
                </c:pt>
                <c:pt idx="958">
                  <c:v>2.019E-2</c:v>
                </c:pt>
                <c:pt idx="959">
                  <c:v>2.019E-2</c:v>
                </c:pt>
                <c:pt idx="960">
                  <c:v>2.019E-2</c:v>
                </c:pt>
                <c:pt idx="961">
                  <c:v>2.0209999999999999E-2</c:v>
                </c:pt>
                <c:pt idx="962">
                  <c:v>2.0310000000000002E-2</c:v>
                </c:pt>
                <c:pt idx="963">
                  <c:v>2.0289999999999999E-2</c:v>
                </c:pt>
                <c:pt idx="964">
                  <c:v>0.02</c:v>
                </c:pt>
                <c:pt idx="965">
                  <c:v>0.02</c:v>
                </c:pt>
                <c:pt idx="966">
                  <c:v>0.02</c:v>
                </c:pt>
                <c:pt idx="967">
                  <c:v>0.02</c:v>
                </c:pt>
                <c:pt idx="968">
                  <c:v>0.02</c:v>
                </c:pt>
                <c:pt idx="969">
                  <c:v>2.001E-2</c:v>
                </c:pt>
                <c:pt idx="970">
                  <c:v>0.02</c:v>
                </c:pt>
                <c:pt idx="971">
                  <c:v>2.001E-2</c:v>
                </c:pt>
                <c:pt idx="972">
                  <c:v>2.001E-2</c:v>
                </c:pt>
                <c:pt idx="973">
                  <c:v>2.001E-2</c:v>
                </c:pt>
                <c:pt idx="974">
                  <c:v>2.001E-2</c:v>
                </c:pt>
                <c:pt idx="975">
                  <c:v>0.02</c:v>
                </c:pt>
                <c:pt idx="976">
                  <c:v>0.02</c:v>
                </c:pt>
                <c:pt idx="977">
                  <c:v>0.02</c:v>
                </c:pt>
                <c:pt idx="978">
                  <c:v>0.02</c:v>
                </c:pt>
                <c:pt idx="979">
                  <c:v>0.02</c:v>
                </c:pt>
                <c:pt idx="980">
                  <c:v>0.02</c:v>
                </c:pt>
                <c:pt idx="981">
                  <c:v>0.02</c:v>
                </c:pt>
                <c:pt idx="982">
                  <c:v>0.02</c:v>
                </c:pt>
                <c:pt idx="983">
                  <c:v>0.02</c:v>
                </c:pt>
                <c:pt idx="984">
                  <c:v>2.001E-2</c:v>
                </c:pt>
                <c:pt idx="985">
                  <c:v>0.02</c:v>
                </c:pt>
                <c:pt idx="986">
                  <c:v>2.0029999999999999E-2</c:v>
                </c:pt>
                <c:pt idx="987">
                  <c:v>2.0029999999999999E-2</c:v>
                </c:pt>
                <c:pt idx="988">
                  <c:v>2.0029999999999999E-2</c:v>
                </c:pt>
                <c:pt idx="989">
                  <c:v>0.02</c:v>
                </c:pt>
                <c:pt idx="990">
                  <c:v>0.02</c:v>
                </c:pt>
                <c:pt idx="991">
                  <c:v>0.02</c:v>
                </c:pt>
                <c:pt idx="992">
                  <c:v>0.02</c:v>
                </c:pt>
                <c:pt idx="993">
                  <c:v>0.02</c:v>
                </c:pt>
                <c:pt idx="994">
                  <c:v>0.02</c:v>
                </c:pt>
                <c:pt idx="995">
                  <c:v>0.02</c:v>
                </c:pt>
                <c:pt idx="996">
                  <c:v>0.02</c:v>
                </c:pt>
                <c:pt idx="997">
                  <c:v>0.02</c:v>
                </c:pt>
                <c:pt idx="998">
                  <c:v>0.02</c:v>
                </c:pt>
                <c:pt idx="999">
                  <c:v>0.02</c:v>
                </c:pt>
              </c:numCache>
            </c:numRef>
          </c:val>
          <c:smooth val="0"/>
          <c:extLst>
            <c:ext xmlns:c16="http://schemas.microsoft.com/office/drawing/2014/chart" uri="{C3380CC4-5D6E-409C-BE32-E72D297353CC}">
              <c16:uniqueId val="{00000000-90BA-134F-A94D-4008F7326B36}"/>
            </c:ext>
          </c:extLst>
        </c:ser>
        <c:ser>
          <c:idx val="1"/>
          <c:order val="1"/>
          <c:tx>
            <c:strRef>
              <c:f>'Données TMIB'!$H$1</c:f>
              <c:strCache>
                <c:ptCount val="1"/>
                <c:pt idx="0">
                  <c:v>Upper band </c:v>
                </c:pt>
              </c:strCache>
            </c:strRef>
          </c:tx>
          <c:marker>
            <c:symbol val="none"/>
          </c:marker>
          <c:cat>
            <c:numRef>
              <c:f>'Données TMIB'!$A$2:$A$999</c:f>
              <c:numCache>
                <c:formatCode>m/d/yy</c:formatCode>
                <c:ptCount val="998"/>
                <c:pt idx="0">
                  <c:v>42982</c:v>
                </c:pt>
                <c:pt idx="1">
                  <c:v>42983</c:v>
                </c:pt>
                <c:pt idx="2">
                  <c:v>42984</c:v>
                </c:pt>
                <c:pt idx="3">
                  <c:v>42985</c:v>
                </c:pt>
                <c:pt idx="4">
                  <c:v>42986</c:v>
                </c:pt>
                <c:pt idx="5">
                  <c:v>42987</c:v>
                </c:pt>
                <c:pt idx="6">
                  <c:v>42988</c:v>
                </c:pt>
                <c:pt idx="7">
                  <c:v>42989</c:v>
                </c:pt>
                <c:pt idx="8">
                  <c:v>42990</c:v>
                </c:pt>
                <c:pt idx="9">
                  <c:v>42991</c:v>
                </c:pt>
                <c:pt idx="10">
                  <c:v>42992</c:v>
                </c:pt>
                <c:pt idx="11">
                  <c:v>42993</c:v>
                </c:pt>
                <c:pt idx="12">
                  <c:v>42994</c:v>
                </c:pt>
                <c:pt idx="13">
                  <c:v>42995</c:v>
                </c:pt>
                <c:pt idx="14">
                  <c:v>42996</c:v>
                </c:pt>
                <c:pt idx="15">
                  <c:v>42997</c:v>
                </c:pt>
                <c:pt idx="16">
                  <c:v>42998</c:v>
                </c:pt>
                <c:pt idx="17">
                  <c:v>42999</c:v>
                </c:pt>
                <c:pt idx="18">
                  <c:v>43000</c:v>
                </c:pt>
                <c:pt idx="19">
                  <c:v>43001</c:v>
                </c:pt>
                <c:pt idx="20">
                  <c:v>43002</c:v>
                </c:pt>
                <c:pt idx="21">
                  <c:v>43003</c:v>
                </c:pt>
                <c:pt idx="22">
                  <c:v>43004</c:v>
                </c:pt>
                <c:pt idx="23">
                  <c:v>43005</c:v>
                </c:pt>
                <c:pt idx="24">
                  <c:v>43006</c:v>
                </c:pt>
                <c:pt idx="25">
                  <c:v>43007</c:v>
                </c:pt>
                <c:pt idx="26">
                  <c:v>43008</c:v>
                </c:pt>
                <c:pt idx="27">
                  <c:v>43009</c:v>
                </c:pt>
                <c:pt idx="28">
                  <c:v>43010</c:v>
                </c:pt>
                <c:pt idx="29">
                  <c:v>43011</c:v>
                </c:pt>
                <c:pt idx="30">
                  <c:v>43012</c:v>
                </c:pt>
                <c:pt idx="31">
                  <c:v>43013</c:v>
                </c:pt>
                <c:pt idx="32">
                  <c:v>43014</c:v>
                </c:pt>
                <c:pt idx="33">
                  <c:v>43015</c:v>
                </c:pt>
                <c:pt idx="34">
                  <c:v>43016</c:v>
                </c:pt>
                <c:pt idx="35">
                  <c:v>43017</c:v>
                </c:pt>
                <c:pt idx="36">
                  <c:v>43018</c:v>
                </c:pt>
                <c:pt idx="37">
                  <c:v>43019</c:v>
                </c:pt>
                <c:pt idx="38">
                  <c:v>43020</c:v>
                </c:pt>
                <c:pt idx="39">
                  <c:v>43021</c:v>
                </c:pt>
                <c:pt idx="40">
                  <c:v>43022</c:v>
                </c:pt>
                <c:pt idx="41">
                  <c:v>43023</c:v>
                </c:pt>
                <c:pt idx="42">
                  <c:v>43024</c:v>
                </c:pt>
                <c:pt idx="43">
                  <c:v>43025</c:v>
                </c:pt>
                <c:pt idx="44">
                  <c:v>43026</c:v>
                </c:pt>
                <c:pt idx="45">
                  <c:v>43027</c:v>
                </c:pt>
                <c:pt idx="46">
                  <c:v>43028</c:v>
                </c:pt>
                <c:pt idx="47">
                  <c:v>43029</c:v>
                </c:pt>
                <c:pt idx="48">
                  <c:v>43030</c:v>
                </c:pt>
                <c:pt idx="49">
                  <c:v>43031</c:v>
                </c:pt>
                <c:pt idx="50">
                  <c:v>43032</c:v>
                </c:pt>
                <c:pt idx="51">
                  <c:v>43033</c:v>
                </c:pt>
                <c:pt idx="52">
                  <c:v>43034</c:v>
                </c:pt>
                <c:pt idx="53">
                  <c:v>43035</c:v>
                </c:pt>
                <c:pt idx="54">
                  <c:v>43036</c:v>
                </c:pt>
                <c:pt idx="55">
                  <c:v>43037</c:v>
                </c:pt>
                <c:pt idx="56">
                  <c:v>43038</c:v>
                </c:pt>
                <c:pt idx="57">
                  <c:v>43039</c:v>
                </c:pt>
                <c:pt idx="58">
                  <c:v>43040</c:v>
                </c:pt>
                <c:pt idx="59">
                  <c:v>43041</c:v>
                </c:pt>
                <c:pt idx="60">
                  <c:v>43042</c:v>
                </c:pt>
                <c:pt idx="61">
                  <c:v>43043</c:v>
                </c:pt>
                <c:pt idx="62">
                  <c:v>43044</c:v>
                </c:pt>
                <c:pt idx="63">
                  <c:v>43045</c:v>
                </c:pt>
                <c:pt idx="64">
                  <c:v>43046</c:v>
                </c:pt>
                <c:pt idx="65">
                  <c:v>43047</c:v>
                </c:pt>
                <c:pt idx="66">
                  <c:v>43048</c:v>
                </c:pt>
                <c:pt idx="67">
                  <c:v>43049</c:v>
                </c:pt>
                <c:pt idx="68">
                  <c:v>43050</c:v>
                </c:pt>
                <c:pt idx="69">
                  <c:v>43051</c:v>
                </c:pt>
                <c:pt idx="70">
                  <c:v>43052</c:v>
                </c:pt>
                <c:pt idx="71">
                  <c:v>43053</c:v>
                </c:pt>
                <c:pt idx="72">
                  <c:v>43054</c:v>
                </c:pt>
                <c:pt idx="73">
                  <c:v>43055</c:v>
                </c:pt>
                <c:pt idx="74">
                  <c:v>43056</c:v>
                </c:pt>
                <c:pt idx="75">
                  <c:v>43057</c:v>
                </c:pt>
                <c:pt idx="76">
                  <c:v>43058</c:v>
                </c:pt>
                <c:pt idx="77">
                  <c:v>43059</c:v>
                </c:pt>
                <c:pt idx="78">
                  <c:v>43060</c:v>
                </c:pt>
                <c:pt idx="79">
                  <c:v>43061</c:v>
                </c:pt>
                <c:pt idx="80">
                  <c:v>43062</c:v>
                </c:pt>
                <c:pt idx="81">
                  <c:v>43063</c:v>
                </c:pt>
                <c:pt idx="82">
                  <c:v>43064</c:v>
                </c:pt>
                <c:pt idx="83">
                  <c:v>43065</c:v>
                </c:pt>
                <c:pt idx="84">
                  <c:v>43066</c:v>
                </c:pt>
                <c:pt idx="85">
                  <c:v>43067</c:v>
                </c:pt>
                <c:pt idx="86">
                  <c:v>43068</c:v>
                </c:pt>
                <c:pt idx="87">
                  <c:v>43069</c:v>
                </c:pt>
                <c:pt idx="88">
                  <c:v>43070</c:v>
                </c:pt>
                <c:pt idx="89">
                  <c:v>43071</c:v>
                </c:pt>
                <c:pt idx="90">
                  <c:v>43072</c:v>
                </c:pt>
                <c:pt idx="91">
                  <c:v>43073</c:v>
                </c:pt>
                <c:pt idx="92">
                  <c:v>43074</c:v>
                </c:pt>
                <c:pt idx="93">
                  <c:v>43075</c:v>
                </c:pt>
                <c:pt idx="94">
                  <c:v>43076</c:v>
                </c:pt>
                <c:pt idx="95">
                  <c:v>43077</c:v>
                </c:pt>
                <c:pt idx="96">
                  <c:v>43078</c:v>
                </c:pt>
                <c:pt idx="97">
                  <c:v>43079</c:v>
                </c:pt>
                <c:pt idx="98">
                  <c:v>43080</c:v>
                </c:pt>
                <c:pt idx="99">
                  <c:v>43081</c:v>
                </c:pt>
                <c:pt idx="100">
                  <c:v>43082</c:v>
                </c:pt>
                <c:pt idx="101">
                  <c:v>43083</c:v>
                </c:pt>
                <c:pt idx="102">
                  <c:v>43084</c:v>
                </c:pt>
                <c:pt idx="103">
                  <c:v>43085</c:v>
                </c:pt>
                <c:pt idx="104">
                  <c:v>43086</c:v>
                </c:pt>
                <c:pt idx="105">
                  <c:v>43087</c:v>
                </c:pt>
                <c:pt idx="106">
                  <c:v>43088</c:v>
                </c:pt>
                <c:pt idx="107">
                  <c:v>43089</c:v>
                </c:pt>
                <c:pt idx="108">
                  <c:v>43090</c:v>
                </c:pt>
                <c:pt idx="109">
                  <c:v>43091</c:v>
                </c:pt>
                <c:pt idx="110">
                  <c:v>43092</c:v>
                </c:pt>
                <c:pt idx="111">
                  <c:v>43093</c:v>
                </c:pt>
                <c:pt idx="112">
                  <c:v>43094</c:v>
                </c:pt>
                <c:pt idx="113">
                  <c:v>43095</c:v>
                </c:pt>
                <c:pt idx="114">
                  <c:v>43096</c:v>
                </c:pt>
                <c:pt idx="115">
                  <c:v>43097</c:v>
                </c:pt>
                <c:pt idx="116">
                  <c:v>43098</c:v>
                </c:pt>
                <c:pt idx="117">
                  <c:v>43099</c:v>
                </c:pt>
                <c:pt idx="118">
                  <c:v>43100</c:v>
                </c:pt>
                <c:pt idx="119">
                  <c:v>43101</c:v>
                </c:pt>
                <c:pt idx="120">
                  <c:v>43102</c:v>
                </c:pt>
                <c:pt idx="121">
                  <c:v>43103</c:v>
                </c:pt>
                <c:pt idx="122">
                  <c:v>43104</c:v>
                </c:pt>
                <c:pt idx="123">
                  <c:v>43105</c:v>
                </c:pt>
                <c:pt idx="124">
                  <c:v>43106</c:v>
                </c:pt>
                <c:pt idx="125">
                  <c:v>43107</c:v>
                </c:pt>
                <c:pt idx="126">
                  <c:v>43108</c:v>
                </c:pt>
                <c:pt idx="127">
                  <c:v>43109</c:v>
                </c:pt>
                <c:pt idx="128">
                  <c:v>43110</c:v>
                </c:pt>
                <c:pt idx="129">
                  <c:v>43111</c:v>
                </c:pt>
                <c:pt idx="130">
                  <c:v>43112</c:v>
                </c:pt>
                <c:pt idx="131">
                  <c:v>43113</c:v>
                </c:pt>
                <c:pt idx="132">
                  <c:v>43114</c:v>
                </c:pt>
                <c:pt idx="133">
                  <c:v>43115</c:v>
                </c:pt>
                <c:pt idx="134">
                  <c:v>43116</c:v>
                </c:pt>
                <c:pt idx="135">
                  <c:v>43117</c:v>
                </c:pt>
                <c:pt idx="136">
                  <c:v>43118</c:v>
                </c:pt>
                <c:pt idx="137">
                  <c:v>43119</c:v>
                </c:pt>
                <c:pt idx="138">
                  <c:v>43120</c:v>
                </c:pt>
                <c:pt idx="139">
                  <c:v>43121</c:v>
                </c:pt>
                <c:pt idx="140">
                  <c:v>43122</c:v>
                </c:pt>
                <c:pt idx="141">
                  <c:v>43123</c:v>
                </c:pt>
                <c:pt idx="142">
                  <c:v>43124</c:v>
                </c:pt>
                <c:pt idx="143">
                  <c:v>43125</c:v>
                </c:pt>
                <c:pt idx="144">
                  <c:v>43126</c:v>
                </c:pt>
                <c:pt idx="145">
                  <c:v>43127</c:v>
                </c:pt>
                <c:pt idx="146">
                  <c:v>43128</c:v>
                </c:pt>
                <c:pt idx="147">
                  <c:v>43129</c:v>
                </c:pt>
                <c:pt idx="148">
                  <c:v>43130</c:v>
                </c:pt>
                <c:pt idx="149">
                  <c:v>43131</c:v>
                </c:pt>
                <c:pt idx="150">
                  <c:v>43132</c:v>
                </c:pt>
                <c:pt idx="151">
                  <c:v>43133</c:v>
                </c:pt>
                <c:pt idx="152">
                  <c:v>43134</c:v>
                </c:pt>
                <c:pt idx="153">
                  <c:v>43135</c:v>
                </c:pt>
                <c:pt idx="154">
                  <c:v>43136</c:v>
                </c:pt>
                <c:pt idx="155">
                  <c:v>43137</c:v>
                </c:pt>
                <c:pt idx="156">
                  <c:v>43138</c:v>
                </c:pt>
                <c:pt idx="157">
                  <c:v>43139</c:v>
                </c:pt>
                <c:pt idx="158">
                  <c:v>43140</c:v>
                </c:pt>
                <c:pt idx="159">
                  <c:v>43141</c:v>
                </c:pt>
                <c:pt idx="160">
                  <c:v>43142</c:v>
                </c:pt>
                <c:pt idx="161">
                  <c:v>43143</c:v>
                </c:pt>
                <c:pt idx="162">
                  <c:v>43144</c:v>
                </c:pt>
                <c:pt idx="163">
                  <c:v>43145</c:v>
                </c:pt>
                <c:pt idx="164">
                  <c:v>43146</c:v>
                </c:pt>
                <c:pt idx="165">
                  <c:v>43147</c:v>
                </c:pt>
                <c:pt idx="166">
                  <c:v>43148</c:v>
                </c:pt>
                <c:pt idx="167">
                  <c:v>43149</c:v>
                </c:pt>
                <c:pt idx="168">
                  <c:v>43150</c:v>
                </c:pt>
                <c:pt idx="169">
                  <c:v>43151</c:v>
                </c:pt>
                <c:pt idx="170">
                  <c:v>43152</c:v>
                </c:pt>
                <c:pt idx="171">
                  <c:v>43153</c:v>
                </c:pt>
                <c:pt idx="172">
                  <c:v>43154</c:v>
                </c:pt>
                <c:pt idx="173">
                  <c:v>43155</c:v>
                </c:pt>
                <c:pt idx="174">
                  <c:v>43156</c:v>
                </c:pt>
                <c:pt idx="175">
                  <c:v>43157</c:v>
                </c:pt>
                <c:pt idx="176">
                  <c:v>43158</c:v>
                </c:pt>
                <c:pt idx="177">
                  <c:v>43159</c:v>
                </c:pt>
                <c:pt idx="178">
                  <c:v>43160</c:v>
                </c:pt>
                <c:pt idx="179">
                  <c:v>43161</c:v>
                </c:pt>
                <c:pt idx="180">
                  <c:v>43162</c:v>
                </c:pt>
                <c:pt idx="181">
                  <c:v>43163</c:v>
                </c:pt>
                <c:pt idx="182">
                  <c:v>43164</c:v>
                </c:pt>
                <c:pt idx="183">
                  <c:v>43165</c:v>
                </c:pt>
                <c:pt idx="184">
                  <c:v>43166</c:v>
                </c:pt>
                <c:pt idx="185">
                  <c:v>43167</c:v>
                </c:pt>
                <c:pt idx="186">
                  <c:v>43168</c:v>
                </c:pt>
                <c:pt idx="187">
                  <c:v>43169</c:v>
                </c:pt>
                <c:pt idx="188">
                  <c:v>43170</c:v>
                </c:pt>
                <c:pt idx="189">
                  <c:v>43171</c:v>
                </c:pt>
                <c:pt idx="190">
                  <c:v>43172</c:v>
                </c:pt>
                <c:pt idx="191">
                  <c:v>43173</c:v>
                </c:pt>
                <c:pt idx="192">
                  <c:v>43174</c:v>
                </c:pt>
                <c:pt idx="193">
                  <c:v>43175</c:v>
                </c:pt>
                <c:pt idx="194">
                  <c:v>43176</c:v>
                </c:pt>
                <c:pt idx="195">
                  <c:v>43177</c:v>
                </c:pt>
                <c:pt idx="196">
                  <c:v>43178</c:v>
                </c:pt>
                <c:pt idx="197">
                  <c:v>43179</c:v>
                </c:pt>
                <c:pt idx="198">
                  <c:v>43180</c:v>
                </c:pt>
                <c:pt idx="199">
                  <c:v>43181</c:v>
                </c:pt>
                <c:pt idx="200">
                  <c:v>43182</c:v>
                </c:pt>
                <c:pt idx="201">
                  <c:v>43183</c:v>
                </c:pt>
                <c:pt idx="202">
                  <c:v>43184</c:v>
                </c:pt>
                <c:pt idx="203">
                  <c:v>43185</c:v>
                </c:pt>
                <c:pt idx="204">
                  <c:v>43186</c:v>
                </c:pt>
                <c:pt idx="205">
                  <c:v>43187</c:v>
                </c:pt>
                <c:pt idx="206">
                  <c:v>43188</c:v>
                </c:pt>
                <c:pt idx="207">
                  <c:v>43189</c:v>
                </c:pt>
                <c:pt idx="208">
                  <c:v>43190</c:v>
                </c:pt>
                <c:pt idx="209">
                  <c:v>43191</c:v>
                </c:pt>
                <c:pt idx="210">
                  <c:v>43192</c:v>
                </c:pt>
                <c:pt idx="211">
                  <c:v>43193</c:v>
                </c:pt>
                <c:pt idx="212">
                  <c:v>43194</c:v>
                </c:pt>
                <c:pt idx="213">
                  <c:v>43195</c:v>
                </c:pt>
                <c:pt idx="214">
                  <c:v>43196</c:v>
                </c:pt>
                <c:pt idx="215">
                  <c:v>43197</c:v>
                </c:pt>
                <c:pt idx="216">
                  <c:v>43198</c:v>
                </c:pt>
                <c:pt idx="217">
                  <c:v>43199</c:v>
                </c:pt>
                <c:pt idx="218">
                  <c:v>43200</c:v>
                </c:pt>
                <c:pt idx="219">
                  <c:v>43201</c:v>
                </c:pt>
                <c:pt idx="220">
                  <c:v>43202</c:v>
                </c:pt>
                <c:pt idx="221">
                  <c:v>43203</c:v>
                </c:pt>
                <c:pt idx="222">
                  <c:v>43204</c:v>
                </c:pt>
                <c:pt idx="223">
                  <c:v>43205</c:v>
                </c:pt>
                <c:pt idx="224">
                  <c:v>43206</c:v>
                </c:pt>
                <c:pt idx="225">
                  <c:v>43207</c:v>
                </c:pt>
                <c:pt idx="226">
                  <c:v>43208</c:v>
                </c:pt>
                <c:pt idx="227">
                  <c:v>43209</c:v>
                </c:pt>
                <c:pt idx="228">
                  <c:v>43210</c:v>
                </c:pt>
                <c:pt idx="229">
                  <c:v>43211</c:v>
                </c:pt>
                <c:pt idx="230">
                  <c:v>43212</c:v>
                </c:pt>
                <c:pt idx="231">
                  <c:v>43213</c:v>
                </c:pt>
                <c:pt idx="232">
                  <c:v>43214</c:v>
                </c:pt>
                <c:pt idx="233">
                  <c:v>43215</c:v>
                </c:pt>
                <c:pt idx="234">
                  <c:v>43216</c:v>
                </c:pt>
                <c:pt idx="235">
                  <c:v>43217</c:v>
                </c:pt>
                <c:pt idx="236">
                  <c:v>43218</c:v>
                </c:pt>
                <c:pt idx="237">
                  <c:v>43219</c:v>
                </c:pt>
                <c:pt idx="238">
                  <c:v>43220</c:v>
                </c:pt>
                <c:pt idx="239">
                  <c:v>43221</c:v>
                </c:pt>
                <c:pt idx="240">
                  <c:v>43222</c:v>
                </c:pt>
                <c:pt idx="241">
                  <c:v>43223</c:v>
                </c:pt>
                <c:pt idx="242">
                  <c:v>43224</c:v>
                </c:pt>
                <c:pt idx="243">
                  <c:v>43225</c:v>
                </c:pt>
                <c:pt idx="244">
                  <c:v>43226</c:v>
                </c:pt>
                <c:pt idx="245">
                  <c:v>43227</c:v>
                </c:pt>
                <c:pt idx="246">
                  <c:v>43228</c:v>
                </c:pt>
                <c:pt idx="247">
                  <c:v>43229</c:v>
                </c:pt>
                <c:pt idx="248">
                  <c:v>43230</c:v>
                </c:pt>
                <c:pt idx="249">
                  <c:v>43231</c:v>
                </c:pt>
                <c:pt idx="250">
                  <c:v>43232</c:v>
                </c:pt>
                <c:pt idx="251">
                  <c:v>43233</c:v>
                </c:pt>
                <c:pt idx="252">
                  <c:v>43234</c:v>
                </c:pt>
                <c:pt idx="253">
                  <c:v>43235</c:v>
                </c:pt>
                <c:pt idx="254">
                  <c:v>43236</c:v>
                </c:pt>
                <c:pt idx="255">
                  <c:v>43237</c:v>
                </c:pt>
                <c:pt idx="256">
                  <c:v>43238</c:v>
                </c:pt>
                <c:pt idx="257">
                  <c:v>43239</c:v>
                </c:pt>
                <c:pt idx="258">
                  <c:v>43240</c:v>
                </c:pt>
                <c:pt idx="259">
                  <c:v>43241</c:v>
                </c:pt>
                <c:pt idx="260">
                  <c:v>43242</c:v>
                </c:pt>
                <c:pt idx="261">
                  <c:v>43243</c:v>
                </c:pt>
                <c:pt idx="262">
                  <c:v>43244</c:v>
                </c:pt>
                <c:pt idx="263">
                  <c:v>43245</c:v>
                </c:pt>
                <c:pt idx="264">
                  <c:v>43246</c:v>
                </c:pt>
                <c:pt idx="265">
                  <c:v>43247</c:v>
                </c:pt>
                <c:pt idx="266">
                  <c:v>43248</c:v>
                </c:pt>
                <c:pt idx="267">
                  <c:v>43249</c:v>
                </c:pt>
                <c:pt idx="268">
                  <c:v>43250</c:v>
                </c:pt>
                <c:pt idx="269">
                  <c:v>43251</c:v>
                </c:pt>
                <c:pt idx="270">
                  <c:v>43252</c:v>
                </c:pt>
                <c:pt idx="271">
                  <c:v>43253</c:v>
                </c:pt>
                <c:pt idx="272">
                  <c:v>43254</c:v>
                </c:pt>
                <c:pt idx="273">
                  <c:v>43255</c:v>
                </c:pt>
                <c:pt idx="274">
                  <c:v>43256</c:v>
                </c:pt>
                <c:pt idx="275">
                  <c:v>43257</c:v>
                </c:pt>
                <c:pt idx="276">
                  <c:v>43258</c:v>
                </c:pt>
                <c:pt idx="277">
                  <c:v>43259</c:v>
                </c:pt>
                <c:pt idx="278">
                  <c:v>43260</c:v>
                </c:pt>
                <c:pt idx="279">
                  <c:v>43261</c:v>
                </c:pt>
                <c:pt idx="280">
                  <c:v>43262</c:v>
                </c:pt>
                <c:pt idx="281">
                  <c:v>43263</c:v>
                </c:pt>
                <c:pt idx="282">
                  <c:v>43264</c:v>
                </c:pt>
                <c:pt idx="283">
                  <c:v>43265</c:v>
                </c:pt>
                <c:pt idx="284">
                  <c:v>43266</c:v>
                </c:pt>
                <c:pt idx="285">
                  <c:v>43267</c:v>
                </c:pt>
                <c:pt idx="286">
                  <c:v>43268</c:v>
                </c:pt>
                <c:pt idx="287">
                  <c:v>43269</c:v>
                </c:pt>
                <c:pt idx="288">
                  <c:v>43270</c:v>
                </c:pt>
                <c:pt idx="289">
                  <c:v>43271</c:v>
                </c:pt>
                <c:pt idx="290">
                  <c:v>43272</c:v>
                </c:pt>
                <c:pt idx="291">
                  <c:v>43273</c:v>
                </c:pt>
                <c:pt idx="292">
                  <c:v>43274</c:v>
                </c:pt>
                <c:pt idx="293">
                  <c:v>43275</c:v>
                </c:pt>
                <c:pt idx="294">
                  <c:v>43276</c:v>
                </c:pt>
                <c:pt idx="295">
                  <c:v>43277</c:v>
                </c:pt>
                <c:pt idx="296">
                  <c:v>43278</c:v>
                </c:pt>
                <c:pt idx="297">
                  <c:v>43279</c:v>
                </c:pt>
                <c:pt idx="298">
                  <c:v>43280</c:v>
                </c:pt>
                <c:pt idx="299">
                  <c:v>43281</c:v>
                </c:pt>
                <c:pt idx="300">
                  <c:v>43282</c:v>
                </c:pt>
                <c:pt idx="301">
                  <c:v>43283</c:v>
                </c:pt>
                <c:pt idx="302">
                  <c:v>43284</c:v>
                </c:pt>
                <c:pt idx="303">
                  <c:v>43285</c:v>
                </c:pt>
                <c:pt idx="304">
                  <c:v>43286</c:v>
                </c:pt>
                <c:pt idx="305">
                  <c:v>43287</c:v>
                </c:pt>
                <c:pt idx="306">
                  <c:v>43288</c:v>
                </c:pt>
                <c:pt idx="307">
                  <c:v>43289</c:v>
                </c:pt>
                <c:pt idx="308">
                  <c:v>43290</c:v>
                </c:pt>
                <c:pt idx="309">
                  <c:v>43291</c:v>
                </c:pt>
                <c:pt idx="310">
                  <c:v>43292</c:v>
                </c:pt>
                <c:pt idx="311">
                  <c:v>43293</c:v>
                </c:pt>
                <c:pt idx="312">
                  <c:v>43294</c:v>
                </c:pt>
                <c:pt idx="313">
                  <c:v>43295</c:v>
                </c:pt>
                <c:pt idx="314">
                  <c:v>43296</c:v>
                </c:pt>
                <c:pt idx="315">
                  <c:v>43297</c:v>
                </c:pt>
                <c:pt idx="316">
                  <c:v>43298</c:v>
                </c:pt>
                <c:pt idx="317">
                  <c:v>43299</c:v>
                </c:pt>
                <c:pt idx="318">
                  <c:v>43300</c:v>
                </c:pt>
                <c:pt idx="319">
                  <c:v>43301</c:v>
                </c:pt>
                <c:pt idx="320">
                  <c:v>43302</c:v>
                </c:pt>
                <c:pt idx="321">
                  <c:v>43303</c:v>
                </c:pt>
                <c:pt idx="322">
                  <c:v>43304</c:v>
                </c:pt>
                <c:pt idx="323">
                  <c:v>43305</c:v>
                </c:pt>
                <c:pt idx="324">
                  <c:v>43306</c:v>
                </c:pt>
                <c:pt idx="325">
                  <c:v>43307</c:v>
                </c:pt>
                <c:pt idx="326">
                  <c:v>43308</c:v>
                </c:pt>
                <c:pt idx="327">
                  <c:v>43309</c:v>
                </c:pt>
                <c:pt idx="328">
                  <c:v>43310</c:v>
                </c:pt>
                <c:pt idx="329">
                  <c:v>43311</c:v>
                </c:pt>
                <c:pt idx="330">
                  <c:v>43312</c:v>
                </c:pt>
                <c:pt idx="331">
                  <c:v>43313</c:v>
                </c:pt>
                <c:pt idx="332">
                  <c:v>43314</c:v>
                </c:pt>
                <c:pt idx="333">
                  <c:v>43315</c:v>
                </c:pt>
                <c:pt idx="334">
                  <c:v>43316</c:v>
                </c:pt>
                <c:pt idx="335">
                  <c:v>43317</c:v>
                </c:pt>
                <c:pt idx="336">
                  <c:v>43318</c:v>
                </c:pt>
                <c:pt idx="337">
                  <c:v>43319</c:v>
                </c:pt>
                <c:pt idx="338">
                  <c:v>43320</c:v>
                </c:pt>
                <c:pt idx="339">
                  <c:v>43321</c:v>
                </c:pt>
                <c:pt idx="340">
                  <c:v>43322</c:v>
                </c:pt>
                <c:pt idx="341">
                  <c:v>43323</c:v>
                </c:pt>
                <c:pt idx="342">
                  <c:v>43324</c:v>
                </c:pt>
                <c:pt idx="343">
                  <c:v>43325</c:v>
                </c:pt>
                <c:pt idx="344">
                  <c:v>43326</c:v>
                </c:pt>
                <c:pt idx="345">
                  <c:v>43327</c:v>
                </c:pt>
                <c:pt idx="346">
                  <c:v>43328</c:v>
                </c:pt>
                <c:pt idx="347">
                  <c:v>43329</c:v>
                </c:pt>
                <c:pt idx="348">
                  <c:v>43330</c:v>
                </c:pt>
                <c:pt idx="349">
                  <c:v>43331</c:v>
                </c:pt>
                <c:pt idx="350">
                  <c:v>43332</c:v>
                </c:pt>
                <c:pt idx="351">
                  <c:v>43333</c:v>
                </c:pt>
                <c:pt idx="352">
                  <c:v>43334</c:v>
                </c:pt>
                <c:pt idx="353">
                  <c:v>43335</c:v>
                </c:pt>
                <c:pt idx="354">
                  <c:v>43336</c:v>
                </c:pt>
                <c:pt idx="355">
                  <c:v>43337</c:v>
                </c:pt>
                <c:pt idx="356">
                  <c:v>43338</c:v>
                </c:pt>
                <c:pt idx="357">
                  <c:v>43339</c:v>
                </c:pt>
                <c:pt idx="358">
                  <c:v>43340</c:v>
                </c:pt>
                <c:pt idx="359">
                  <c:v>43341</c:v>
                </c:pt>
                <c:pt idx="360">
                  <c:v>43342</c:v>
                </c:pt>
                <c:pt idx="361">
                  <c:v>43343</c:v>
                </c:pt>
                <c:pt idx="362">
                  <c:v>43344</c:v>
                </c:pt>
                <c:pt idx="363">
                  <c:v>43345</c:v>
                </c:pt>
                <c:pt idx="364">
                  <c:v>43346</c:v>
                </c:pt>
                <c:pt idx="365">
                  <c:v>43347</c:v>
                </c:pt>
                <c:pt idx="366">
                  <c:v>43348</c:v>
                </c:pt>
                <c:pt idx="367">
                  <c:v>43349</c:v>
                </c:pt>
                <c:pt idx="368">
                  <c:v>43350</c:v>
                </c:pt>
                <c:pt idx="369">
                  <c:v>43351</c:v>
                </c:pt>
                <c:pt idx="370">
                  <c:v>43352</c:v>
                </c:pt>
                <c:pt idx="371">
                  <c:v>43353</c:v>
                </c:pt>
                <c:pt idx="372">
                  <c:v>43354</c:v>
                </c:pt>
                <c:pt idx="373">
                  <c:v>43355</c:v>
                </c:pt>
                <c:pt idx="374">
                  <c:v>43356</c:v>
                </c:pt>
                <c:pt idx="375">
                  <c:v>43357</c:v>
                </c:pt>
                <c:pt idx="376">
                  <c:v>43358</c:v>
                </c:pt>
                <c:pt idx="377">
                  <c:v>43359</c:v>
                </c:pt>
                <c:pt idx="378">
                  <c:v>43360</c:v>
                </c:pt>
                <c:pt idx="379">
                  <c:v>43361</c:v>
                </c:pt>
                <c:pt idx="380">
                  <c:v>43362</c:v>
                </c:pt>
                <c:pt idx="381">
                  <c:v>43363</c:v>
                </c:pt>
                <c:pt idx="382">
                  <c:v>43364</c:v>
                </c:pt>
                <c:pt idx="383">
                  <c:v>43365</c:v>
                </c:pt>
                <c:pt idx="384">
                  <c:v>43366</c:v>
                </c:pt>
                <c:pt idx="385">
                  <c:v>43367</c:v>
                </c:pt>
                <c:pt idx="386">
                  <c:v>43368</c:v>
                </c:pt>
                <c:pt idx="387">
                  <c:v>43369</c:v>
                </c:pt>
                <c:pt idx="388">
                  <c:v>43370</c:v>
                </c:pt>
                <c:pt idx="389">
                  <c:v>43371</c:v>
                </c:pt>
                <c:pt idx="390">
                  <c:v>43372</c:v>
                </c:pt>
                <c:pt idx="391">
                  <c:v>43373</c:v>
                </c:pt>
                <c:pt idx="392">
                  <c:v>43374</c:v>
                </c:pt>
                <c:pt idx="393">
                  <c:v>43375</c:v>
                </c:pt>
                <c:pt idx="394">
                  <c:v>43376</c:v>
                </c:pt>
                <c:pt idx="395">
                  <c:v>43377</c:v>
                </c:pt>
                <c:pt idx="396">
                  <c:v>43378</c:v>
                </c:pt>
                <c:pt idx="397">
                  <c:v>43379</c:v>
                </c:pt>
                <c:pt idx="398">
                  <c:v>43380</c:v>
                </c:pt>
                <c:pt idx="399">
                  <c:v>43381</c:v>
                </c:pt>
                <c:pt idx="400">
                  <c:v>43382</c:v>
                </c:pt>
                <c:pt idx="401">
                  <c:v>43383</c:v>
                </c:pt>
                <c:pt idx="402">
                  <c:v>43384</c:v>
                </c:pt>
                <c:pt idx="403">
                  <c:v>43385</c:v>
                </c:pt>
                <c:pt idx="404">
                  <c:v>43386</c:v>
                </c:pt>
                <c:pt idx="405">
                  <c:v>43387</c:v>
                </c:pt>
                <c:pt idx="406">
                  <c:v>43388</c:v>
                </c:pt>
                <c:pt idx="407">
                  <c:v>43389</c:v>
                </c:pt>
                <c:pt idx="408">
                  <c:v>43390</c:v>
                </c:pt>
                <c:pt idx="409">
                  <c:v>43391</c:v>
                </c:pt>
                <c:pt idx="410">
                  <c:v>43392</c:v>
                </c:pt>
                <c:pt idx="411">
                  <c:v>43393</c:v>
                </c:pt>
                <c:pt idx="412">
                  <c:v>43394</c:v>
                </c:pt>
                <c:pt idx="413">
                  <c:v>43395</c:v>
                </c:pt>
                <c:pt idx="414">
                  <c:v>43396</c:v>
                </c:pt>
                <c:pt idx="415">
                  <c:v>43397</c:v>
                </c:pt>
                <c:pt idx="416">
                  <c:v>43398</c:v>
                </c:pt>
                <c:pt idx="417">
                  <c:v>43399</c:v>
                </c:pt>
                <c:pt idx="418">
                  <c:v>43400</c:v>
                </c:pt>
                <c:pt idx="419">
                  <c:v>43401</c:v>
                </c:pt>
                <c:pt idx="420">
                  <c:v>43402</c:v>
                </c:pt>
                <c:pt idx="421">
                  <c:v>43403</c:v>
                </c:pt>
                <c:pt idx="422">
                  <c:v>43404</c:v>
                </c:pt>
                <c:pt idx="423">
                  <c:v>43405</c:v>
                </c:pt>
                <c:pt idx="424">
                  <c:v>43406</c:v>
                </c:pt>
                <c:pt idx="425">
                  <c:v>43407</c:v>
                </c:pt>
                <c:pt idx="426">
                  <c:v>43408</c:v>
                </c:pt>
                <c:pt idx="427">
                  <c:v>43409</c:v>
                </c:pt>
                <c:pt idx="428">
                  <c:v>43410</c:v>
                </c:pt>
                <c:pt idx="429">
                  <c:v>43411</c:v>
                </c:pt>
                <c:pt idx="430">
                  <c:v>43412</c:v>
                </c:pt>
                <c:pt idx="431">
                  <c:v>43413</c:v>
                </c:pt>
                <c:pt idx="432">
                  <c:v>43414</c:v>
                </c:pt>
                <c:pt idx="433">
                  <c:v>43415</c:v>
                </c:pt>
                <c:pt idx="434">
                  <c:v>43416</c:v>
                </c:pt>
                <c:pt idx="435">
                  <c:v>43417</c:v>
                </c:pt>
                <c:pt idx="436">
                  <c:v>43418</c:v>
                </c:pt>
                <c:pt idx="437">
                  <c:v>43419</c:v>
                </c:pt>
                <c:pt idx="438">
                  <c:v>43420</c:v>
                </c:pt>
                <c:pt idx="439">
                  <c:v>43421</c:v>
                </c:pt>
                <c:pt idx="440">
                  <c:v>43422</c:v>
                </c:pt>
                <c:pt idx="441">
                  <c:v>43423</c:v>
                </c:pt>
                <c:pt idx="442">
                  <c:v>43424</c:v>
                </c:pt>
                <c:pt idx="443">
                  <c:v>43425</c:v>
                </c:pt>
                <c:pt idx="444">
                  <c:v>43426</c:v>
                </c:pt>
                <c:pt idx="445">
                  <c:v>43427</c:v>
                </c:pt>
                <c:pt idx="446">
                  <c:v>43428</c:v>
                </c:pt>
                <c:pt idx="447">
                  <c:v>43429</c:v>
                </c:pt>
                <c:pt idx="448">
                  <c:v>43430</c:v>
                </c:pt>
                <c:pt idx="449">
                  <c:v>43431</c:v>
                </c:pt>
                <c:pt idx="450">
                  <c:v>43432</c:v>
                </c:pt>
                <c:pt idx="451">
                  <c:v>43433</c:v>
                </c:pt>
                <c:pt idx="452">
                  <c:v>43434</c:v>
                </c:pt>
                <c:pt idx="453">
                  <c:v>43435</c:v>
                </c:pt>
                <c:pt idx="454">
                  <c:v>43436</c:v>
                </c:pt>
                <c:pt idx="455">
                  <c:v>43437</c:v>
                </c:pt>
                <c:pt idx="456">
                  <c:v>43438</c:v>
                </c:pt>
                <c:pt idx="457">
                  <c:v>43439</c:v>
                </c:pt>
                <c:pt idx="458">
                  <c:v>43440</c:v>
                </c:pt>
                <c:pt idx="459">
                  <c:v>43441</c:v>
                </c:pt>
                <c:pt idx="460">
                  <c:v>43442</c:v>
                </c:pt>
                <c:pt idx="461">
                  <c:v>43443</c:v>
                </c:pt>
                <c:pt idx="462">
                  <c:v>43444</c:v>
                </c:pt>
                <c:pt idx="463">
                  <c:v>43445</c:v>
                </c:pt>
                <c:pt idx="464">
                  <c:v>43446</c:v>
                </c:pt>
                <c:pt idx="465">
                  <c:v>43447</c:v>
                </c:pt>
                <c:pt idx="466">
                  <c:v>43448</c:v>
                </c:pt>
                <c:pt idx="467">
                  <c:v>43449</c:v>
                </c:pt>
                <c:pt idx="468">
                  <c:v>43450</c:v>
                </c:pt>
                <c:pt idx="469">
                  <c:v>43451</c:v>
                </c:pt>
                <c:pt idx="470">
                  <c:v>43452</c:v>
                </c:pt>
                <c:pt idx="471">
                  <c:v>43453</c:v>
                </c:pt>
                <c:pt idx="472">
                  <c:v>43454</c:v>
                </c:pt>
                <c:pt idx="473">
                  <c:v>43455</c:v>
                </c:pt>
                <c:pt idx="474">
                  <c:v>43456</c:v>
                </c:pt>
                <c:pt idx="475">
                  <c:v>43457</c:v>
                </c:pt>
                <c:pt idx="476">
                  <c:v>43458</c:v>
                </c:pt>
                <c:pt idx="477">
                  <c:v>43459</c:v>
                </c:pt>
                <c:pt idx="478">
                  <c:v>43460</c:v>
                </c:pt>
                <c:pt idx="479">
                  <c:v>43461</c:v>
                </c:pt>
                <c:pt idx="480">
                  <c:v>43462</c:v>
                </c:pt>
                <c:pt idx="481">
                  <c:v>43463</c:v>
                </c:pt>
                <c:pt idx="482">
                  <c:v>43464</c:v>
                </c:pt>
                <c:pt idx="483">
                  <c:v>43465</c:v>
                </c:pt>
                <c:pt idx="484">
                  <c:v>43466</c:v>
                </c:pt>
                <c:pt idx="485">
                  <c:v>43467</c:v>
                </c:pt>
                <c:pt idx="486">
                  <c:v>43468</c:v>
                </c:pt>
                <c:pt idx="487">
                  <c:v>43469</c:v>
                </c:pt>
                <c:pt idx="488">
                  <c:v>43470</c:v>
                </c:pt>
                <c:pt idx="489">
                  <c:v>43471</c:v>
                </c:pt>
                <c:pt idx="490">
                  <c:v>43472</c:v>
                </c:pt>
                <c:pt idx="491">
                  <c:v>43473</c:v>
                </c:pt>
                <c:pt idx="492">
                  <c:v>43474</c:v>
                </c:pt>
                <c:pt idx="493">
                  <c:v>43475</c:v>
                </c:pt>
                <c:pt idx="494">
                  <c:v>43476</c:v>
                </c:pt>
                <c:pt idx="495">
                  <c:v>43477</c:v>
                </c:pt>
                <c:pt idx="496">
                  <c:v>43478</c:v>
                </c:pt>
                <c:pt idx="497">
                  <c:v>43479</c:v>
                </c:pt>
                <c:pt idx="498">
                  <c:v>43480</c:v>
                </c:pt>
                <c:pt idx="499">
                  <c:v>43481</c:v>
                </c:pt>
                <c:pt idx="500">
                  <c:v>43482</c:v>
                </c:pt>
                <c:pt idx="501">
                  <c:v>43483</c:v>
                </c:pt>
                <c:pt idx="502">
                  <c:v>43484</c:v>
                </c:pt>
                <c:pt idx="503">
                  <c:v>43485</c:v>
                </c:pt>
                <c:pt idx="504">
                  <c:v>43486</c:v>
                </c:pt>
                <c:pt idx="505">
                  <c:v>43487</c:v>
                </c:pt>
                <c:pt idx="506">
                  <c:v>43488</c:v>
                </c:pt>
                <c:pt idx="507">
                  <c:v>43489</c:v>
                </c:pt>
                <c:pt idx="508">
                  <c:v>43490</c:v>
                </c:pt>
                <c:pt idx="509">
                  <c:v>43491</c:v>
                </c:pt>
                <c:pt idx="510">
                  <c:v>43492</c:v>
                </c:pt>
                <c:pt idx="511">
                  <c:v>43493</c:v>
                </c:pt>
                <c:pt idx="512">
                  <c:v>43494</c:v>
                </c:pt>
                <c:pt idx="513">
                  <c:v>43495</c:v>
                </c:pt>
                <c:pt idx="514">
                  <c:v>43496</c:v>
                </c:pt>
                <c:pt idx="515">
                  <c:v>43497</c:v>
                </c:pt>
                <c:pt idx="516">
                  <c:v>43498</c:v>
                </c:pt>
                <c:pt idx="517">
                  <c:v>43499</c:v>
                </c:pt>
                <c:pt idx="518">
                  <c:v>43500</c:v>
                </c:pt>
                <c:pt idx="519">
                  <c:v>43501</c:v>
                </c:pt>
                <c:pt idx="520">
                  <c:v>43502</c:v>
                </c:pt>
                <c:pt idx="521">
                  <c:v>43503</c:v>
                </c:pt>
                <c:pt idx="522">
                  <c:v>43504</c:v>
                </c:pt>
                <c:pt idx="523">
                  <c:v>43505</c:v>
                </c:pt>
                <c:pt idx="524">
                  <c:v>43506</c:v>
                </c:pt>
                <c:pt idx="525">
                  <c:v>43507</c:v>
                </c:pt>
                <c:pt idx="526">
                  <c:v>43508</c:v>
                </c:pt>
                <c:pt idx="527">
                  <c:v>43509</c:v>
                </c:pt>
                <c:pt idx="528">
                  <c:v>43510</c:v>
                </c:pt>
                <c:pt idx="529">
                  <c:v>43511</c:v>
                </c:pt>
                <c:pt idx="530">
                  <c:v>43512</c:v>
                </c:pt>
                <c:pt idx="531">
                  <c:v>43513</c:v>
                </c:pt>
                <c:pt idx="532">
                  <c:v>43514</c:v>
                </c:pt>
                <c:pt idx="533">
                  <c:v>43515</c:v>
                </c:pt>
                <c:pt idx="534">
                  <c:v>43516</c:v>
                </c:pt>
                <c:pt idx="535">
                  <c:v>43517</c:v>
                </c:pt>
                <c:pt idx="536">
                  <c:v>43518</c:v>
                </c:pt>
                <c:pt idx="537">
                  <c:v>43519</c:v>
                </c:pt>
                <c:pt idx="538">
                  <c:v>43520</c:v>
                </c:pt>
                <c:pt idx="539">
                  <c:v>43521</c:v>
                </c:pt>
                <c:pt idx="540">
                  <c:v>43522</c:v>
                </c:pt>
                <c:pt idx="541">
                  <c:v>43523</c:v>
                </c:pt>
                <c:pt idx="542">
                  <c:v>43524</c:v>
                </c:pt>
                <c:pt idx="543">
                  <c:v>43525</c:v>
                </c:pt>
                <c:pt idx="544">
                  <c:v>43526</c:v>
                </c:pt>
                <c:pt idx="545">
                  <c:v>43527</c:v>
                </c:pt>
                <c:pt idx="546">
                  <c:v>43528</c:v>
                </c:pt>
                <c:pt idx="547">
                  <c:v>43529</c:v>
                </c:pt>
                <c:pt idx="548">
                  <c:v>43530</c:v>
                </c:pt>
                <c:pt idx="549">
                  <c:v>43531</c:v>
                </c:pt>
                <c:pt idx="550">
                  <c:v>43532</c:v>
                </c:pt>
                <c:pt idx="551">
                  <c:v>43533</c:v>
                </c:pt>
                <c:pt idx="552">
                  <c:v>43534</c:v>
                </c:pt>
                <c:pt idx="553">
                  <c:v>43535</c:v>
                </c:pt>
                <c:pt idx="554">
                  <c:v>43536</c:v>
                </c:pt>
                <c:pt idx="555">
                  <c:v>43537</c:v>
                </c:pt>
                <c:pt idx="556">
                  <c:v>43538</c:v>
                </c:pt>
                <c:pt idx="557">
                  <c:v>43539</c:v>
                </c:pt>
                <c:pt idx="558">
                  <c:v>43540</c:v>
                </c:pt>
                <c:pt idx="559">
                  <c:v>43541</c:v>
                </c:pt>
                <c:pt idx="560">
                  <c:v>43542</c:v>
                </c:pt>
                <c:pt idx="561">
                  <c:v>43543</c:v>
                </c:pt>
                <c:pt idx="562">
                  <c:v>43544</c:v>
                </c:pt>
                <c:pt idx="563">
                  <c:v>43545</c:v>
                </c:pt>
                <c:pt idx="564">
                  <c:v>43546</c:v>
                </c:pt>
                <c:pt idx="565">
                  <c:v>43547</c:v>
                </c:pt>
                <c:pt idx="566">
                  <c:v>43548</c:v>
                </c:pt>
                <c:pt idx="567">
                  <c:v>43549</c:v>
                </c:pt>
                <c:pt idx="568">
                  <c:v>43550</c:v>
                </c:pt>
                <c:pt idx="569">
                  <c:v>43551</c:v>
                </c:pt>
                <c:pt idx="570">
                  <c:v>43552</c:v>
                </c:pt>
                <c:pt idx="571">
                  <c:v>43553</c:v>
                </c:pt>
                <c:pt idx="572">
                  <c:v>43554</c:v>
                </c:pt>
                <c:pt idx="573">
                  <c:v>43555</c:v>
                </c:pt>
                <c:pt idx="574">
                  <c:v>43556</c:v>
                </c:pt>
                <c:pt idx="575">
                  <c:v>43557</c:v>
                </c:pt>
                <c:pt idx="576">
                  <c:v>43558</c:v>
                </c:pt>
                <c:pt idx="577">
                  <c:v>43559</c:v>
                </c:pt>
                <c:pt idx="578">
                  <c:v>43560</c:v>
                </c:pt>
                <c:pt idx="579">
                  <c:v>43561</c:v>
                </c:pt>
                <c:pt idx="580">
                  <c:v>43562</c:v>
                </c:pt>
                <c:pt idx="581">
                  <c:v>43563</c:v>
                </c:pt>
                <c:pt idx="582">
                  <c:v>43564</c:v>
                </c:pt>
                <c:pt idx="583">
                  <c:v>43565</c:v>
                </c:pt>
                <c:pt idx="584">
                  <c:v>43566</c:v>
                </c:pt>
                <c:pt idx="585">
                  <c:v>43567</c:v>
                </c:pt>
                <c:pt idx="586">
                  <c:v>43568</c:v>
                </c:pt>
                <c:pt idx="587">
                  <c:v>43569</c:v>
                </c:pt>
                <c:pt idx="588">
                  <c:v>43570</c:v>
                </c:pt>
                <c:pt idx="589">
                  <c:v>43571</c:v>
                </c:pt>
                <c:pt idx="590">
                  <c:v>43572</c:v>
                </c:pt>
                <c:pt idx="591">
                  <c:v>43573</c:v>
                </c:pt>
                <c:pt idx="592">
                  <c:v>43574</c:v>
                </c:pt>
                <c:pt idx="593">
                  <c:v>43575</c:v>
                </c:pt>
                <c:pt idx="594">
                  <c:v>43576</c:v>
                </c:pt>
                <c:pt idx="595">
                  <c:v>43577</c:v>
                </c:pt>
                <c:pt idx="596">
                  <c:v>43578</c:v>
                </c:pt>
                <c:pt idx="597">
                  <c:v>43579</c:v>
                </c:pt>
                <c:pt idx="598">
                  <c:v>43580</c:v>
                </c:pt>
                <c:pt idx="599">
                  <c:v>43581</c:v>
                </c:pt>
                <c:pt idx="600">
                  <c:v>43582</c:v>
                </c:pt>
                <c:pt idx="601">
                  <c:v>43583</c:v>
                </c:pt>
                <c:pt idx="602">
                  <c:v>43584</c:v>
                </c:pt>
                <c:pt idx="603">
                  <c:v>43585</c:v>
                </c:pt>
                <c:pt idx="604">
                  <c:v>43586</c:v>
                </c:pt>
                <c:pt idx="605">
                  <c:v>43587</c:v>
                </c:pt>
                <c:pt idx="606">
                  <c:v>43588</c:v>
                </c:pt>
                <c:pt idx="607">
                  <c:v>43589</c:v>
                </c:pt>
                <c:pt idx="608">
                  <c:v>43590</c:v>
                </c:pt>
                <c:pt idx="609">
                  <c:v>43591</c:v>
                </c:pt>
                <c:pt idx="610">
                  <c:v>43592</c:v>
                </c:pt>
                <c:pt idx="611">
                  <c:v>43593</c:v>
                </c:pt>
                <c:pt idx="612">
                  <c:v>43594</c:v>
                </c:pt>
                <c:pt idx="613">
                  <c:v>43595</c:v>
                </c:pt>
                <c:pt idx="614">
                  <c:v>43596</c:v>
                </c:pt>
                <c:pt idx="615">
                  <c:v>43597</c:v>
                </c:pt>
                <c:pt idx="616">
                  <c:v>43598</c:v>
                </c:pt>
                <c:pt idx="617">
                  <c:v>43599</c:v>
                </c:pt>
                <c:pt idx="618">
                  <c:v>43600</c:v>
                </c:pt>
                <c:pt idx="619">
                  <c:v>43601</c:v>
                </c:pt>
                <c:pt idx="620">
                  <c:v>43602</c:v>
                </c:pt>
                <c:pt idx="621">
                  <c:v>43603</c:v>
                </c:pt>
                <c:pt idx="622">
                  <c:v>43604</c:v>
                </c:pt>
                <c:pt idx="623">
                  <c:v>43605</c:v>
                </c:pt>
                <c:pt idx="624">
                  <c:v>43606</c:v>
                </c:pt>
                <c:pt idx="625">
                  <c:v>43607</c:v>
                </c:pt>
                <c:pt idx="626">
                  <c:v>43608</c:v>
                </c:pt>
                <c:pt idx="627">
                  <c:v>43609</c:v>
                </c:pt>
                <c:pt idx="628">
                  <c:v>43610</c:v>
                </c:pt>
                <c:pt idx="629">
                  <c:v>43611</c:v>
                </c:pt>
                <c:pt idx="630">
                  <c:v>43612</c:v>
                </c:pt>
                <c:pt idx="631">
                  <c:v>43613</c:v>
                </c:pt>
                <c:pt idx="632">
                  <c:v>43614</c:v>
                </c:pt>
                <c:pt idx="633">
                  <c:v>43615</c:v>
                </c:pt>
                <c:pt idx="634">
                  <c:v>43616</c:v>
                </c:pt>
                <c:pt idx="635">
                  <c:v>43617</c:v>
                </c:pt>
                <c:pt idx="636">
                  <c:v>43618</c:v>
                </c:pt>
                <c:pt idx="637">
                  <c:v>43619</c:v>
                </c:pt>
                <c:pt idx="638">
                  <c:v>43620</c:v>
                </c:pt>
                <c:pt idx="639">
                  <c:v>43621</c:v>
                </c:pt>
                <c:pt idx="640">
                  <c:v>43622</c:v>
                </c:pt>
                <c:pt idx="641">
                  <c:v>43623</c:v>
                </c:pt>
                <c:pt idx="642">
                  <c:v>43624</c:v>
                </c:pt>
                <c:pt idx="643">
                  <c:v>43625</c:v>
                </c:pt>
                <c:pt idx="644">
                  <c:v>43626</c:v>
                </c:pt>
                <c:pt idx="645">
                  <c:v>43627</c:v>
                </c:pt>
                <c:pt idx="646">
                  <c:v>43628</c:v>
                </c:pt>
                <c:pt idx="647">
                  <c:v>43629</c:v>
                </c:pt>
                <c:pt idx="648">
                  <c:v>43630</c:v>
                </c:pt>
                <c:pt idx="649">
                  <c:v>43631</c:v>
                </c:pt>
                <c:pt idx="650">
                  <c:v>43632</c:v>
                </c:pt>
                <c:pt idx="651">
                  <c:v>43633</c:v>
                </c:pt>
                <c:pt idx="652">
                  <c:v>43634</c:v>
                </c:pt>
                <c:pt idx="653">
                  <c:v>43635</c:v>
                </c:pt>
                <c:pt idx="654">
                  <c:v>43636</c:v>
                </c:pt>
                <c:pt idx="655">
                  <c:v>43637</c:v>
                </c:pt>
                <c:pt idx="656">
                  <c:v>43638</c:v>
                </c:pt>
                <c:pt idx="657">
                  <c:v>43639</c:v>
                </c:pt>
                <c:pt idx="658">
                  <c:v>43640</c:v>
                </c:pt>
                <c:pt idx="659">
                  <c:v>43641</c:v>
                </c:pt>
                <c:pt idx="660">
                  <c:v>43642</c:v>
                </c:pt>
                <c:pt idx="661">
                  <c:v>43643</c:v>
                </c:pt>
                <c:pt idx="662">
                  <c:v>43644</c:v>
                </c:pt>
                <c:pt idx="663">
                  <c:v>43645</c:v>
                </c:pt>
                <c:pt idx="664">
                  <c:v>43646</c:v>
                </c:pt>
                <c:pt idx="665">
                  <c:v>43647</c:v>
                </c:pt>
                <c:pt idx="666">
                  <c:v>43648</c:v>
                </c:pt>
                <c:pt idx="667">
                  <c:v>43649</c:v>
                </c:pt>
                <c:pt idx="668">
                  <c:v>43650</c:v>
                </c:pt>
                <c:pt idx="669">
                  <c:v>43651</c:v>
                </c:pt>
                <c:pt idx="670">
                  <c:v>43652</c:v>
                </c:pt>
                <c:pt idx="671">
                  <c:v>43653</c:v>
                </c:pt>
                <c:pt idx="672">
                  <c:v>43654</c:v>
                </c:pt>
                <c:pt idx="673">
                  <c:v>43655</c:v>
                </c:pt>
                <c:pt idx="674">
                  <c:v>43656</c:v>
                </c:pt>
                <c:pt idx="675">
                  <c:v>43657</c:v>
                </c:pt>
                <c:pt idx="676">
                  <c:v>43658</c:v>
                </c:pt>
                <c:pt idx="677">
                  <c:v>43659</c:v>
                </c:pt>
                <c:pt idx="678">
                  <c:v>43660</c:v>
                </c:pt>
                <c:pt idx="679">
                  <c:v>43661</c:v>
                </c:pt>
                <c:pt idx="680">
                  <c:v>43662</c:v>
                </c:pt>
                <c:pt idx="681">
                  <c:v>43663</c:v>
                </c:pt>
                <c:pt idx="682">
                  <c:v>43664</c:v>
                </c:pt>
                <c:pt idx="683">
                  <c:v>43665</c:v>
                </c:pt>
                <c:pt idx="684">
                  <c:v>43666</c:v>
                </c:pt>
                <c:pt idx="685">
                  <c:v>43667</c:v>
                </c:pt>
                <c:pt idx="686">
                  <c:v>43668</c:v>
                </c:pt>
                <c:pt idx="687">
                  <c:v>43669</c:v>
                </c:pt>
                <c:pt idx="688">
                  <c:v>43670</c:v>
                </c:pt>
                <c:pt idx="689">
                  <c:v>43671</c:v>
                </c:pt>
                <c:pt idx="690">
                  <c:v>43672</c:v>
                </c:pt>
                <c:pt idx="691">
                  <c:v>43673</c:v>
                </c:pt>
                <c:pt idx="692">
                  <c:v>43674</c:v>
                </c:pt>
                <c:pt idx="693">
                  <c:v>43675</c:v>
                </c:pt>
                <c:pt idx="694">
                  <c:v>43676</c:v>
                </c:pt>
                <c:pt idx="695">
                  <c:v>43677</c:v>
                </c:pt>
                <c:pt idx="696">
                  <c:v>43678</c:v>
                </c:pt>
                <c:pt idx="697">
                  <c:v>43679</c:v>
                </c:pt>
                <c:pt idx="698">
                  <c:v>43680</c:v>
                </c:pt>
                <c:pt idx="699">
                  <c:v>43681</c:v>
                </c:pt>
                <c:pt idx="700">
                  <c:v>43682</c:v>
                </c:pt>
                <c:pt idx="701">
                  <c:v>43683</c:v>
                </c:pt>
                <c:pt idx="702">
                  <c:v>43684</c:v>
                </c:pt>
                <c:pt idx="703">
                  <c:v>43685</c:v>
                </c:pt>
                <c:pt idx="704">
                  <c:v>43686</c:v>
                </c:pt>
                <c:pt idx="705">
                  <c:v>43687</c:v>
                </c:pt>
                <c:pt idx="706">
                  <c:v>43688</c:v>
                </c:pt>
                <c:pt idx="707">
                  <c:v>43689</c:v>
                </c:pt>
                <c:pt idx="708">
                  <c:v>43690</c:v>
                </c:pt>
                <c:pt idx="709">
                  <c:v>43691</c:v>
                </c:pt>
                <c:pt idx="710">
                  <c:v>43692</c:v>
                </c:pt>
                <c:pt idx="711">
                  <c:v>43693</c:v>
                </c:pt>
                <c:pt idx="712">
                  <c:v>43694</c:v>
                </c:pt>
                <c:pt idx="713">
                  <c:v>43695</c:v>
                </c:pt>
                <c:pt idx="714">
                  <c:v>43696</c:v>
                </c:pt>
                <c:pt idx="715">
                  <c:v>43697</c:v>
                </c:pt>
                <c:pt idx="716">
                  <c:v>43698</c:v>
                </c:pt>
                <c:pt idx="717">
                  <c:v>43699</c:v>
                </c:pt>
                <c:pt idx="718">
                  <c:v>43700</c:v>
                </c:pt>
                <c:pt idx="719">
                  <c:v>43701</c:v>
                </c:pt>
                <c:pt idx="720">
                  <c:v>43702</c:v>
                </c:pt>
                <c:pt idx="721">
                  <c:v>43703</c:v>
                </c:pt>
                <c:pt idx="722">
                  <c:v>43704</c:v>
                </c:pt>
                <c:pt idx="723">
                  <c:v>43705</c:v>
                </c:pt>
                <c:pt idx="724">
                  <c:v>43706</c:v>
                </c:pt>
                <c:pt idx="725">
                  <c:v>43707</c:v>
                </c:pt>
                <c:pt idx="726">
                  <c:v>43708</c:v>
                </c:pt>
                <c:pt idx="727">
                  <c:v>43709</c:v>
                </c:pt>
                <c:pt idx="728">
                  <c:v>43710</c:v>
                </c:pt>
                <c:pt idx="729">
                  <c:v>43711</c:v>
                </c:pt>
                <c:pt idx="730">
                  <c:v>43712</c:v>
                </c:pt>
                <c:pt idx="731">
                  <c:v>43713</c:v>
                </c:pt>
                <c:pt idx="732">
                  <c:v>43714</c:v>
                </c:pt>
                <c:pt idx="733">
                  <c:v>43715</c:v>
                </c:pt>
                <c:pt idx="734">
                  <c:v>43716</c:v>
                </c:pt>
                <c:pt idx="735">
                  <c:v>43717</c:v>
                </c:pt>
                <c:pt idx="736">
                  <c:v>43718</c:v>
                </c:pt>
                <c:pt idx="737">
                  <c:v>43719</c:v>
                </c:pt>
                <c:pt idx="738">
                  <c:v>43720</c:v>
                </c:pt>
                <c:pt idx="739">
                  <c:v>43721</c:v>
                </c:pt>
                <c:pt idx="740">
                  <c:v>43722</c:v>
                </c:pt>
                <c:pt idx="741">
                  <c:v>43723</c:v>
                </c:pt>
                <c:pt idx="742">
                  <c:v>43724</c:v>
                </c:pt>
                <c:pt idx="743">
                  <c:v>43725</c:v>
                </c:pt>
                <c:pt idx="744">
                  <c:v>43726</c:v>
                </c:pt>
                <c:pt idx="745">
                  <c:v>43727</c:v>
                </c:pt>
                <c:pt idx="746">
                  <c:v>43728</c:v>
                </c:pt>
                <c:pt idx="747">
                  <c:v>43729</c:v>
                </c:pt>
                <c:pt idx="748">
                  <c:v>43730</c:v>
                </c:pt>
                <c:pt idx="749">
                  <c:v>43731</c:v>
                </c:pt>
                <c:pt idx="750">
                  <c:v>43732</c:v>
                </c:pt>
                <c:pt idx="751">
                  <c:v>43733</c:v>
                </c:pt>
                <c:pt idx="752">
                  <c:v>43734</c:v>
                </c:pt>
                <c:pt idx="753">
                  <c:v>43735</c:v>
                </c:pt>
                <c:pt idx="754">
                  <c:v>43736</c:v>
                </c:pt>
                <c:pt idx="755">
                  <c:v>43737</c:v>
                </c:pt>
                <c:pt idx="756">
                  <c:v>43738</c:v>
                </c:pt>
                <c:pt idx="757">
                  <c:v>43739</c:v>
                </c:pt>
                <c:pt idx="758">
                  <c:v>43740</c:v>
                </c:pt>
                <c:pt idx="759">
                  <c:v>43741</c:v>
                </c:pt>
                <c:pt idx="760">
                  <c:v>43742</c:v>
                </c:pt>
                <c:pt idx="761">
                  <c:v>43743</c:v>
                </c:pt>
                <c:pt idx="762">
                  <c:v>43744</c:v>
                </c:pt>
                <c:pt idx="763">
                  <c:v>43745</c:v>
                </c:pt>
                <c:pt idx="764">
                  <c:v>43746</c:v>
                </c:pt>
                <c:pt idx="765">
                  <c:v>43747</c:v>
                </c:pt>
                <c:pt idx="766">
                  <c:v>43748</c:v>
                </c:pt>
                <c:pt idx="767">
                  <c:v>43749</c:v>
                </c:pt>
                <c:pt idx="768">
                  <c:v>43750</c:v>
                </c:pt>
                <c:pt idx="769">
                  <c:v>43751</c:v>
                </c:pt>
                <c:pt idx="770">
                  <c:v>43752</c:v>
                </c:pt>
                <c:pt idx="771">
                  <c:v>43753</c:v>
                </c:pt>
                <c:pt idx="772">
                  <c:v>43754</c:v>
                </c:pt>
                <c:pt idx="773">
                  <c:v>43755</c:v>
                </c:pt>
                <c:pt idx="774">
                  <c:v>43756</c:v>
                </c:pt>
                <c:pt idx="775">
                  <c:v>43757</c:v>
                </c:pt>
                <c:pt idx="776">
                  <c:v>43758</c:v>
                </c:pt>
                <c:pt idx="777">
                  <c:v>43759</c:v>
                </c:pt>
                <c:pt idx="778">
                  <c:v>43760</c:v>
                </c:pt>
                <c:pt idx="779">
                  <c:v>43761</c:v>
                </c:pt>
                <c:pt idx="780">
                  <c:v>43762</c:v>
                </c:pt>
                <c:pt idx="781">
                  <c:v>43763</c:v>
                </c:pt>
                <c:pt idx="782">
                  <c:v>43764</c:v>
                </c:pt>
                <c:pt idx="783">
                  <c:v>43765</c:v>
                </c:pt>
                <c:pt idx="784">
                  <c:v>43766</c:v>
                </c:pt>
                <c:pt idx="785">
                  <c:v>43767</c:v>
                </c:pt>
                <c:pt idx="786">
                  <c:v>43768</c:v>
                </c:pt>
                <c:pt idx="787">
                  <c:v>43769</c:v>
                </c:pt>
                <c:pt idx="788">
                  <c:v>43770</c:v>
                </c:pt>
                <c:pt idx="789">
                  <c:v>43771</c:v>
                </c:pt>
                <c:pt idx="790">
                  <c:v>43772</c:v>
                </c:pt>
                <c:pt idx="791">
                  <c:v>43773</c:v>
                </c:pt>
                <c:pt idx="792">
                  <c:v>43774</c:v>
                </c:pt>
                <c:pt idx="793">
                  <c:v>43775</c:v>
                </c:pt>
                <c:pt idx="794">
                  <c:v>43776</c:v>
                </c:pt>
                <c:pt idx="795">
                  <c:v>43777</c:v>
                </c:pt>
                <c:pt idx="796">
                  <c:v>43778</c:v>
                </c:pt>
                <c:pt idx="797">
                  <c:v>43779</c:v>
                </c:pt>
                <c:pt idx="798">
                  <c:v>43780</c:v>
                </c:pt>
                <c:pt idx="799">
                  <c:v>43781</c:v>
                </c:pt>
                <c:pt idx="800">
                  <c:v>43782</c:v>
                </c:pt>
                <c:pt idx="801">
                  <c:v>43783</c:v>
                </c:pt>
                <c:pt idx="802">
                  <c:v>43784</c:v>
                </c:pt>
                <c:pt idx="803">
                  <c:v>43785</c:v>
                </c:pt>
                <c:pt idx="804">
                  <c:v>43786</c:v>
                </c:pt>
                <c:pt idx="805">
                  <c:v>43787</c:v>
                </c:pt>
                <c:pt idx="806">
                  <c:v>43788</c:v>
                </c:pt>
                <c:pt idx="807">
                  <c:v>43789</c:v>
                </c:pt>
                <c:pt idx="808">
                  <c:v>43790</c:v>
                </c:pt>
                <c:pt idx="809">
                  <c:v>43791</c:v>
                </c:pt>
                <c:pt idx="810">
                  <c:v>43792</c:v>
                </c:pt>
                <c:pt idx="811">
                  <c:v>43793</c:v>
                </c:pt>
                <c:pt idx="812">
                  <c:v>43794</c:v>
                </c:pt>
                <c:pt idx="813">
                  <c:v>43795</c:v>
                </c:pt>
                <c:pt idx="814">
                  <c:v>43796</c:v>
                </c:pt>
                <c:pt idx="815">
                  <c:v>43797</c:v>
                </c:pt>
                <c:pt idx="816">
                  <c:v>43798</c:v>
                </c:pt>
                <c:pt idx="817">
                  <c:v>43799</c:v>
                </c:pt>
                <c:pt idx="818">
                  <c:v>43800</c:v>
                </c:pt>
                <c:pt idx="819">
                  <c:v>43801</c:v>
                </c:pt>
                <c:pt idx="820">
                  <c:v>43802</c:v>
                </c:pt>
                <c:pt idx="821">
                  <c:v>43803</c:v>
                </c:pt>
                <c:pt idx="822">
                  <c:v>43804</c:v>
                </c:pt>
                <c:pt idx="823">
                  <c:v>43805</c:v>
                </c:pt>
                <c:pt idx="824">
                  <c:v>43806</c:v>
                </c:pt>
                <c:pt idx="825">
                  <c:v>43807</c:v>
                </c:pt>
                <c:pt idx="826">
                  <c:v>43808</c:v>
                </c:pt>
                <c:pt idx="827">
                  <c:v>43809</c:v>
                </c:pt>
                <c:pt idx="828">
                  <c:v>43810</c:v>
                </c:pt>
                <c:pt idx="829">
                  <c:v>43811</c:v>
                </c:pt>
                <c:pt idx="830">
                  <c:v>43812</c:v>
                </c:pt>
                <c:pt idx="831">
                  <c:v>43813</c:v>
                </c:pt>
                <c:pt idx="832">
                  <c:v>43814</c:v>
                </c:pt>
                <c:pt idx="833">
                  <c:v>43815</c:v>
                </c:pt>
                <c:pt idx="834">
                  <c:v>43816</c:v>
                </c:pt>
                <c:pt idx="835">
                  <c:v>43817</c:v>
                </c:pt>
                <c:pt idx="836">
                  <c:v>43818</c:v>
                </c:pt>
                <c:pt idx="837">
                  <c:v>43819</c:v>
                </c:pt>
                <c:pt idx="838">
                  <c:v>43820</c:v>
                </c:pt>
                <c:pt idx="839">
                  <c:v>43821</c:v>
                </c:pt>
                <c:pt idx="840">
                  <c:v>43822</c:v>
                </c:pt>
                <c:pt idx="841">
                  <c:v>43823</c:v>
                </c:pt>
                <c:pt idx="842">
                  <c:v>43824</c:v>
                </c:pt>
                <c:pt idx="843">
                  <c:v>43825</c:v>
                </c:pt>
                <c:pt idx="844">
                  <c:v>43826</c:v>
                </c:pt>
                <c:pt idx="845">
                  <c:v>43827</c:v>
                </c:pt>
                <c:pt idx="846">
                  <c:v>43828</c:v>
                </c:pt>
                <c:pt idx="847">
                  <c:v>43829</c:v>
                </c:pt>
                <c:pt idx="848">
                  <c:v>43830</c:v>
                </c:pt>
                <c:pt idx="849">
                  <c:v>43831</c:v>
                </c:pt>
                <c:pt idx="850">
                  <c:v>43832</c:v>
                </c:pt>
                <c:pt idx="851">
                  <c:v>43833</c:v>
                </c:pt>
                <c:pt idx="852">
                  <c:v>43834</c:v>
                </c:pt>
                <c:pt idx="853">
                  <c:v>43835</c:v>
                </c:pt>
                <c:pt idx="854">
                  <c:v>43836</c:v>
                </c:pt>
                <c:pt idx="855">
                  <c:v>43837</c:v>
                </c:pt>
                <c:pt idx="856">
                  <c:v>43838</c:v>
                </c:pt>
                <c:pt idx="857">
                  <c:v>43839</c:v>
                </c:pt>
                <c:pt idx="858">
                  <c:v>43840</c:v>
                </c:pt>
                <c:pt idx="859">
                  <c:v>43841</c:v>
                </c:pt>
                <c:pt idx="860">
                  <c:v>43842</c:v>
                </c:pt>
                <c:pt idx="861">
                  <c:v>43843</c:v>
                </c:pt>
                <c:pt idx="862">
                  <c:v>43844</c:v>
                </c:pt>
                <c:pt idx="863">
                  <c:v>43845</c:v>
                </c:pt>
                <c:pt idx="864">
                  <c:v>43846</c:v>
                </c:pt>
                <c:pt idx="865">
                  <c:v>43847</c:v>
                </c:pt>
                <c:pt idx="866">
                  <c:v>43848</c:v>
                </c:pt>
                <c:pt idx="867">
                  <c:v>43849</c:v>
                </c:pt>
                <c:pt idx="868">
                  <c:v>43850</c:v>
                </c:pt>
                <c:pt idx="869">
                  <c:v>43851</c:v>
                </c:pt>
                <c:pt idx="870">
                  <c:v>43852</c:v>
                </c:pt>
                <c:pt idx="871">
                  <c:v>43853</c:v>
                </c:pt>
                <c:pt idx="872">
                  <c:v>43854</c:v>
                </c:pt>
                <c:pt idx="873">
                  <c:v>43855</c:v>
                </c:pt>
                <c:pt idx="874">
                  <c:v>43856</c:v>
                </c:pt>
                <c:pt idx="875">
                  <c:v>43857</c:v>
                </c:pt>
                <c:pt idx="876">
                  <c:v>43858</c:v>
                </c:pt>
                <c:pt idx="877">
                  <c:v>43859</c:v>
                </c:pt>
                <c:pt idx="878">
                  <c:v>43860</c:v>
                </c:pt>
                <c:pt idx="879">
                  <c:v>43861</c:v>
                </c:pt>
                <c:pt idx="880">
                  <c:v>43862</c:v>
                </c:pt>
                <c:pt idx="881">
                  <c:v>43863</c:v>
                </c:pt>
                <c:pt idx="882">
                  <c:v>43864</c:v>
                </c:pt>
                <c:pt idx="883">
                  <c:v>43865</c:v>
                </c:pt>
                <c:pt idx="884">
                  <c:v>43866</c:v>
                </c:pt>
                <c:pt idx="885">
                  <c:v>43867</c:v>
                </c:pt>
                <c:pt idx="886">
                  <c:v>43868</c:v>
                </c:pt>
                <c:pt idx="887">
                  <c:v>43869</c:v>
                </c:pt>
                <c:pt idx="888">
                  <c:v>43870</c:v>
                </c:pt>
                <c:pt idx="889">
                  <c:v>43871</c:v>
                </c:pt>
                <c:pt idx="890">
                  <c:v>43872</c:v>
                </c:pt>
                <c:pt idx="891">
                  <c:v>43873</c:v>
                </c:pt>
                <c:pt idx="892">
                  <c:v>43874</c:v>
                </c:pt>
                <c:pt idx="893">
                  <c:v>43875</c:v>
                </c:pt>
                <c:pt idx="894">
                  <c:v>43876</c:v>
                </c:pt>
                <c:pt idx="895">
                  <c:v>43877</c:v>
                </c:pt>
                <c:pt idx="896">
                  <c:v>43878</c:v>
                </c:pt>
                <c:pt idx="897">
                  <c:v>43879</c:v>
                </c:pt>
                <c:pt idx="898">
                  <c:v>43880</c:v>
                </c:pt>
                <c:pt idx="899">
                  <c:v>43881</c:v>
                </c:pt>
                <c:pt idx="900">
                  <c:v>43882</c:v>
                </c:pt>
                <c:pt idx="901">
                  <c:v>43883</c:v>
                </c:pt>
                <c:pt idx="902">
                  <c:v>43884</c:v>
                </c:pt>
                <c:pt idx="903">
                  <c:v>43885</c:v>
                </c:pt>
                <c:pt idx="904">
                  <c:v>43886</c:v>
                </c:pt>
                <c:pt idx="905">
                  <c:v>43887</c:v>
                </c:pt>
                <c:pt idx="906">
                  <c:v>43888</c:v>
                </c:pt>
                <c:pt idx="907">
                  <c:v>43889</c:v>
                </c:pt>
                <c:pt idx="908">
                  <c:v>43890</c:v>
                </c:pt>
                <c:pt idx="909">
                  <c:v>43891</c:v>
                </c:pt>
                <c:pt idx="910">
                  <c:v>43892</c:v>
                </c:pt>
                <c:pt idx="911">
                  <c:v>43893</c:v>
                </c:pt>
                <c:pt idx="912">
                  <c:v>43894</c:v>
                </c:pt>
                <c:pt idx="913">
                  <c:v>43895</c:v>
                </c:pt>
                <c:pt idx="914">
                  <c:v>43896</c:v>
                </c:pt>
                <c:pt idx="915">
                  <c:v>43897</c:v>
                </c:pt>
                <c:pt idx="916">
                  <c:v>43898</c:v>
                </c:pt>
                <c:pt idx="917">
                  <c:v>43899</c:v>
                </c:pt>
                <c:pt idx="918">
                  <c:v>43900</c:v>
                </c:pt>
                <c:pt idx="919">
                  <c:v>43901</c:v>
                </c:pt>
                <c:pt idx="920">
                  <c:v>43902</c:v>
                </c:pt>
                <c:pt idx="921">
                  <c:v>43903</c:v>
                </c:pt>
                <c:pt idx="922">
                  <c:v>43904</c:v>
                </c:pt>
                <c:pt idx="923">
                  <c:v>43905</c:v>
                </c:pt>
                <c:pt idx="924">
                  <c:v>43906</c:v>
                </c:pt>
                <c:pt idx="925">
                  <c:v>43907</c:v>
                </c:pt>
                <c:pt idx="926">
                  <c:v>43908</c:v>
                </c:pt>
                <c:pt idx="927">
                  <c:v>43909</c:v>
                </c:pt>
                <c:pt idx="928">
                  <c:v>43910</c:v>
                </c:pt>
                <c:pt idx="929">
                  <c:v>43911</c:v>
                </c:pt>
                <c:pt idx="930">
                  <c:v>43912</c:v>
                </c:pt>
                <c:pt idx="931">
                  <c:v>43913</c:v>
                </c:pt>
                <c:pt idx="932">
                  <c:v>43914</c:v>
                </c:pt>
                <c:pt idx="933">
                  <c:v>43915</c:v>
                </c:pt>
                <c:pt idx="934">
                  <c:v>43916</c:v>
                </c:pt>
                <c:pt idx="935">
                  <c:v>43917</c:v>
                </c:pt>
                <c:pt idx="936">
                  <c:v>43918</c:v>
                </c:pt>
                <c:pt idx="937">
                  <c:v>43919</c:v>
                </c:pt>
                <c:pt idx="938">
                  <c:v>43920</c:v>
                </c:pt>
                <c:pt idx="939">
                  <c:v>43921</c:v>
                </c:pt>
                <c:pt idx="940">
                  <c:v>43922</c:v>
                </c:pt>
                <c:pt idx="941">
                  <c:v>43923</c:v>
                </c:pt>
                <c:pt idx="942">
                  <c:v>43924</c:v>
                </c:pt>
                <c:pt idx="943">
                  <c:v>43925</c:v>
                </c:pt>
                <c:pt idx="944">
                  <c:v>43926</c:v>
                </c:pt>
                <c:pt idx="945">
                  <c:v>43927</c:v>
                </c:pt>
                <c:pt idx="946">
                  <c:v>43928</c:v>
                </c:pt>
                <c:pt idx="947">
                  <c:v>43929</c:v>
                </c:pt>
                <c:pt idx="948">
                  <c:v>43930</c:v>
                </c:pt>
                <c:pt idx="949">
                  <c:v>43931</c:v>
                </c:pt>
                <c:pt idx="950">
                  <c:v>43932</c:v>
                </c:pt>
                <c:pt idx="951">
                  <c:v>43933</c:v>
                </c:pt>
                <c:pt idx="952">
                  <c:v>43934</c:v>
                </c:pt>
                <c:pt idx="953">
                  <c:v>43935</c:v>
                </c:pt>
                <c:pt idx="954">
                  <c:v>43936</c:v>
                </c:pt>
                <c:pt idx="955">
                  <c:v>43937</c:v>
                </c:pt>
                <c:pt idx="956">
                  <c:v>43938</c:v>
                </c:pt>
                <c:pt idx="957">
                  <c:v>43939</c:v>
                </c:pt>
                <c:pt idx="958">
                  <c:v>43940</c:v>
                </c:pt>
                <c:pt idx="959">
                  <c:v>43941</c:v>
                </c:pt>
                <c:pt idx="960">
                  <c:v>43942</c:v>
                </c:pt>
                <c:pt idx="961">
                  <c:v>43943</c:v>
                </c:pt>
                <c:pt idx="962">
                  <c:v>43944</c:v>
                </c:pt>
                <c:pt idx="963">
                  <c:v>43945</c:v>
                </c:pt>
                <c:pt idx="964">
                  <c:v>43946</c:v>
                </c:pt>
                <c:pt idx="965">
                  <c:v>43947</c:v>
                </c:pt>
                <c:pt idx="966">
                  <c:v>43948</c:v>
                </c:pt>
                <c:pt idx="967">
                  <c:v>43949</c:v>
                </c:pt>
                <c:pt idx="968">
                  <c:v>43950</c:v>
                </c:pt>
                <c:pt idx="969">
                  <c:v>43951</c:v>
                </c:pt>
                <c:pt idx="970">
                  <c:v>43952</c:v>
                </c:pt>
                <c:pt idx="971">
                  <c:v>43953</c:v>
                </c:pt>
                <c:pt idx="972">
                  <c:v>43954</c:v>
                </c:pt>
                <c:pt idx="973">
                  <c:v>43955</c:v>
                </c:pt>
                <c:pt idx="974">
                  <c:v>43956</c:v>
                </c:pt>
                <c:pt idx="975">
                  <c:v>43957</c:v>
                </c:pt>
                <c:pt idx="976">
                  <c:v>43958</c:v>
                </c:pt>
                <c:pt idx="977">
                  <c:v>43959</c:v>
                </c:pt>
                <c:pt idx="978">
                  <c:v>43960</c:v>
                </c:pt>
                <c:pt idx="979">
                  <c:v>43961</c:v>
                </c:pt>
                <c:pt idx="980">
                  <c:v>43962</c:v>
                </c:pt>
                <c:pt idx="981">
                  <c:v>43963</c:v>
                </c:pt>
                <c:pt idx="982">
                  <c:v>43964</c:v>
                </c:pt>
                <c:pt idx="983">
                  <c:v>43965</c:v>
                </c:pt>
                <c:pt idx="984">
                  <c:v>43966</c:v>
                </c:pt>
                <c:pt idx="985">
                  <c:v>43967</c:v>
                </c:pt>
                <c:pt idx="986">
                  <c:v>43968</c:v>
                </c:pt>
                <c:pt idx="987">
                  <c:v>43969</c:v>
                </c:pt>
                <c:pt idx="988">
                  <c:v>43970</c:v>
                </c:pt>
                <c:pt idx="989">
                  <c:v>43971</c:v>
                </c:pt>
                <c:pt idx="990">
                  <c:v>43972</c:v>
                </c:pt>
                <c:pt idx="991">
                  <c:v>43973</c:v>
                </c:pt>
                <c:pt idx="992">
                  <c:v>43974</c:v>
                </c:pt>
                <c:pt idx="993">
                  <c:v>43975</c:v>
                </c:pt>
                <c:pt idx="994">
                  <c:v>43976</c:v>
                </c:pt>
                <c:pt idx="995">
                  <c:v>43977</c:v>
                </c:pt>
                <c:pt idx="996">
                  <c:v>43978</c:v>
                </c:pt>
                <c:pt idx="997">
                  <c:v>43979</c:v>
                </c:pt>
              </c:numCache>
            </c:numRef>
          </c:cat>
          <c:val>
            <c:numRef>
              <c:f>'Données TMIB'!$H$2:$H$1001</c:f>
              <c:numCache>
                <c:formatCode>0.000%</c:formatCode>
                <c:ptCount val="1000"/>
                <c:pt idx="0">
                  <c:v>3.279E-2</c:v>
                </c:pt>
                <c:pt idx="1">
                  <c:v>3.279E-2</c:v>
                </c:pt>
                <c:pt idx="2">
                  <c:v>3.2919999999999998E-2</c:v>
                </c:pt>
                <c:pt idx="3">
                  <c:v>3.3259999999999998E-2</c:v>
                </c:pt>
                <c:pt idx="4">
                  <c:v>3.3250000000000002E-2</c:v>
                </c:pt>
                <c:pt idx="5">
                  <c:v>3.2770000000000001E-2</c:v>
                </c:pt>
                <c:pt idx="6">
                  <c:v>3.3000000000000002E-2</c:v>
                </c:pt>
                <c:pt idx="7">
                  <c:v>3.3000000000000002E-2</c:v>
                </c:pt>
                <c:pt idx="8">
                  <c:v>3.3000000000000002E-2</c:v>
                </c:pt>
                <c:pt idx="9">
                  <c:v>3.3450000000000001E-2</c:v>
                </c:pt>
                <c:pt idx="10">
                  <c:v>3.3599999999999998E-2</c:v>
                </c:pt>
                <c:pt idx="11">
                  <c:v>3.3430000000000001E-2</c:v>
                </c:pt>
                <c:pt idx="12">
                  <c:v>3.279E-2</c:v>
                </c:pt>
                <c:pt idx="13">
                  <c:v>3.27E-2</c:v>
                </c:pt>
                <c:pt idx="14">
                  <c:v>3.27E-2</c:v>
                </c:pt>
                <c:pt idx="15">
                  <c:v>3.27E-2</c:v>
                </c:pt>
                <c:pt idx="16">
                  <c:v>3.2620000000000003E-2</c:v>
                </c:pt>
                <c:pt idx="17">
                  <c:v>3.2530000000000003E-2</c:v>
                </c:pt>
                <c:pt idx="18">
                  <c:v>3.2550000000000003E-2</c:v>
                </c:pt>
                <c:pt idx="19">
                  <c:v>3.286E-2</c:v>
                </c:pt>
                <c:pt idx="20">
                  <c:v>3.286E-2</c:v>
                </c:pt>
                <c:pt idx="21">
                  <c:v>3.286E-2</c:v>
                </c:pt>
                <c:pt idx="22">
                  <c:v>3.286E-2</c:v>
                </c:pt>
                <c:pt idx="23">
                  <c:v>3.2770000000000001E-2</c:v>
                </c:pt>
                <c:pt idx="24">
                  <c:v>3.2730000000000002E-2</c:v>
                </c:pt>
                <c:pt idx="25">
                  <c:v>3.279E-2</c:v>
                </c:pt>
                <c:pt idx="26">
                  <c:v>3.2620000000000003E-2</c:v>
                </c:pt>
                <c:pt idx="27">
                  <c:v>3.261E-2</c:v>
                </c:pt>
                <c:pt idx="28">
                  <c:v>3.261E-2</c:v>
                </c:pt>
                <c:pt idx="30">
                  <c:v>3.2599999999999997E-2</c:v>
                </c:pt>
                <c:pt idx="31">
                  <c:v>3.2559999999999999E-2</c:v>
                </c:pt>
                <c:pt idx="32">
                  <c:v>3.2559999999999999E-2</c:v>
                </c:pt>
                <c:pt idx="33">
                  <c:v>3.2530000000000003E-2</c:v>
                </c:pt>
                <c:pt idx="34">
                  <c:v>3.2730000000000002E-2</c:v>
                </c:pt>
                <c:pt idx="35">
                  <c:v>3.2730000000000002E-2</c:v>
                </c:pt>
                <c:pt idx="36">
                  <c:v>3.2730000000000002E-2</c:v>
                </c:pt>
                <c:pt idx="37">
                  <c:v>3.2559999999999999E-2</c:v>
                </c:pt>
                <c:pt idx="38">
                  <c:v>3.2620000000000003E-2</c:v>
                </c:pt>
                <c:pt idx="39">
                  <c:v>3.2539999999999999E-2</c:v>
                </c:pt>
                <c:pt idx="40">
                  <c:v>3.2559999999999999E-2</c:v>
                </c:pt>
                <c:pt idx="41">
                  <c:v>3.2629999999999999E-2</c:v>
                </c:pt>
                <c:pt idx="42">
                  <c:v>3.2629999999999999E-2</c:v>
                </c:pt>
                <c:pt idx="43">
                  <c:v>3.2629999999999999E-2</c:v>
                </c:pt>
                <c:pt idx="44">
                  <c:v>3.2579999999999998E-2</c:v>
                </c:pt>
                <c:pt idx="45">
                  <c:v>3.2500000000000001E-2</c:v>
                </c:pt>
                <c:pt idx="46">
                  <c:v>3.2500000000000001E-2</c:v>
                </c:pt>
                <c:pt idx="47">
                  <c:v>3.2509999999999997E-2</c:v>
                </c:pt>
                <c:pt idx="48">
                  <c:v>3.2509999999999997E-2</c:v>
                </c:pt>
                <c:pt idx="49">
                  <c:v>3.2509999999999997E-2</c:v>
                </c:pt>
                <c:pt idx="50">
                  <c:v>3.2509999999999997E-2</c:v>
                </c:pt>
                <c:pt idx="51">
                  <c:v>3.2750000000000001E-2</c:v>
                </c:pt>
                <c:pt idx="52">
                  <c:v>3.2719999999999999E-2</c:v>
                </c:pt>
                <c:pt idx="53">
                  <c:v>3.2890000000000003E-2</c:v>
                </c:pt>
                <c:pt idx="54">
                  <c:v>3.2820000000000002E-2</c:v>
                </c:pt>
                <c:pt idx="55">
                  <c:v>3.2870000000000003E-2</c:v>
                </c:pt>
                <c:pt idx="56">
                  <c:v>3.2870000000000003E-2</c:v>
                </c:pt>
                <c:pt idx="57">
                  <c:v>3.2870000000000003E-2</c:v>
                </c:pt>
                <c:pt idx="58">
                  <c:v>3.2969999999999999E-2</c:v>
                </c:pt>
                <c:pt idx="59">
                  <c:v>3.2820000000000002E-2</c:v>
                </c:pt>
                <c:pt idx="60">
                  <c:v>3.3050000000000003E-2</c:v>
                </c:pt>
                <c:pt idx="61">
                  <c:v>3.304E-2</c:v>
                </c:pt>
                <c:pt idx="62">
                  <c:v>3.3349999999999998E-2</c:v>
                </c:pt>
                <c:pt idx="63">
                  <c:v>3.3349999999999998E-2</c:v>
                </c:pt>
                <c:pt idx="64">
                  <c:v>3.3349999999999998E-2</c:v>
                </c:pt>
                <c:pt idx="65">
                  <c:v>3.3349999999999998E-2</c:v>
                </c:pt>
                <c:pt idx="66">
                  <c:v>3.2849999999999997E-2</c:v>
                </c:pt>
                <c:pt idx="67">
                  <c:v>3.2870000000000003E-2</c:v>
                </c:pt>
                <c:pt idx="68">
                  <c:v>3.2730000000000002E-2</c:v>
                </c:pt>
                <c:pt idx="69">
                  <c:v>3.2669999999999998E-2</c:v>
                </c:pt>
                <c:pt idx="70">
                  <c:v>3.2669999999999998E-2</c:v>
                </c:pt>
                <c:pt idx="71">
                  <c:v>3.2669999999999998E-2</c:v>
                </c:pt>
                <c:pt idx="72">
                  <c:v>3.2500000000000001E-2</c:v>
                </c:pt>
                <c:pt idx="73">
                  <c:v>3.2500000000000001E-2</c:v>
                </c:pt>
                <c:pt idx="74">
                  <c:v>3.2530000000000003E-2</c:v>
                </c:pt>
                <c:pt idx="75">
                  <c:v>3.2509999999999997E-2</c:v>
                </c:pt>
                <c:pt idx="76">
                  <c:v>3.261E-2</c:v>
                </c:pt>
                <c:pt idx="77">
                  <c:v>3.261E-2</c:v>
                </c:pt>
                <c:pt idx="78">
                  <c:v>3.261E-2</c:v>
                </c:pt>
                <c:pt idx="79">
                  <c:v>3.2500000000000001E-2</c:v>
                </c:pt>
                <c:pt idx="80">
                  <c:v>3.2500000000000001E-2</c:v>
                </c:pt>
                <c:pt idx="81">
                  <c:v>3.2500000000000001E-2</c:v>
                </c:pt>
                <c:pt idx="82">
                  <c:v>3.2559999999999999E-2</c:v>
                </c:pt>
                <c:pt idx="83">
                  <c:v>3.2629999999999999E-2</c:v>
                </c:pt>
                <c:pt idx="84">
                  <c:v>3.2629999999999999E-2</c:v>
                </c:pt>
                <c:pt idx="85">
                  <c:v>3.2629999999999999E-2</c:v>
                </c:pt>
                <c:pt idx="86">
                  <c:v>3.2590000000000001E-2</c:v>
                </c:pt>
                <c:pt idx="87">
                  <c:v>3.2590000000000001E-2</c:v>
                </c:pt>
                <c:pt idx="88">
                  <c:v>3.2629999999999999E-2</c:v>
                </c:pt>
                <c:pt idx="89">
                  <c:v>3.3059999999999999E-2</c:v>
                </c:pt>
                <c:pt idx="90">
                  <c:v>3.3059999999999999E-2</c:v>
                </c:pt>
                <c:pt idx="91">
                  <c:v>3.3059999999999999E-2</c:v>
                </c:pt>
                <c:pt idx="92">
                  <c:v>3.3059999999999999E-2</c:v>
                </c:pt>
                <c:pt idx="93">
                  <c:v>3.2930000000000001E-2</c:v>
                </c:pt>
                <c:pt idx="94">
                  <c:v>3.2539999999999999E-2</c:v>
                </c:pt>
                <c:pt idx="95">
                  <c:v>3.2530000000000003E-2</c:v>
                </c:pt>
                <c:pt idx="96">
                  <c:v>3.2800000000000003E-2</c:v>
                </c:pt>
                <c:pt idx="97">
                  <c:v>3.2939999999999997E-2</c:v>
                </c:pt>
                <c:pt idx="98">
                  <c:v>3.2939999999999997E-2</c:v>
                </c:pt>
                <c:pt idx="99">
                  <c:v>3.2939999999999997E-2</c:v>
                </c:pt>
                <c:pt idx="100">
                  <c:v>3.2980000000000002E-2</c:v>
                </c:pt>
                <c:pt idx="101">
                  <c:v>3.2899999999999999E-2</c:v>
                </c:pt>
                <c:pt idx="102">
                  <c:v>3.322E-2</c:v>
                </c:pt>
                <c:pt idx="103">
                  <c:v>3.3009999999999998E-2</c:v>
                </c:pt>
                <c:pt idx="104">
                  <c:v>3.279E-2</c:v>
                </c:pt>
                <c:pt idx="105">
                  <c:v>3.279E-2</c:v>
                </c:pt>
                <c:pt idx="106">
                  <c:v>3.279E-2</c:v>
                </c:pt>
                <c:pt idx="107">
                  <c:v>3.2599999999999997E-2</c:v>
                </c:pt>
                <c:pt idx="108">
                  <c:v>3.2500000000000001E-2</c:v>
                </c:pt>
                <c:pt idx="109">
                  <c:v>3.2500000000000001E-2</c:v>
                </c:pt>
                <c:pt idx="110">
                  <c:v>3.2500000000000001E-2</c:v>
                </c:pt>
                <c:pt idx="111">
                  <c:v>3.2660000000000002E-2</c:v>
                </c:pt>
                <c:pt idx="112">
                  <c:v>3.2660000000000002E-2</c:v>
                </c:pt>
                <c:pt idx="113">
                  <c:v>3.2660000000000002E-2</c:v>
                </c:pt>
                <c:pt idx="114">
                  <c:v>3.2500000000000001E-2</c:v>
                </c:pt>
                <c:pt idx="115">
                  <c:v>3.261E-2</c:v>
                </c:pt>
                <c:pt idx="116">
                  <c:v>3.2919999999999998E-2</c:v>
                </c:pt>
                <c:pt idx="117">
                  <c:v>3.2930000000000001E-2</c:v>
                </c:pt>
                <c:pt idx="118">
                  <c:v>3.3149999999999999E-2</c:v>
                </c:pt>
                <c:pt idx="119">
                  <c:v>3.3149999999999999E-2</c:v>
                </c:pt>
                <c:pt idx="120">
                  <c:v>3.3149999999999999E-2</c:v>
                </c:pt>
                <c:pt idx="121">
                  <c:v>3.3149999999999999E-2</c:v>
                </c:pt>
                <c:pt idx="122">
                  <c:v>3.2809999999999999E-2</c:v>
                </c:pt>
                <c:pt idx="123">
                  <c:v>3.2640000000000002E-2</c:v>
                </c:pt>
                <c:pt idx="124">
                  <c:v>3.2719999999999999E-2</c:v>
                </c:pt>
                <c:pt idx="125">
                  <c:v>3.2750000000000001E-2</c:v>
                </c:pt>
                <c:pt idx="126">
                  <c:v>3.2750000000000001E-2</c:v>
                </c:pt>
                <c:pt idx="127">
                  <c:v>3.2750000000000001E-2</c:v>
                </c:pt>
                <c:pt idx="128">
                  <c:v>3.2730000000000002E-2</c:v>
                </c:pt>
                <c:pt idx="129">
                  <c:v>3.2730000000000002E-2</c:v>
                </c:pt>
                <c:pt idx="130">
                  <c:v>3.252E-2</c:v>
                </c:pt>
                <c:pt idx="131">
                  <c:v>3.252E-2</c:v>
                </c:pt>
                <c:pt idx="132">
                  <c:v>3.2530000000000003E-2</c:v>
                </c:pt>
                <c:pt idx="133">
                  <c:v>3.2530000000000003E-2</c:v>
                </c:pt>
                <c:pt idx="134">
                  <c:v>3.2530000000000003E-2</c:v>
                </c:pt>
                <c:pt idx="135">
                  <c:v>3.261E-2</c:v>
                </c:pt>
                <c:pt idx="136">
                  <c:v>3.2530000000000003E-2</c:v>
                </c:pt>
                <c:pt idx="137">
                  <c:v>3.2590000000000001E-2</c:v>
                </c:pt>
                <c:pt idx="138">
                  <c:v>3.2599999999999997E-2</c:v>
                </c:pt>
                <c:pt idx="139">
                  <c:v>3.2550000000000003E-2</c:v>
                </c:pt>
                <c:pt idx="140">
                  <c:v>3.2550000000000003E-2</c:v>
                </c:pt>
                <c:pt idx="141">
                  <c:v>3.2550000000000003E-2</c:v>
                </c:pt>
                <c:pt idx="142">
                  <c:v>3.2500000000000001E-2</c:v>
                </c:pt>
                <c:pt idx="143">
                  <c:v>3.2500000000000001E-2</c:v>
                </c:pt>
                <c:pt idx="144">
                  <c:v>3.2500000000000001E-2</c:v>
                </c:pt>
                <c:pt idx="145">
                  <c:v>3.2500000000000001E-2</c:v>
                </c:pt>
                <c:pt idx="146">
                  <c:v>3.2539999999999999E-2</c:v>
                </c:pt>
                <c:pt idx="147">
                  <c:v>3.2539999999999999E-2</c:v>
                </c:pt>
                <c:pt idx="148">
                  <c:v>3.2539999999999999E-2</c:v>
                </c:pt>
                <c:pt idx="149">
                  <c:v>3.252E-2</c:v>
                </c:pt>
                <c:pt idx="150">
                  <c:v>3.2539999999999999E-2</c:v>
                </c:pt>
                <c:pt idx="151">
                  <c:v>3.2539999999999999E-2</c:v>
                </c:pt>
                <c:pt idx="152">
                  <c:v>3.2500000000000001E-2</c:v>
                </c:pt>
                <c:pt idx="153">
                  <c:v>3.2500000000000001E-2</c:v>
                </c:pt>
                <c:pt idx="154">
                  <c:v>3.2500000000000001E-2</c:v>
                </c:pt>
                <c:pt idx="155">
                  <c:v>3.2500000000000001E-2</c:v>
                </c:pt>
                <c:pt idx="156">
                  <c:v>3.2500000000000001E-2</c:v>
                </c:pt>
                <c:pt idx="157">
                  <c:v>3.2500000000000001E-2</c:v>
                </c:pt>
                <c:pt idx="158">
                  <c:v>3.2500000000000001E-2</c:v>
                </c:pt>
                <c:pt idx="159">
                  <c:v>3.2500000000000001E-2</c:v>
                </c:pt>
                <c:pt idx="160">
                  <c:v>3.2539999999999999E-2</c:v>
                </c:pt>
                <c:pt idx="161">
                  <c:v>3.2539999999999999E-2</c:v>
                </c:pt>
                <c:pt idx="162">
                  <c:v>3.2539999999999999E-2</c:v>
                </c:pt>
                <c:pt idx="163">
                  <c:v>3.2590000000000001E-2</c:v>
                </c:pt>
                <c:pt idx="164">
                  <c:v>3.2500000000000001E-2</c:v>
                </c:pt>
                <c:pt idx="165">
                  <c:v>3.2599999999999997E-2</c:v>
                </c:pt>
                <c:pt idx="166">
                  <c:v>3.2500000000000001E-2</c:v>
                </c:pt>
                <c:pt idx="167">
                  <c:v>3.2570000000000002E-2</c:v>
                </c:pt>
                <c:pt idx="168">
                  <c:v>3.2570000000000002E-2</c:v>
                </c:pt>
                <c:pt idx="169">
                  <c:v>3.2570000000000002E-2</c:v>
                </c:pt>
                <c:pt idx="170">
                  <c:v>3.2539999999999999E-2</c:v>
                </c:pt>
                <c:pt idx="171">
                  <c:v>3.2500000000000001E-2</c:v>
                </c:pt>
                <c:pt idx="172">
                  <c:v>3.2500000000000001E-2</c:v>
                </c:pt>
                <c:pt idx="173">
                  <c:v>3.2500000000000001E-2</c:v>
                </c:pt>
                <c:pt idx="174">
                  <c:v>3.2500000000000001E-2</c:v>
                </c:pt>
                <c:pt idx="175">
                  <c:v>3.2500000000000001E-2</c:v>
                </c:pt>
                <c:pt idx="176">
                  <c:v>3.2500000000000001E-2</c:v>
                </c:pt>
                <c:pt idx="177">
                  <c:v>3.2500000000000001E-2</c:v>
                </c:pt>
                <c:pt idx="178">
                  <c:v>3.2500000000000001E-2</c:v>
                </c:pt>
                <c:pt idx="179">
                  <c:v>3.2550000000000003E-2</c:v>
                </c:pt>
                <c:pt idx="180">
                  <c:v>3.2550000000000003E-2</c:v>
                </c:pt>
                <c:pt idx="181">
                  <c:v>3.2500000000000001E-2</c:v>
                </c:pt>
                <c:pt idx="182">
                  <c:v>3.2500000000000001E-2</c:v>
                </c:pt>
                <c:pt idx="183">
                  <c:v>3.2500000000000001E-2</c:v>
                </c:pt>
                <c:pt idx="184">
                  <c:v>3.2500000000000001E-2</c:v>
                </c:pt>
                <c:pt idx="185">
                  <c:v>3.2680000000000001E-2</c:v>
                </c:pt>
                <c:pt idx="186">
                  <c:v>3.2710000000000003E-2</c:v>
                </c:pt>
                <c:pt idx="187">
                  <c:v>3.2739999999999998E-2</c:v>
                </c:pt>
                <c:pt idx="188">
                  <c:v>3.2750000000000001E-2</c:v>
                </c:pt>
                <c:pt idx="189">
                  <c:v>3.2750000000000001E-2</c:v>
                </c:pt>
                <c:pt idx="190">
                  <c:v>3.2750000000000001E-2</c:v>
                </c:pt>
                <c:pt idx="191">
                  <c:v>3.27E-2</c:v>
                </c:pt>
                <c:pt idx="192">
                  <c:v>3.2710000000000003E-2</c:v>
                </c:pt>
                <c:pt idx="193">
                  <c:v>3.2710000000000003E-2</c:v>
                </c:pt>
                <c:pt idx="194">
                  <c:v>3.279E-2</c:v>
                </c:pt>
                <c:pt idx="195">
                  <c:v>3.2710000000000003E-2</c:v>
                </c:pt>
                <c:pt idx="196">
                  <c:v>3.2710000000000003E-2</c:v>
                </c:pt>
                <c:pt idx="197">
                  <c:v>3.2710000000000003E-2</c:v>
                </c:pt>
                <c:pt idx="198">
                  <c:v>3.2550000000000003E-2</c:v>
                </c:pt>
                <c:pt idx="199">
                  <c:v>3.252E-2</c:v>
                </c:pt>
                <c:pt idx="200">
                  <c:v>3.2500000000000001E-2</c:v>
                </c:pt>
                <c:pt idx="201">
                  <c:v>3.2500000000000001E-2</c:v>
                </c:pt>
                <c:pt idx="202">
                  <c:v>3.2570000000000002E-2</c:v>
                </c:pt>
                <c:pt idx="203">
                  <c:v>3.2570000000000002E-2</c:v>
                </c:pt>
                <c:pt idx="204">
                  <c:v>3.2570000000000002E-2</c:v>
                </c:pt>
                <c:pt idx="205">
                  <c:v>3.2759999999999997E-2</c:v>
                </c:pt>
                <c:pt idx="206">
                  <c:v>3.2730000000000002E-2</c:v>
                </c:pt>
                <c:pt idx="207">
                  <c:v>3.2730000000000002E-2</c:v>
                </c:pt>
                <c:pt idx="208">
                  <c:v>3.2829999999999998E-2</c:v>
                </c:pt>
                <c:pt idx="209">
                  <c:v>3.3230000000000003E-2</c:v>
                </c:pt>
                <c:pt idx="210">
                  <c:v>3.3230000000000003E-2</c:v>
                </c:pt>
                <c:pt idx="211">
                  <c:v>3.3230000000000003E-2</c:v>
                </c:pt>
                <c:pt idx="212">
                  <c:v>3.2910000000000002E-2</c:v>
                </c:pt>
                <c:pt idx="213">
                  <c:v>3.2989999999999998E-2</c:v>
                </c:pt>
                <c:pt idx="214">
                  <c:v>3.2899999999999999E-2</c:v>
                </c:pt>
                <c:pt idx="215">
                  <c:v>3.3020000000000001E-2</c:v>
                </c:pt>
                <c:pt idx="216">
                  <c:v>3.2590000000000001E-2</c:v>
                </c:pt>
                <c:pt idx="217">
                  <c:v>3.2590000000000001E-2</c:v>
                </c:pt>
                <c:pt idx="218">
                  <c:v>3.2590000000000001E-2</c:v>
                </c:pt>
                <c:pt idx="219">
                  <c:v>3.252E-2</c:v>
                </c:pt>
                <c:pt idx="220">
                  <c:v>3.252E-2</c:v>
                </c:pt>
                <c:pt idx="221">
                  <c:v>3.2509999999999997E-2</c:v>
                </c:pt>
                <c:pt idx="222">
                  <c:v>3.2500000000000001E-2</c:v>
                </c:pt>
                <c:pt idx="223">
                  <c:v>3.2500000000000001E-2</c:v>
                </c:pt>
                <c:pt idx="224">
                  <c:v>3.2500000000000001E-2</c:v>
                </c:pt>
                <c:pt idx="225">
                  <c:v>3.2500000000000001E-2</c:v>
                </c:pt>
                <c:pt idx="226">
                  <c:v>3.252E-2</c:v>
                </c:pt>
                <c:pt idx="227">
                  <c:v>3.261E-2</c:v>
                </c:pt>
                <c:pt idx="228">
                  <c:v>3.2680000000000001E-2</c:v>
                </c:pt>
                <c:pt idx="229">
                  <c:v>3.2739999999999998E-2</c:v>
                </c:pt>
                <c:pt idx="230">
                  <c:v>3.2570000000000002E-2</c:v>
                </c:pt>
                <c:pt idx="231">
                  <c:v>3.2570000000000002E-2</c:v>
                </c:pt>
                <c:pt idx="232">
                  <c:v>3.2570000000000002E-2</c:v>
                </c:pt>
                <c:pt idx="233">
                  <c:v>3.252E-2</c:v>
                </c:pt>
                <c:pt idx="234">
                  <c:v>3.2530000000000003E-2</c:v>
                </c:pt>
                <c:pt idx="235">
                  <c:v>3.2530000000000003E-2</c:v>
                </c:pt>
                <c:pt idx="236">
                  <c:v>3.2660000000000002E-2</c:v>
                </c:pt>
                <c:pt idx="237">
                  <c:v>3.2640000000000002E-2</c:v>
                </c:pt>
                <c:pt idx="238">
                  <c:v>3.2640000000000002E-2</c:v>
                </c:pt>
                <c:pt idx="239">
                  <c:v>3.2640000000000002E-2</c:v>
                </c:pt>
                <c:pt idx="240">
                  <c:v>3.2669999999999998E-2</c:v>
                </c:pt>
                <c:pt idx="241">
                  <c:v>3.2669999999999998E-2</c:v>
                </c:pt>
                <c:pt idx="242">
                  <c:v>3.2559999999999999E-2</c:v>
                </c:pt>
                <c:pt idx="243">
                  <c:v>3.2739999999999998E-2</c:v>
                </c:pt>
                <c:pt idx="244">
                  <c:v>3.2960000000000003E-2</c:v>
                </c:pt>
                <c:pt idx="245">
                  <c:v>3.2960000000000003E-2</c:v>
                </c:pt>
                <c:pt idx="246">
                  <c:v>3.2960000000000003E-2</c:v>
                </c:pt>
                <c:pt idx="247">
                  <c:v>3.3250000000000002E-2</c:v>
                </c:pt>
                <c:pt idx="248">
                  <c:v>3.3329999999999999E-2</c:v>
                </c:pt>
                <c:pt idx="249">
                  <c:v>3.3399999999999999E-2</c:v>
                </c:pt>
                <c:pt idx="250">
                  <c:v>3.313E-2</c:v>
                </c:pt>
                <c:pt idx="251">
                  <c:v>3.304E-2</c:v>
                </c:pt>
                <c:pt idx="252">
                  <c:v>3.304E-2</c:v>
                </c:pt>
                <c:pt idx="253">
                  <c:v>3.304E-2</c:v>
                </c:pt>
                <c:pt idx="254">
                  <c:v>3.2899999999999999E-2</c:v>
                </c:pt>
                <c:pt idx="255">
                  <c:v>3.288E-2</c:v>
                </c:pt>
                <c:pt idx="256">
                  <c:v>3.279E-2</c:v>
                </c:pt>
                <c:pt idx="257">
                  <c:v>3.2800000000000003E-2</c:v>
                </c:pt>
                <c:pt idx="258">
                  <c:v>3.27E-2</c:v>
                </c:pt>
                <c:pt idx="259">
                  <c:v>3.27E-2</c:v>
                </c:pt>
                <c:pt idx="260">
                  <c:v>3.27E-2</c:v>
                </c:pt>
                <c:pt idx="261">
                  <c:v>3.2570000000000002E-2</c:v>
                </c:pt>
                <c:pt idx="262">
                  <c:v>3.2590000000000001E-2</c:v>
                </c:pt>
                <c:pt idx="263">
                  <c:v>3.2579999999999998E-2</c:v>
                </c:pt>
                <c:pt idx="264">
                  <c:v>3.2649999999999998E-2</c:v>
                </c:pt>
                <c:pt idx="265">
                  <c:v>3.2579999999999998E-2</c:v>
                </c:pt>
                <c:pt idx="266">
                  <c:v>3.2579999999999998E-2</c:v>
                </c:pt>
                <c:pt idx="267">
                  <c:v>3.2579999999999998E-2</c:v>
                </c:pt>
                <c:pt idx="268">
                  <c:v>3.2649999999999998E-2</c:v>
                </c:pt>
                <c:pt idx="269">
                  <c:v>3.2590000000000001E-2</c:v>
                </c:pt>
                <c:pt idx="270">
                  <c:v>3.2649999999999998E-2</c:v>
                </c:pt>
                <c:pt idx="271">
                  <c:v>3.2539999999999999E-2</c:v>
                </c:pt>
                <c:pt idx="272">
                  <c:v>3.2660000000000002E-2</c:v>
                </c:pt>
                <c:pt idx="273">
                  <c:v>3.2660000000000002E-2</c:v>
                </c:pt>
                <c:pt idx="274">
                  <c:v>3.2660000000000002E-2</c:v>
                </c:pt>
                <c:pt idx="275">
                  <c:v>3.2689999999999997E-2</c:v>
                </c:pt>
                <c:pt idx="276">
                  <c:v>3.2779999999999997E-2</c:v>
                </c:pt>
                <c:pt idx="277">
                  <c:v>3.2730000000000002E-2</c:v>
                </c:pt>
                <c:pt idx="278">
                  <c:v>3.2579999999999998E-2</c:v>
                </c:pt>
                <c:pt idx="279">
                  <c:v>3.2730000000000002E-2</c:v>
                </c:pt>
                <c:pt idx="280">
                  <c:v>3.2730000000000002E-2</c:v>
                </c:pt>
                <c:pt idx="281">
                  <c:v>3.2730000000000002E-2</c:v>
                </c:pt>
                <c:pt idx="282">
                  <c:v>3.2649999999999998E-2</c:v>
                </c:pt>
                <c:pt idx="283">
                  <c:v>3.27E-2</c:v>
                </c:pt>
                <c:pt idx="284">
                  <c:v>3.2759999999999997E-2</c:v>
                </c:pt>
                <c:pt idx="285">
                  <c:v>3.3300000000000003E-2</c:v>
                </c:pt>
                <c:pt idx="286">
                  <c:v>3.3300000000000003E-2</c:v>
                </c:pt>
                <c:pt idx="287">
                  <c:v>3.3300000000000003E-2</c:v>
                </c:pt>
                <c:pt idx="288">
                  <c:v>3.3300000000000003E-2</c:v>
                </c:pt>
                <c:pt idx="289">
                  <c:v>3.3160000000000002E-2</c:v>
                </c:pt>
                <c:pt idx="290">
                  <c:v>3.261E-2</c:v>
                </c:pt>
                <c:pt idx="291">
                  <c:v>3.2550000000000003E-2</c:v>
                </c:pt>
                <c:pt idx="292">
                  <c:v>3.252E-2</c:v>
                </c:pt>
                <c:pt idx="293">
                  <c:v>3.252E-2</c:v>
                </c:pt>
                <c:pt idx="294">
                  <c:v>3.252E-2</c:v>
                </c:pt>
                <c:pt idx="295">
                  <c:v>3.252E-2</c:v>
                </c:pt>
                <c:pt idx="296">
                  <c:v>3.2509999999999997E-2</c:v>
                </c:pt>
                <c:pt idx="297">
                  <c:v>3.252E-2</c:v>
                </c:pt>
                <c:pt idx="298">
                  <c:v>3.252E-2</c:v>
                </c:pt>
                <c:pt idx="299">
                  <c:v>3.2849999999999997E-2</c:v>
                </c:pt>
                <c:pt idx="300">
                  <c:v>3.2980000000000002E-2</c:v>
                </c:pt>
                <c:pt idx="301">
                  <c:v>3.2980000000000002E-2</c:v>
                </c:pt>
                <c:pt idx="302">
                  <c:v>3.2980000000000002E-2</c:v>
                </c:pt>
                <c:pt idx="303">
                  <c:v>3.3099999999999997E-2</c:v>
                </c:pt>
                <c:pt idx="304">
                  <c:v>3.295E-2</c:v>
                </c:pt>
                <c:pt idx="305">
                  <c:v>3.2989999999999998E-2</c:v>
                </c:pt>
                <c:pt idx="306">
                  <c:v>3.2960000000000003E-2</c:v>
                </c:pt>
                <c:pt idx="307">
                  <c:v>3.3050000000000003E-2</c:v>
                </c:pt>
                <c:pt idx="308">
                  <c:v>3.3050000000000003E-2</c:v>
                </c:pt>
                <c:pt idx="309">
                  <c:v>3.3050000000000003E-2</c:v>
                </c:pt>
                <c:pt idx="310">
                  <c:v>3.3459999999999997E-2</c:v>
                </c:pt>
                <c:pt idx="311">
                  <c:v>3.3500000000000002E-2</c:v>
                </c:pt>
                <c:pt idx="312">
                  <c:v>3.3570000000000003E-2</c:v>
                </c:pt>
                <c:pt idx="313">
                  <c:v>3.2689999999999997E-2</c:v>
                </c:pt>
                <c:pt idx="314">
                  <c:v>3.2960000000000003E-2</c:v>
                </c:pt>
                <c:pt idx="315">
                  <c:v>3.2960000000000003E-2</c:v>
                </c:pt>
                <c:pt idx="316">
                  <c:v>3.2960000000000003E-2</c:v>
                </c:pt>
                <c:pt idx="317">
                  <c:v>3.2739999999999998E-2</c:v>
                </c:pt>
                <c:pt idx="318">
                  <c:v>3.2930000000000001E-2</c:v>
                </c:pt>
                <c:pt idx="319">
                  <c:v>3.27E-2</c:v>
                </c:pt>
                <c:pt idx="320">
                  <c:v>3.2770000000000001E-2</c:v>
                </c:pt>
                <c:pt idx="321">
                  <c:v>3.2980000000000002E-2</c:v>
                </c:pt>
                <c:pt idx="322">
                  <c:v>3.2980000000000002E-2</c:v>
                </c:pt>
                <c:pt idx="323">
                  <c:v>3.2980000000000002E-2</c:v>
                </c:pt>
                <c:pt idx="324">
                  <c:v>3.2829999999999998E-2</c:v>
                </c:pt>
                <c:pt idx="325">
                  <c:v>3.2730000000000002E-2</c:v>
                </c:pt>
                <c:pt idx="326">
                  <c:v>3.2669999999999998E-2</c:v>
                </c:pt>
                <c:pt idx="327">
                  <c:v>3.2870000000000003E-2</c:v>
                </c:pt>
                <c:pt idx="328">
                  <c:v>3.3300000000000003E-2</c:v>
                </c:pt>
                <c:pt idx="329">
                  <c:v>3.3300000000000003E-2</c:v>
                </c:pt>
                <c:pt idx="330">
                  <c:v>3.3300000000000003E-2</c:v>
                </c:pt>
                <c:pt idx="331">
                  <c:v>3.3300000000000003E-2</c:v>
                </c:pt>
                <c:pt idx="332">
                  <c:v>3.3230000000000003E-2</c:v>
                </c:pt>
                <c:pt idx="333">
                  <c:v>3.3090000000000001E-2</c:v>
                </c:pt>
                <c:pt idx="334">
                  <c:v>3.2759999999999997E-2</c:v>
                </c:pt>
                <c:pt idx="335">
                  <c:v>3.2750000000000001E-2</c:v>
                </c:pt>
                <c:pt idx="336">
                  <c:v>3.2750000000000001E-2</c:v>
                </c:pt>
                <c:pt idx="337">
                  <c:v>3.2750000000000001E-2</c:v>
                </c:pt>
                <c:pt idx="338">
                  <c:v>3.2660000000000002E-2</c:v>
                </c:pt>
                <c:pt idx="339">
                  <c:v>3.2649999999999998E-2</c:v>
                </c:pt>
                <c:pt idx="340">
                  <c:v>3.27E-2</c:v>
                </c:pt>
                <c:pt idx="341">
                  <c:v>3.2710000000000003E-2</c:v>
                </c:pt>
                <c:pt idx="342">
                  <c:v>3.2649999999999998E-2</c:v>
                </c:pt>
                <c:pt idx="343">
                  <c:v>3.2649999999999998E-2</c:v>
                </c:pt>
                <c:pt idx="344">
                  <c:v>3.2649999999999998E-2</c:v>
                </c:pt>
                <c:pt idx="345">
                  <c:v>3.279E-2</c:v>
                </c:pt>
                <c:pt idx="346">
                  <c:v>3.279E-2</c:v>
                </c:pt>
                <c:pt idx="347">
                  <c:v>3.3189999999999997E-2</c:v>
                </c:pt>
                <c:pt idx="348">
                  <c:v>3.2969999999999999E-2</c:v>
                </c:pt>
                <c:pt idx="349">
                  <c:v>3.3579999999999999E-2</c:v>
                </c:pt>
                <c:pt idx="350">
                  <c:v>3.3579999999999999E-2</c:v>
                </c:pt>
                <c:pt idx="351">
                  <c:v>3.3579999999999999E-2</c:v>
                </c:pt>
                <c:pt idx="352">
                  <c:v>3.3579999999999999E-2</c:v>
                </c:pt>
                <c:pt idx="353">
                  <c:v>3.3579999999999999E-2</c:v>
                </c:pt>
                <c:pt idx="354">
                  <c:v>3.3579999999999999E-2</c:v>
                </c:pt>
                <c:pt idx="355">
                  <c:v>3.3579999999999999E-2</c:v>
                </c:pt>
                <c:pt idx="356">
                  <c:v>3.3110000000000001E-2</c:v>
                </c:pt>
                <c:pt idx="357">
                  <c:v>3.3110000000000001E-2</c:v>
                </c:pt>
                <c:pt idx="358">
                  <c:v>3.3110000000000001E-2</c:v>
                </c:pt>
                <c:pt idx="359">
                  <c:v>3.3160000000000002E-2</c:v>
                </c:pt>
                <c:pt idx="360">
                  <c:v>3.2989999999999998E-2</c:v>
                </c:pt>
                <c:pt idx="361">
                  <c:v>3.288E-2</c:v>
                </c:pt>
                <c:pt idx="362">
                  <c:v>3.2840000000000001E-2</c:v>
                </c:pt>
                <c:pt idx="363">
                  <c:v>3.2939999999999997E-2</c:v>
                </c:pt>
                <c:pt idx="364">
                  <c:v>3.2939999999999997E-2</c:v>
                </c:pt>
                <c:pt idx="365">
                  <c:v>3.2939999999999997E-2</c:v>
                </c:pt>
                <c:pt idx="366">
                  <c:v>3.2689999999999997E-2</c:v>
                </c:pt>
                <c:pt idx="367">
                  <c:v>3.2689999999999997E-2</c:v>
                </c:pt>
                <c:pt idx="368">
                  <c:v>3.2559999999999999E-2</c:v>
                </c:pt>
                <c:pt idx="369">
                  <c:v>3.2500000000000001E-2</c:v>
                </c:pt>
                <c:pt idx="370">
                  <c:v>3.2559999999999999E-2</c:v>
                </c:pt>
                <c:pt idx="371">
                  <c:v>3.2559999999999999E-2</c:v>
                </c:pt>
                <c:pt idx="372">
                  <c:v>3.2559999999999999E-2</c:v>
                </c:pt>
                <c:pt idx="373">
                  <c:v>3.2570000000000002E-2</c:v>
                </c:pt>
                <c:pt idx="374">
                  <c:v>3.2570000000000002E-2</c:v>
                </c:pt>
                <c:pt idx="375">
                  <c:v>3.2579999999999998E-2</c:v>
                </c:pt>
                <c:pt idx="376">
                  <c:v>3.252E-2</c:v>
                </c:pt>
                <c:pt idx="377">
                  <c:v>3.2570000000000002E-2</c:v>
                </c:pt>
                <c:pt idx="378">
                  <c:v>3.2570000000000002E-2</c:v>
                </c:pt>
                <c:pt idx="379">
                  <c:v>3.2570000000000002E-2</c:v>
                </c:pt>
                <c:pt idx="380">
                  <c:v>3.2579999999999998E-2</c:v>
                </c:pt>
                <c:pt idx="381">
                  <c:v>3.2660000000000002E-2</c:v>
                </c:pt>
                <c:pt idx="382">
                  <c:v>3.2509999999999997E-2</c:v>
                </c:pt>
                <c:pt idx="383">
                  <c:v>3.252E-2</c:v>
                </c:pt>
                <c:pt idx="384">
                  <c:v>3.2620000000000003E-2</c:v>
                </c:pt>
                <c:pt idx="385">
                  <c:v>3.2620000000000003E-2</c:v>
                </c:pt>
                <c:pt idx="386">
                  <c:v>3.2620000000000003E-2</c:v>
                </c:pt>
                <c:pt idx="387">
                  <c:v>3.2689999999999997E-2</c:v>
                </c:pt>
                <c:pt idx="388">
                  <c:v>3.2620000000000003E-2</c:v>
                </c:pt>
                <c:pt idx="389">
                  <c:v>3.2770000000000001E-2</c:v>
                </c:pt>
                <c:pt idx="390">
                  <c:v>3.2689999999999997E-2</c:v>
                </c:pt>
                <c:pt idx="391">
                  <c:v>3.2969999999999999E-2</c:v>
                </c:pt>
                <c:pt idx="392">
                  <c:v>3.2969999999999999E-2</c:v>
                </c:pt>
                <c:pt idx="393">
                  <c:v>3.2969999999999999E-2</c:v>
                </c:pt>
                <c:pt idx="394">
                  <c:v>3.2620000000000003E-2</c:v>
                </c:pt>
                <c:pt idx="395">
                  <c:v>3.2629999999999999E-2</c:v>
                </c:pt>
                <c:pt idx="396">
                  <c:v>3.261E-2</c:v>
                </c:pt>
                <c:pt idx="397">
                  <c:v>3.2590000000000001E-2</c:v>
                </c:pt>
                <c:pt idx="398">
                  <c:v>3.2590000000000001E-2</c:v>
                </c:pt>
                <c:pt idx="399">
                  <c:v>3.2590000000000001E-2</c:v>
                </c:pt>
                <c:pt idx="400">
                  <c:v>3.2590000000000001E-2</c:v>
                </c:pt>
                <c:pt idx="401">
                  <c:v>3.2550000000000003E-2</c:v>
                </c:pt>
                <c:pt idx="402">
                  <c:v>3.2539999999999999E-2</c:v>
                </c:pt>
                <c:pt idx="403">
                  <c:v>3.2590000000000001E-2</c:v>
                </c:pt>
                <c:pt idx="404">
                  <c:v>3.2969999999999999E-2</c:v>
                </c:pt>
                <c:pt idx="405">
                  <c:v>3.304E-2</c:v>
                </c:pt>
                <c:pt idx="406">
                  <c:v>3.304E-2</c:v>
                </c:pt>
                <c:pt idx="407">
                  <c:v>3.304E-2</c:v>
                </c:pt>
                <c:pt idx="408">
                  <c:v>3.3050000000000003E-2</c:v>
                </c:pt>
                <c:pt idx="409">
                  <c:v>3.3020000000000001E-2</c:v>
                </c:pt>
                <c:pt idx="410">
                  <c:v>3.295E-2</c:v>
                </c:pt>
                <c:pt idx="411">
                  <c:v>3.2870000000000003E-2</c:v>
                </c:pt>
                <c:pt idx="412">
                  <c:v>3.2750000000000001E-2</c:v>
                </c:pt>
                <c:pt idx="413">
                  <c:v>3.2750000000000001E-2</c:v>
                </c:pt>
                <c:pt idx="414">
                  <c:v>3.2750000000000001E-2</c:v>
                </c:pt>
                <c:pt idx="415">
                  <c:v>3.2539999999999999E-2</c:v>
                </c:pt>
                <c:pt idx="416">
                  <c:v>3.252E-2</c:v>
                </c:pt>
                <c:pt idx="417">
                  <c:v>3.2500000000000001E-2</c:v>
                </c:pt>
                <c:pt idx="418">
                  <c:v>3.261E-2</c:v>
                </c:pt>
                <c:pt idx="419">
                  <c:v>3.2509999999999997E-2</c:v>
                </c:pt>
                <c:pt idx="420">
                  <c:v>3.2509999999999997E-2</c:v>
                </c:pt>
                <c:pt idx="421">
                  <c:v>3.2509999999999997E-2</c:v>
                </c:pt>
                <c:pt idx="422">
                  <c:v>3.2579999999999998E-2</c:v>
                </c:pt>
                <c:pt idx="423">
                  <c:v>3.3009999999999998E-2</c:v>
                </c:pt>
                <c:pt idx="424">
                  <c:v>3.3239999999999999E-2</c:v>
                </c:pt>
                <c:pt idx="425">
                  <c:v>3.2849999999999997E-2</c:v>
                </c:pt>
                <c:pt idx="426">
                  <c:v>3.288E-2</c:v>
                </c:pt>
                <c:pt idx="427">
                  <c:v>3.288E-2</c:v>
                </c:pt>
                <c:pt idx="428">
                  <c:v>3.288E-2</c:v>
                </c:pt>
                <c:pt idx="429">
                  <c:v>3.2800000000000003E-2</c:v>
                </c:pt>
                <c:pt idx="430">
                  <c:v>3.2800000000000003E-2</c:v>
                </c:pt>
                <c:pt idx="431">
                  <c:v>3.286E-2</c:v>
                </c:pt>
                <c:pt idx="432">
                  <c:v>3.2770000000000001E-2</c:v>
                </c:pt>
                <c:pt idx="433">
                  <c:v>3.2899999999999999E-2</c:v>
                </c:pt>
                <c:pt idx="434">
                  <c:v>3.2899999999999999E-2</c:v>
                </c:pt>
                <c:pt idx="435">
                  <c:v>3.2899999999999999E-2</c:v>
                </c:pt>
                <c:pt idx="436">
                  <c:v>3.2739999999999998E-2</c:v>
                </c:pt>
                <c:pt idx="437">
                  <c:v>3.2800000000000003E-2</c:v>
                </c:pt>
                <c:pt idx="438">
                  <c:v>3.2660000000000002E-2</c:v>
                </c:pt>
                <c:pt idx="439">
                  <c:v>3.2590000000000001E-2</c:v>
                </c:pt>
                <c:pt idx="440">
                  <c:v>3.2689999999999997E-2</c:v>
                </c:pt>
                <c:pt idx="441">
                  <c:v>3.2689999999999997E-2</c:v>
                </c:pt>
                <c:pt idx="442">
                  <c:v>3.2689999999999997E-2</c:v>
                </c:pt>
                <c:pt idx="443">
                  <c:v>3.3059999999999999E-2</c:v>
                </c:pt>
                <c:pt idx="444">
                  <c:v>3.3059999999999999E-2</c:v>
                </c:pt>
                <c:pt idx="445">
                  <c:v>3.3059999999999999E-2</c:v>
                </c:pt>
                <c:pt idx="446">
                  <c:v>3.2680000000000001E-2</c:v>
                </c:pt>
                <c:pt idx="447">
                  <c:v>3.3009999999999998E-2</c:v>
                </c:pt>
                <c:pt idx="448">
                  <c:v>3.3009999999999998E-2</c:v>
                </c:pt>
                <c:pt idx="449">
                  <c:v>3.3009999999999998E-2</c:v>
                </c:pt>
                <c:pt idx="450">
                  <c:v>3.2800000000000003E-2</c:v>
                </c:pt>
                <c:pt idx="451">
                  <c:v>3.2559999999999999E-2</c:v>
                </c:pt>
                <c:pt idx="452">
                  <c:v>3.2500000000000001E-2</c:v>
                </c:pt>
                <c:pt idx="453">
                  <c:v>3.2500000000000001E-2</c:v>
                </c:pt>
                <c:pt idx="454">
                  <c:v>3.3110000000000001E-2</c:v>
                </c:pt>
                <c:pt idx="455">
                  <c:v>3.3110000000000001E-2</c:v>
                </c:pt>
                <c:pt idx="456">
                  <c:v>3.3110000000000001E-2</c:v>
                </c:pt>
                <c:pt idx="457">
                  <c:v>3.3110000000000001E-2</c:v>
                </c:pt>
                <c:pt idx="458">
                  <c:v>3.2980000000000002E-2</c:v>
                </c:pt>
                <c:pt idx="459">
                  <c:v>3.304E-2</c:v>
                </c:pt>
                <c:pt idx="460">
                  <c:v>3.2669999999999998E-2</c:v>
                </c:pt>
                <c:pt idx="461">
                  <c:v>3.329E-2</c:v>
                </c:pt>
                <c:pt idx="462">
                  <c:v>3.329E-2</c:v>
                </c:pt>
                <c:pt idx="463">
                  <c:v>3.329E-2</c:v>
                </c:pt>
                <c:pt idx="464">
                  <c:v>3.2550000000000003E-2</c:v>
                </c:pt>
                <c:pt idx="465">
                  <c:v>3.2930000000000001E-2</c:v>
                </c:pt>
                <c:pt idx="466">
                  <c:v>3.3099999999999997E-2</c:v>
                </c:pt>
                <c:pt idx="467">
                  <c:v>3.2890000000000003E-2</c:v>
                </c:pt>
                <c:pt idx="468">
                  <c:v>3.2800000000000003E-2</c:v>
                </c:pt>
                <c:pt idx="469">
                  <c:v>3.2800000000000003E-2</c:v>
                </c:pt>
                <c:pt idx="470">
                  <c:v>3.2800000000000003E-2</c:v>
                </c:pt>
                <c:pt idx="471">
                  <c:v>3.2550000000000003E-2</c:v>
                </c:pt>
                <c:pt idx="472">
                  <c:v>3.261E-2</c:v>
                </c:pt>
                <c:pt idx="473">
                  <c:v>3.2629999999999999E-2</c:v>
                </c:pt>
                <c:pt idx="474">
                  <c:v>3.2620000000000003E-2</c:v>
                </c:pt>
                <c:pt idx="475">
                  <c:v>3.2739999999999998E-2</c:v>
                </c:pt>
                <c:pt idx="476">
                  <c:v>3.2739999999999998E-2</c:v>
                </c:pt>
                <c:pt idx="477">
                  <c:v>3.2739999999999998E-2</c:v>
                </c:pt>
                <c:pt idx="478">
                  <c:v>3.2739999999999998E-2</c:v>
                </c:pt>
                <c:pt idx="479">
                  <c:v>3.2550000000000003E-2</c:v>
                </c:pt>
                <c:pt idx="480">
                  <c:v>3.2809999999999999E-2</c:v>
                </c:pt>
                <c:pt idx="481">
                  <c:v>3.2640000000000002E-2</c:v>
                </c:pt>
                <c:pt idx="482">
                  <c:v>3.3369999999999997E-2</c:v>
                </c:pt>
                <c:pt idx="483">
                  <c:v>3.3369999999999997E-2</c:v>
                </c:pt>
                <c:pt idx="484">
                  <c:v>3.3369999999999997E-2</c:v>
                </c:pt>
                <c:pt idx="485">
                  <c:v>3.3160000000000002E-2</c:v>
                </c:pt>
                <c:pt idx="486">
                  <c:v>3.3160000000000002E-2</c:v>
                </c:pt>
                <c:pt idx="487">
                  <c:v>3.2820000000000002E-2</c:v>
                </c:pt>
                <c:pt idx="488">
                  <c:v>3.2530000000000003E-2</c:v>
                </c:pt>
                <c:pt idx="489">
                  <c:v>3.2989999999999998E-2</c:v>
                </c:pt>
                <c:pt idx="490">
                  <c:v>3.2989999999999998E-2</c:v>
                </c:pt>
                <c:pt idx="491">
                  <c:v>3.2989999999999998E-2</c:v>
                </c:pt>
                <c:pt idx="492">
                  <c:v>3.3079999999999998E-2</c:v>
                </c:pt>
                <c:pt idx="493">
                  <c:v>3.3020000000000001E-2</c:v>
                </c:pt>
                <c:pt idx="494">
                  <c:v>3.3029999999999997E-2</c:v>
                </c:pt>
                <c:pt idx="495">
                  <c:v>3.288E-2</c:v>
                </c:pt>
                <c:pt idx="496">
                  <c:v>3.288E-2</c:v>
                </c:pt>
                <c:pt idx="497">
                  <c:v>3.288E-2</c:v>
                </c:pt>
                <c:pt idx="498">
                  <c:v>3.288E-2</c:v>
                </c:pt>
                <c:pt idx="499">
                  <c:v>3.3090000000000001E-2</c:v>
                </c:pt>
                <c:pt idx="500">
                  <c:v>3.3000000000000002E-2</c:v>
                </c:pt>
                <c:pt idx="501">
                  <c:v>3.2750000000000001E-2</c:v>
                </c:pt>
                <c:pt idx="502">
                  <c:v>3.2930000000000001E-2</c:v>
                </c:pt>
                <c:pt idx="503">
                  <c:v>3.2680000000000001E-2</c:v>
                </c:pt>
                <c:pt idx="504">
                  <c:v>3.2680000000000001E-2</c:v>
                </c:pt>
                <c:pt idx="505">
                  <c:v>3.2680000000000001E-2</c:v>
                </c:pt>
                <c:pt idx="506">
                  <c:v>3.2649999999999998E-2</c:v>
                </c:pt>
                <c:pt idx="507">
                  <c:v>3.261E-2</c:v>
                </c:pt>
                <c:pt idx="508">
                  <c:v>3.2629999999999999E-2</c:v>
                </c:pt>
                <c:pt idx="509">
                  <c:v>3.2649999999999998E-2</c:v>
                </c:pt>
                <c:pt idx="510">
                  <c:v>3.2730000000000002E-2</c:v>
                </c:pt>
                <c:pt idx="511">
                  <c:v>3.2730000000000002E-2</c:v>
                </c:pt>
                <c:pt idx="512">
                  <c:v>3.2730000000000002E-2</c:v>
                </c:pt>
                <c:pt idx="513">
                  <c:v>3.2820000000000002E-2</c:v>
                </c:pt>
                <c:pt idx="514">
                  <c:v>3.2969999999999999E-2</c:v>
                </c:pt>
                <c:pt idx="515">
                  <c:v>3.2960000000000003E-2</c:v>
                </c:pt>
                <c:pt idx="516">
                  <c:v>3.304E-2</c:v>
                </c:pt>
                <c:pt idx="517">
                  <c:v>3.2939999999999997E-2</c:v>
                </c:pt>
                <c:pt idx="518">
                  <c:v>3.2939999999999997E-2</c:v>
                </c:pt>
                <c:pt idx="519">
                  <c:v>3.2939999999999997E-2</c:v>
                </c:pt>
                <c:pt idx="520">
                  <c:v>3.2649999999999998E-2</c:v>
                </c:pt>
                <c:pt idx="521">
                  <c:v>3.2629999999999999E-2</c:v>
                </c:pt>
                <c:pt idx="522">
                  <c:v>3.2599999999999997E-2</c:v>
                </c:pt>
                <c:pt idx="523">
                  <c:v>3.2629999999999999E-2</c:v>
                </c:pt>
                <c:pt idx="524">
                  <c:v>3.2559999999999999E-2</c:v>
                </c:pt>
                <c:pt idx="525">
                  <c:v>3.2559999999999999E-2</c:v>
                </c:pt>
                <c:pt idx="526">
                  <c:v>3.2559999999999999E-2</c:v>
                </c:pt>
                <c:pt idx="527">
                  <c:v>3.2530000000000003E-2</c:v>
                </c:pt>
                <c:pt idx="528">
                  <c:v>3.252E-2</c:v>
                </c:pt>
                <c:pt idx="529">
                  <c:v>3.252E-2</c:v>
                </c:pt>
                <c:pt idx="530">
                  <c:v>3.2550000000000003E-2</c:v>
                </c:pt>
                <c:pt idx="531">
                  <c:v>3.2570000000000002E-2</c:v>
                </c:pt>
                <c:pt idx="532">
                  <c:v>3.2570000000000002E-2</c:v>
                </c:pt>
                <c:pt idx="533">
                  <c:v>3.2570000000000002E-2</c:v>
                </c:pt>
                <c:pt idx="534">
                  <c:v>3.2739999999999998E-2</c:v>
                </c:pt>
                <c:pt idx="535">
                  <c:v>3.2680000000000001E-2</c:v>
                </c:pt>
                <c:pt idx="536">
                  <c:v>3.2570000000000002E-2</c:v>
                </c:pt>
                <c:pt idx="537">
                  <c:v>3.2640000000000002E-2</c:v>
                </c:pt>
                <c:pt idx="538">
                  <c:v>3.2590000000000001E-2</c:v>
                </c:pt>
                <c:pt idx="539">
                  <c:v>3.2590000000000001E-2</c:v>
                </c:pt>
                <c:pt idx="540">
                  <c:v>3.2590000000000001E-2</c:v>
                </c:pt>
                <c:pt idx="541">
                  <c:v>3.252E-2</c:v>
                </c:pt>
                <c:pt idx="542">
                  <c:v>3.2509999999999997E-2</c:v>
                </c:pt>
                <c:pt idx="543">
                  <c:v>3.2599999999999997E-2</c:v>
                </c:pt>
                <c:pt idx="544">
                  <c:v>3.261E-2</c:v>
                </c:pt>
                <c:pt idx="545">
                  <c:v>3.2599999999999997E-2</c:v>
                </c:pt>
                <c:pt idx="546">
                  <c:v>3.2599999999999997E-2</c:v>
                </c:pt>
                <c:pt idx="547">
                  <c:v>3.2599999999999997E-2</c:v>
                </c:pt>
                <c:pt idx="548">
                  <c:v>3.2620000000000003E-2</c:v>
                </c:pt>
                <c:pt idx="549">
                  <c:v>3.2620000000000003E-2</c:v>
                </c:pt>
                <c:pt idx="550">
                  <c:v>3.252E-2</c:v>
                </c:pt>
                <c:pt idx="551">
                  <c:v>3.2590000000000001E-2</c:v>
                </c:pt>
                <c:pt idx="552">
                  <c:v>3.2579999999999998E-2</c:v>
                </c:pt>
                <c:pt idx="553">
                  <c:v>3.2579999999999998E-2</c:v>
                </c:pt>
                <c:pt idx="554">
                  <c:v>3.2579999999999998E-2</c:v>
                </c:pt>
                <c:pt idx="555">
                  <c:v>3.2539999999999999E-2</c:v>
                </c:pt>
                <c:pt idx="556">
                  <c:v>3.2509999999999997E-2</c:v>
                </c:pt>
                <c:pt idx="557">
                  <c:v>3.2550000000000003E-2</c:v>
                </c:pt>
                <c:pt idx="558">
                  <c:v>3.2530000000000003E-2</c:v>
                </c:pt>
                <c:pt idx="559">
                  <c:v>3.2539999999999999E-2</c:v>
                </c:pt>
                <c:pt idx="560">
                  <c:v>3.2539999999999999E-2</c:v>
                </c:pt>
                <c:pt idx="561">
                  <c:v>3.2539999999999999E-2</c:v>
                </c:pt>
                <c:pt idx="562">
                  <c:v>3.2500000000000001E-2</c:v>
                </c:pt>
                <c:pt idx="563">
                  <c:v>3.2500000000000001E-2</c:v>
                </c:pt>
                <c:pt idx="564">
                  <c:v>3.2500000000000001E-2</c:v>
                </c:pt>
                <c:pt idx="565">
                  <c:v>3.2539999999999999E-2</c:v>
                </c:pt>
                <c:pt idx="566">
                  <c:v>3.2660000000000002E-2</c:v>
                </c:pt>
                <c:pt idx="567">
                  <c:v>3.2660000000000002E-2</c:v>
                </c:pt>
                <c:pt idx="568">
                  <c:v>3.2660000000000002E-2</c:v>
                </c:pt>
                <c:pt idx="569">
                  <c:v>3.2629999999999999E-2</c:v>
                </c:pt>
                <c:pt idx="570">
                  <c:v>3.2649999999999998E-2</c:v>
                </c:pt>
                <c:pt idx="571">
                  <c:v>3.2620000000000003E-2</c:v>
                </c:pt>
                <c:pt idx="572">
                  <c:v>3.2590000000000001E-2</c:v>
                </c:pt>
                <c:pt idx="573">
                  <c:v>3.2770000000000001E-2</c:v>
                </c:pt>
                <c:pt idx="574">
                  <c:v>3.2770000000000001E-2</c:v>
                </c:pt>
                <c:pt idx="575">
                  <c:v>3.2770000000000001E-2</c:v>
                </c:pt>
                <c:pt idx="576">
                  <c:v>3.2599999999999997E-2</c:v>
                </c:pt>
                <c:pt idx="577">
                  <c:v>3.2629999999999999E-2</c:v>
                </c:pt>
                <c:pt idx="578">
                  <c:v>3.2649999999999998E-2</c:v>
                </c:pt>
                <c:pt idx="579">
                  <c:v>3.2579999999999998E-2</c:v>
                </c:pt>
                <c:pt idx="580">
                  <c:v>3.2719999999999999E-2</c:v>
                </c:pt>
                <c:pt idx="581">
                  <c:v>3.2719999999999999E-2</c:v>
                </c:pt>
                <c:pt idx="582">
                  <c:v>3.2719999999999999E-2</c:v>
                </c:pt>
                <c:pt idx="583">
                  <c:v>3.27E-2</c:v>
                </c:pt>
                <c:pt idx="584">
                  <c:v>3.2629999999999999E-2</c:v>
                </c:pt>
                <c:pt idx="585">
                  <c:v>3.261E-2</c:v>
                </c:pt>
                <c:pt idx="586">
                  <c:v>3.2710000000000003E-2</c:v>
                </c:pt>
                <c:pt idx="587">
                  <c:v>3.261E-2</c:v>
                </c:pt>
                <c:pt idx="588">
                  <c:v>3.261E-2</c:v>
                </c:pt>
                <c:pt idx="589">
                  <c:v>3.261E-2</c:v>
                </c:pt>
                <c:pt idx="590">
                  <c:v>3.2680000000000001E-2</c:v>
                </c:pt>
                <c:pt idx="591">
                  <c:v>3.2669999999999998E-2</c:v>
                </c:pt>
                <c:pt idx="592">
                  <c:v>3.2750000000000001E-2</c:v>
                </c:pt>
                <c:pt idx="593">
                  <c:v>3.2559999999999999E-2</c:v>
                </c:pt>
                <c:pt idx="594">
                  <c:v>3.2849999999999997E-2</c:v>
                </c:pt>
                <c:pt idx="595">
                  <c:v>3.2849999999999997E-2</c:v>
                </c:pt>
                <c:pt idx="596">
                  <c:v>3.2849999999999997E-2</c:v>
                </c:pt>
                <c:pt idx="597">
                  <c:v>3.2579999999999998E-2</c:v>
                </c:pt>
                <c:pt idx="598">
                  <c:v>3.2809999999999999E-2</c:v>
                </c:pt>
                <c:pt idx="599">
                  <c:v>3.2730000000000002E-2</c:v>
                </c:pt>
                <c:pt idx="600">
                  <c:v>3.2640000000000002E-2</c:v>
                </c:pt>
                <c:pt idx="601">
                  <c:v>3.2599999999999997E-2</c:v>
                </c:pt>
                <c:pt idx="602">
                  <c:v>3.2599999999999997E-2</c:v>
                </c:pt>
                <c:pt idx="603">
                  <c:v>3.2599999999999997E-2</c:v>
                </c:pt>
                <c:pt idx="604">
                  <c:v>3.2530000000000003E-2</c:v>
                </c:pt>
                <c:pt idx="605">
                  <c:v>3.2829999999999998E-2</c:v>
                </c:pt>
                <c:pt idx="606">
                  <c:v>3.2829999999999998E-2</c:v>
                </c:pt>
                <c:pt idx="607">
                  <c:v>3.2539999999999999E-2</c:v>
                </c:pt>
                <c:pt idx="608">
                  <c:v>3.2689999999999997E-2</c:v>
                </c:pt>
                <c:pt idx="609">
                  <c:v>3.2689999999999997E-2</c:v>
                </c:pt>
                <c:pt idx="610">
                  <c:v>3.2689999999999997E-2</c:v>
                </c:pt>
                <c:pt idx="611">
                  <c:v>3.2559999999999999E-2</c:v>
                </c:pt>
                <c:pt idx="612">
                  <c:v>3.2530000000000003E-2</c:v>
                </c:pt>
                <c:pt idx="613">
                  <c:v>3.2570000000000002E-2</c:v>
                </c:pt>
                <c:pt idx="614">
                  <c:v>3.252E-2</c:v>
                </c:pt>
                <c:pt idx="615">
                  <c:v>3.252E-2</c:v>
                </c:pt>
                <c:pt idx="616">
                  <c:v>3.252E-2</c:v>
                </c:pt>
                <c:pt idx="617">
                  <c:v>3.252E-2</c:v>
                </c:pt>
                <c:pt idx="618">
                  <c:v>3.2530000000000003E-2</c:v>
                </c:pt>
                <c:pt idx="619">
                  <c:v>3.2509999999999997E-2</c:v>
                </c:pt>
                <c:pt idx="620">
                  <c:v>3.2509999999999997E-2</c:v>
                </c:pt>
                <c:pt idx="621">
                  <c:v>3.2550000000000003E-2</c:v>
                </c:pt>
                <c:pt idx="622">
                  <c:v>3.2500000000000001E-2</c:v>
                </c:pt>
                <c:pt idx="623">
                  <c:v>3.2500000000000001E-2</c:v>
                </c:pt>
                <c:pt idx="624">
                  <c:v>3.2500000000000001E-2</c:v>
                </c:pt>
                <c:pt idx="625">
                  <c:v>3.2559999999999999E-2</c:v>
                </c:pt>
                <c:pt idx="626">
                  <c:v>3.2500000000000001E-2</c:v>
                </c:pt>
                <c:pt idx="627">
                  <c:v>3.2500000000000001E-2</c:v>
                </c:pt>
                <c:pt idx="628">
                  <c:v>3.2559999999999999E-2</c:v>
                </c:pt>
                <c:pt idx="629">
                  <c:v>3.2539999999999999E-2</c:v>
                </c:pt>
                <c:pt idx="630">
                  <c:v>3.2539999999999999E-2</c:v>
                </c:pt>
                <c:pt idx="631">
                  <c:v>3.2539999999999999E-2</c:v>
                </c:pt>
                <c:pt idx="632">
                  <c:v>3.2539999999999999E-2</c:v>
                </c:pt>
                <c:pt idx="633">
                  <c:v>3.2539999999999999E-2</c:v>
                </c:pt>
                <c:pt idx="634">
                  <c:v>3.2559999999999999E-2</c:v>
                </c:pt>
                <c:pt idx="635">
                  <c:v>3.2660000000000002E-2</c:v>
                </c:pt>
                <c:pt idx="636">
                  <c:v>3.2680000000000001E-2</c:v>
                </c:pt>
                <c:pt idx="637">
                  <c:v>3.2680000000000001E-2</c:v>
                </c:pt>
                <c:pt idx="638">
                  <c:v>3.2680000000000001E-2</c:v>
                </c:pt>
                <c:pt idx="639">
                  <c:v>3.2669999999999998E-2</c:v>
                </c:pt>
                <c:pt idx="640">
                  <c:v>3.2840000000000001E-2</c:v>
                </c:pt>
                <c:pt idx="641">
                  <c:v>3.2840000000000001E-2</c:v>
                </c:pt>
                <c:pt idx="642">
                  <c:v>3.2840000000000001E-2</c:v>
                </c:pt>
                <c:pt idx="643">
                  <c:v>3.2840000000000001E-2</c:v>
                </c:pt>
                <c:pt idx="644">
                  <c:v>3.2840000000000001E-2</c:v>
                </c:pt>
                <c:pt idx="645">
                  <c:v>3.2840000000000001E-2</c:v>
                </c:pt>
                <c:pt idx="646">
                  <c:v>3.2530000000000003E-2</c:v>
                </c:pt>
                <c:pt idx="647">
                  <c:v>3.2689999999999997E-2</c:v>
                </c:pt>
                <c:pt idx="648">
                  <c:v>3.2730000000000002E-2</c:v>
                </c:pt>
                <c:pt idx="649">
                  <c:v>3.2559999999999999E-2</c:v>
                </c:pt>
                <c:pt idx="650">
                  <c:v>3.2550000000000003E-2</c:v>
                </c:pt>
                <c:pt idx="651">
                  <c:v>3.2550000000000003E-2</c:v>
                </c:pt>
                <c:pt idx="652">
                  <c:v>3.2550000000000003E-2</c:v>
                </c:pt>
                <c:pt idx="653">
                  <c:v>3.252E-2</c:v>
                </c:pt>
                <c:pt idx="654">
                  <c:v>3.2500000000000001E-2</c:v>
                </c:pt>
                <c:pt idx="655">
                  <c:v>3.2500000000000001E-2</c:v>
                </c:pt>
                <c:pt idx="656">
                  <c:v>3.3070000000000002E-2</c:v>
                </c:pt>
                <c:pt idx="657">
                  <c:v>3.2669999999999998E-2</c:v>
                </c:pt>
                <c:pt idx="658">
                  <c:v>3.2669999999999998E-2</c:v>
                </c:pt>
                <c:pt idx="659">
                  <c:v>3.2669999999999998E-2</c:v>
                </c:pt>
                <c:pt idx="660">
                  <c:v>3.2559999999999999E-2</c:v>
                </c:pt>
                <c:pt idx="661">
                  <c:v>3.2579999999999998E-2</c:v>
                </c:pt>
                <c:pt idx="662">
                  <c:v>3.2620000000000003E-2</c:v>
                </c:pt>
                <c:pt idx="663">
                  <c:v>3.2649999999999998E-2</c:v>
                </c:pt>
                <c:pt idx="664">
                  <c:v>3.2899999999999999E-2</c:v>
                </c:pt>
                <c:pt idx="665">
                  <c:v>3.2899999999999999E-2</c:v>
                </c:pt>
                <c:pt idx="666">
                  <c:v>3.2899999999999999E-2</c:v>
                </c:pt>
                <c:pt idx="667">
                  <c:v>3.2680000000000001E-2</c:v>
                </c:pt>
                <c:pt idx="668">
                  <c:v>3.2559999999999999E-2</c:v>
                </c:pt>
                <c:pt idx="669">
                  <c:v>3.2559999999999999E-2</c:v>
                </c:pt>
                <c:pt idx="670">
                  <c:v>3.2500000000000001E-2</c:v>
                </c:pt>
                <c:pt idx="671">
                  <c:v>3.2550000000000003E-2</c:v>
                </c:pt>
                <c:pt idx="672">
                  <c:v>3.2550000000000003E-2</c:v>
                </c:pt>
                <c:pt idx="673">
                  <c:v>3.2550000000000003E-2</c:v>
                </c:pt>
                <c:pt idx="674">
                  <c:v>3.252E-2</c:v>
                </c:pt>
                <c:pt idx="675">
                  <c:v>3.2530000000000003E-2</c:v>
                </c:pt>
                <c:pt idx="676">
                  <c:v>3.2559999999999999E-2</c:v>
                </c:pt>
                <c:pt idx="677">
                  <c:v>3.2550000000000003E-2</c:v>
                </c:pt>
                <c:pt idx="678">
                  <c:v>3.2640000000000002E-2</c:v>
                </c:pt>
                <c:pt idx="679">
                  <c:v>3.2640000000000002E-2</c:v>
                </c:pt>
                <c:pt idx="680">
                  <c:v>3.2640000000000002E-2</c:v>
                </c:pt>
                <c:pt idx="681">
                  <c:v>3.2680000000000001E-2</c:v>
                </c:pt>
                <c:pt idx="682">
                  <c:v>3.2579999999999998E-2</c:v>
                </c:pt>
                <c:pt idx="683">
                  <c:v>3.2509999999999997E-2</c:v>
                </c:pt>
                <c:pt idx="684">
                  <c:v>3.2599999999999997E-2</c:v>
                </c:pt>
                <c:pt idx="685">
                  <c:v>3.2640000000000002E-2</c:v>
                </c:pt>
                <c:pt idx="686">
                  <c:v>3.2640000000000002E-2</c:v>
                </c:pt>
                <c:pt idx="687">
                  <c:v>3.2640000000000002E-2</c:v>
                </c:pt>
                <c:pt idx="688">
                  <c:v>3.2550000000000003E-2</c:v>
                </c:pt>
                <c:pt idx="689">
                  <c:v>3.2500000000000001E-2</c:v>
                </c:pt>
                <c:pt idx="690">
                  <c:v>3.2500000000000001E-2</c:v>
                </c:pt>
                <c:pt idx="691">
                  <c:v>3.2649999999999998E-2</c:v>
                </c:pt>
                <c:pt idx="692">
                  <c:v>3.2629999999999999E-2</c:v>
                </c:pt>
                <c:pt idx="693">
                  <c:v>3.2629999999999999E-2</c:v>
                </c:pt>
                <c:pt idx="694">
                  <c:v>3.2629999999999999E-2</c:v>
                </c:pt>
                <c:pt idx="695">
                  <c:v>3.27E-2</c:v>
                </c:pt>
                <c:pt idx="696">
                  <c:v>3.27E-2</c:v>
                </c:pt>
                <c:pt idx="697">
                  <c:v>3.2969999999999999E-2</c:v>
                </c:pt>
                <c:pt idx="698">
                  <c:v>3.3169999999999998E-2</c:v>
                </c:pt>
                <c:pt idx="699">
                  <c:v>3.3149999999999999E-2</c:v>
                </c:pt>
                <c:pt idx="700">
                  <c:v>3.3149999999999999E-2</c:v>
                </c:pt>
                <c:pt idx="701">
                  <c:v>3.3149999999999999E-2</c:v>
                </c:pt>
                <c:pt idx="702">
                  <c:v>3.3110000000000001E-2</c:v>
                </c:pt>
                <c:pt idx="703">
                  <c:v>3.2669999999999998E-2</c:v>
                </c:pt>
                <c:pt idx="704">
                  <c:v>3.2849999999999997E-2</c:v>
                </c:pt>
                <c:pt idx="705">
                  <c:v>3.3579999999999999E-2</c:v>
                </c:pt>
                <c:pt idx="706">
                  <c:v>3.857E-2</c:v>
                </c:pt>
                <c:pt idx="707">
                  <c:v>3.857E-2</c:v>
                </c:pt>
                <c:pt idx="708">
                  <c:v>3.857E-2</c:v>
                </c:pt>
                <c:pt idx="709">
                  <c:v>3.857E-2</c:v>
                </c:pt>
                <c:pt idx="710">
                  <c:v>3.857E-2</c:v>
                </c:pt>
                <c:pt idx="711">
                  <c:v>3.857E-2</c:v>
                </c:pt>
                <c:pt idx="712">
                  <c:v>3.424E-2</c:v>
                </c:pt>
                <c:pt idx="713">
                  <c:v>3.3820000000000003E-2</c:v>
                </c:pt>
                <c:pt idx="714">
                  <c:v>3.3820000000000003E-2</c:v>
                </c:pt>
                <c:pt idx="715">
                  <c:v>3.3820000000000003E-2</c:v>
                </c:pt>
                <c:pt idx="716">
                  <c:v>3.3840000000000002E-2</c:v>
                </c:pt>
                <c:pt idx="717">
                  <c:v>3.3840000000000002E-2</c:v>
                </c:pt>
                <c:pt idx="718">
                  <c:v>3.3840000000000002E-2</c:v>
                </c:pt>
                <c:pt idx="719">
                  <c:v>3.3340000000000002E-2</c:v>
                </c:pt>
                <c:pt idx="720">
                  <c:v>3.2809999999999999E-2</c:v>
                </c:pt>
                <c:pt idx="721">
                  <c:v>3.2809999999999999E-2</c:v>
                </c:pt>
                <c:pt idx="722">
                  <c:v>3.2809999999999999E-2</c:v>
                </c:pt>
                <c:pt idx="723">
                  <c:v>3.2570000000000002E-2</c:v>
                </c:pt>
                <c:pt idx="724">
                  <c:v>3.2500000000000001E-2</c:v>
                </c:pt>
                <c:pt idx="725">
                  <c:v>3.2500000000000001E-2</c:v>
                </c:pt>
                <c:pt idx="726">
                  <c:v>3.2579999999999998E-2</c:v>
                </c:pt>
                <c:pt idx="727">
                  <c:v>3.2930000000000001E-2</c:v>
                </c:pt>
                <c:pt idx="728">
                  <c:v>3.2930000000000001E-2</c:v>
                </c:pt>
                <c:pt idx="729">
                  <c:v>3.2930000000000001E-2</c:v>
                </c:pt>
                <c:pt idx="730">
                  <c:v>3.2500000000000001E-2</c:v>
                </c:pt>
                <c:pt idx="731">
                  <c:v>3.2559999999999999E-2</c:v>
                </c:pt>
                <c:pt idx="732">
                  <c:v>3.261E-2</c:v>
                </c:pt>
                <c:pt idx="733">
                  <c:v>3.2550000000000003E-2</c:v>
                </c:pt>
                <c:pt idx="734">
                  <c:v>3.2570000000000002E-2</c:v>
                </c:pt>
                <c:pt idx="735">
                  <c:v>3.2570000000000002E-2</c:v>
                </c:pt>
                <c:pt idx="736">
                  <c:v>3.2570000000000002E-2</c:v>
                </c:pt>
                <c:pt idx="737">
                  <c:v>3.2590000000000001E-2</c:v>
                </c:pt>
                <c:pt idx="738">
                  <c:v>3.2550000000000003E-2</c:v>
                </c:pt>
                <c:pt idx="739">
                  <c:v>3.2500000000000001E-2</c:v>
                </c:pt>
                <c:pt idx="740">
                  <c:v>3.2530000000000003E-2</c:v>
                </c:pt>
                <c:pt idx="741">
                  <c:v>3.2870000000000003E-2</c:v>
                </c:pt>
                <c:pt idx="742">
                  <c:v>3.2870000000000003E-2</c:v>
                </c:pt>
                <c:pt idx="743">
                  <c:v>3.2870000000000003E-2</c:v>
                </c:pt>
                <c:pt idx="744">
                  <c:v>3.3009999999999998E-2</c:v>
                </c:pt>
                <c:pt idx="745">
                  <c:v>3.2730000000000002E-2</c:v>
                </c:pt>
                <c:pt idx="746">
                  <c:v>3.2559999999999999E-2</c:v>
                </c:pt>
                <c:pt idx="747">
                  <c:v>3.2550000000000003E-2</c:v>
                </c:pt>
                <c:pt idx="748">
                  <c:v>3.2570000000000002E-2</c:v>
                </c:pt>
                <c:pt idx="749">
                  <c:v>3.2570000000000002E-2</c:v>
                </c:pt>
                <c:pt idx="750">
                  <c:v>3.2570000000000002E-2</c:v>
                </c:pt>
                <c:pt idx="751">
                  <c:v>3.2500000000000001E-2</c:v>
                </c:pt>
                <c:pt idx="752">
                  <c:v>3.2500000000000001E-2</c:v>
                </c:pt>
                <c:pt idx="753">
                  <c:v>3.2500000000000001E-2</c:v>
                </c:pt>
                <c:pt idx="754">
                  <c:v>3.2550000000000003E-2</c:v>
                </c:pt>
                <c:pt idx="755">
                  <c:v>3.2680000000000001E-2</c:v>
                </c:pt>
                <c:pt idx="756">
                  <c:v>3.2680000000000001E-2</c:v>
                </c:pt>
                <c:pt idx="757">
                  <c:v>3.2680000000000001E-2</c:v>
                </c:pt>
                <c:pt idx="758">
                  <c:v>3.2980000000000002E-2</c:v>
                </c:pt>
                <c:pt idx="759">
                  <c:v>3.2500000000000001E-2</c:v>
                </c:pt>
                <c:pt idx="760">
                  <c:v>3.2500000000000001E-2</c:v>
                </c:pt>
                <c:pt idx="761">
                  <c:v>3.2500000000000001E-2</c:v>
                </c:pt>
                <c:pt idx="762">
                  <c:v>3.2550000000000003E-2</c:v>
                </c:pt>
                <c:pt idx="763">
                  <c:v>3.2550000000000003E-2</c:v>
                </c:pt>
                <c:pt idx="764">
                  <c:v>3.2550000000000003E-2</c:v>
                </c:pt>
                <c:pt idx="765">
                  <c:v>3.2579999999999998E-2</c:v>
                </c:pt>
                <c:pt idx="766">
                  <c:v>3.2539999999999999E-2</c:v>
                </c:pt>
                <c:pt idx="767">
                  <c:v>3.2550000000000003E-2</c:v>
                </c:pt>
                <c:pt idx="768">
                  <c:v>3.2570000000000002E-2</c:v>
                </c:pt>
                <c:pt idx="769">
                  <c:v>3.2539999999999999E-2</c:v>
                </c:pt>
                <c:pt idx="770">
                  <c:v>3.2539999999999999E-2</c:v>
                </c:pt>
                <c:pt idx="771">
                  <c:v>3.2539999999999999E-2</c:v>
                </c:pt>
                <c:pt idx="772">
                  <c:v>3.2710000000000003E-2</c:v>
                </c:pt>
                <c:pt idx="773">
                  <c:v>3.27E-2</c:v>
                </c:pt>
                <c:pt idx="774">
                  <c:v>3.2559999999999999E-2</c:v>
                </c:pt>
                <c:pt idx="775">
                  <c:v>3.2550000000000003E-2</c:v>
                </c:pt>
                <c:pt idx="776">
                  <c:v>3.2579999999999998E-2</c:v>
                </c:pt>
                <c:pt idx="777">
                  <c:v>3.2579999999999998E-2</c:v>
                </c:pt>
                <c:pt idx="778">
                  <c:v>3.2579999999999998E-2</c:v>
                </c:pt>
                <c:pt idx="779">
                  <c:v>3.2500000000000001E-2</c:v>
                </c:pt>
                <c:pt idx="780">
                  <c:v>3.2500000000000001E-2</c:v>
                </c:pt>
                <c:pt idx="781">
                  <c:v>3.2500000000000001E-2</c:v>
                </c:pt>
                <c:pt idx="782">
                  <c:v>3.2500000000000001E-2</c:v>
                </c:pt>
                <c:pt idx="783">
                  <c:v>3.2500000000000001E-2</c:v>
                </c:pt>
                <c:pt idx="784">
                  <c:v>3.2500000000000001E-2</c:v>
                </c:pt>
                <c:pt idx="785">
                  <c:v>3.2500000000000001E-2</c:v>
                </c:pt>
                <c:pt idx="786">
                  <c:v>3.2550000000000003E-2</c:v>
                </c:pt>
                <c:pt idx="787">
                  <c:v>3.2599999999999997E-2</c:v>
                </c:pt>
                <c:pt idx="788">
                  <c:v>3.2800000000000003E-2</c:v>
                </c:pt>
                <c:pt idx="789">
                  <c:v>3.2939999999999997E-2</c:v>
                </c:pt>
                <c:pt idx="790">
                  <c:v>3.27E-2</c:v>
                </c:pt>
                <c:pt idx="791">
                  <c:v>3.27E-2</c:v>
                </c:pt>
                <c:pt idx="792">
                  <c:v>3.27E-2</c:v>
                </c:pt>
                <c:pt idx="793">
                  <c:v>3.2640000000000002E-2</c:v>
                </c:pt>
                <c:pt idx="794">
                  <c:v>3.261E-2</c:v>
                </c:pt>
                <c:pt idx="795">
                  <c:v>3.261E-2</c:v>
                </c:pt>
                <c:pt idx="796">
                  <c:v>3.3029999999999997E-2</c:v>
                </c:pt>
                <c:pt idx="797">
                  <c:v>3.2629999999999999E-2</c:v>
                </c:pt>
                <c:pt idx="798">
                  <c:v>3.2629999999999999E-2</c:v>
                </c:pt>
                <c:pt idx="799">
                  <c:v>3.2629999999999999E-2</c:v>
                </c:pt>
                <c:pt idx="800">
                  <c:v>3.2629999999999999E-2</c:v>
                </c:pt>
                <c:pt idx="801">
                  <c:v>3.2530000000000003E-2</c:v>
                </c:pt>
                <c:pt idx="802">
                  <c:v>3.2640000000000002E-2</c:v>
                </c:pt>
                <c:pt idx="803">
                  <c:v>3.2530000000000003E-2</c:v>
                </c:pt>
                <c:pt idx="804">
                  <c:v>3.2719999999999999E-2</c:v>
                </c:pt>
                <c:pt idx="805">
                  <c:v>3.2719999999999999E-2</c:v>
                </c:pt>
                <c:pt idx="806">
                  <c:v>3.2719999999999999E-2</c:v>
                </c:pt>
                <c:pt idx="807">
                  <c:v>3.2719999999999999E-2</c:v>
                </c:pt>
                <c:pt idx="808">
                  <c:v>3.252E-2</c:v>
                </c:pt>
                <c:pt idx="809">
                  <c:v>3.252E-2</c:v>
                </c:pt>
                <c:pt idx="810">
                  <c:v>3.2640000000000002E-2</c:v>
                </c:pt>
                <c:pt idx="811">
                  <c:v>3.2680000000000001E-2</c:v>
                </c:pt>
                <c:pt idx="812">
                  <c:v>3.2680000000000001E-2</c:v>
                </c:pt>
                <c:pt idx="813">
                  <c:v>3.2680000000000001E-2</c:v>
                </c:pt>
                <c:pt idx="814">
                  <c:v>3.2680000000000001E-2</c:v>
                </c:pt>
                <c:pt idx="815">
                  <c:v>3.2770000000000001E-2</c:v>
                </c:pt>
                <c:pt idx="816">
                  <c:v>3.2770000000000001E-2</c:v>
                </c:pt>
                <c:pt idx="817">
                  <c:v>3.2530000000000003E-2</c:v>
                </c:pt>
                <c:pt idx="818">
                  <c:v>3.2759999999999997E-2</c:v>
                </c:pt>
                <c:pt idx="819">
                  <c:v>3.2759999999999997E-2</c:v>
                </c:pt>
                <c:pt idx="820">
                  <c:v>3.2759999999999997E-2</c:v>
                </c:pt>
                <c:pt idx="821">
                  <c:v>3.2500000000000001E-2</c:v>
                </c:pt>
                <c:pt idx="822">
                  <c:v>3.2509999999999997E-2</c:v>
                </c:pt>
                <c:pt idx="823">
                  <c:v>3.2500000000000001E-2</c:v>
                </c:pt>
                <c:pt idx="824">
                  <c:v>3.2550000000000003E-2</c:v>
                </c:pt>
                <c:pt idx="825">
                  <c:v>3.2649999999999998E-2</c:v>
                </c:pt>
                <c:pt idx="826">
                  <c:v>3.2649999999999998E-2</c:v>
                </c:pt>
                <c:pt idx="827">
                  <c:v>3.2649999999999998E-2</c:v>
                </c:pt>
                <c:pt idx="828">
                  <c:v>3.2509999999999997E-2</c:v>
                </c:pt>
                <c:pt idx="829">
                  <c:v>3.252E-2</c:v>
                </c:pt>
                <c:pt idx="830">
                  <c:v>3.2539999999999999E-2</c:v>
                </c:pt>
                <c:pt idx="831">
                  <c:v>3.2579999999999998E-2</c:v>
                </c:pt>
                <c:pt idx="832">
                  <c:v>3.2539999999999999E-2</c:v>
                </c:pt>
                <c:pt idx="833">
                  <c:v>3.2539999999999999E-2</c:v>
                </c:pt>
                <c:pt idx="834">
                  <c:v>3.2539999999999999E-2</c:v>
                </c:pt>
                <c:pt idx="835">
                  <c:v>3.2509999999999997E-2</c:v>
                </c:pt>
                <c:pt idx="836">
                  <c:v>3.2500000000000001E-2</c:v>
                </c:pt>
                <c:pt idx="837">
                  <c:v>3.2620000000000003E-2</c:v>
                </c:pt>
                <c:pt idx="838">
                  <c:v>3.2840000000000001E-2</c:v>
                </c:pt>
                <c:pt idx="839">
                  <c:v>3.3099999999999997E-2</c:v>
                </c:pt>
                <c:pt idx="840">
                  <c:v>3.3099999999999997E-2</c:v>
                </c:pt>
                <c:pt idx="841">
                  <c:v>3.3099999999999997E-2</c:v>
                </c:pt>
                <c:pt idx="842">
                  <c:v>3.2989999999999998E-2</c:v>
                </c:pt>
                <c:pt idx="843">
                  <c:v>3.3460000000000004E-2</c:v>
                </c:pt>
                <c:pt idx="844">
                  <c:v>3.295E-2</c:v>
                </c:pt>
                <c:pt idx="845">
                  <c:v>3.252E-2</c:v>
                </c:pt>
                <c:pt idx="846">
                  <c:v>3.2539999999999999E-2</c:v>
                </c:pt>
                <c:pt idx="847">
                  <c:v>3.2539999999999999E-2</c:v>
                </c:pt>
                <c:pt idx="848">
                  <c:v>3.2539999999999999E-2</c:v>
                </c:pt>
                <c:pt idx="849">
                  <c:v>3.2539999999999999E-2</c:v>
                </c:pt>
                <c:pt idx="850">
                  <c:v>3.2620000000000003E-2</c:v>
                </c:pt>
                <c:pt idx="851">
                  <c:v>3.2620000000000003E-2</c:v>
                </c:pt>
                <c:pt idx="852">
                  <c:v>3.2500000000000001E-2</c:v>
                </c:pt>
                <c:pt idx="853">
                  <c:v>3.2509999999999997E-2</c:v>
                </c:pt>
                <c:pt idx="854">
                  <c:v>3.2509999999999997E-2</c:v>
                </c:pt>
                <c:pt idx="855">
                  <c:v>3.2509999999999997E-2</c:v>
                </c:pt>
                <c:pt idx="856">
                  <c:v>3.2500000000000001E-2</c:v>
                </c:pt>
                <c:pt idx="857">
                  <c:v>3.2500000000000001E-2</c:v>
                </c:pt>
                <c:pt idx="858">
                  <c:v>3.2500000000000001E-2</c:v>
                </c:pt>
                <c:pt idx="859">
                  <c:v>3.2500000000000001E-2</c:v>
                </c:pt>
                <c:pt idx="860">
                  <c:v>3.2500000000000001E-2</c:v>
                </c:pt>
                <c:pt idx="861">
                  <c:v>3.2500000000000001E-2</c:v>
                </c:pt>
                <c:pt idx="862">
                  <c:v>3.2500000000000001E-2</c:v>
                </c:pt>
                <c:pt idx="863">
                  <c:v>3.2500000000000001E-2</c:v>
                </c:pt>
                <c:pt idx="864">
                  <c:v>3.2500000000000001E-2</c:v>
                </c:pt>
                <c:pt idx="865">
                  <c:v>3.2500000000000001E-2</c:v>
                </c:pt>
                <c:pt idx="866">
                  <c:v>3.2500000000000001E-2</c:v>
                </c:pt>
                <c:pt idx="867">
                  <c:v>3.2550000000000003E-2</c:v>
                </c:pt>
                <c:pt idx="868">
                  <c:v>3.2550000000000003E-2</c:v>
                </c:pt>
                <c:pt idx="869">
                  <c:v>3.2550000000000003E-2</c:v>
                </c:pt>
                <c:pt idx="870">
                  <c:v>3.2500000000000001E-2</c:v>
                </c:pt>
                <c:pt idx="871">
                  <c:v>3.2500000000000001E-2</c:v>
                </c:pt>
                <c:pt idx="872">
                  <c:v>3.2590000000000001E-2</c:v>
                </c:pt>
                <c:pt idx="873">
                  <c:v>3.2579999999999998E-2</c:v>
                </c:pt>
                <c:pt idx="874">
                  <c:v>3.3020000000000001E-2</c:v>
                </c:pt>
                <c:pt idx="875">
                  <c:v>3.3020000000000001E-2</c:v>
                </c:pt>
                <c:pt idx="876">
                  <c:v>3.3020000000000001E-2</c:v>
                </c:pt>
                <c:pt idx="877">
                  <c:v>3.2780000000000004E-2</c:v>
                </c:pt>
                <c:pt idx="878">
                  <c:v>3.2800000000000003E-2</c:v>
                </c:pt>
                <c:pt idx="879">
                  <c:v>3.2919999999999998E-2</c:v>
                </c:pt>
                <c:pt idx="880">
                  <c:v>3.2509999999999997E-2</c:v>
                </c:pt>
                <c:pt idx="881">
                  <c:v>3.2500000000000001E-2</c:v>
                </c:pt>
                <c:pt idx="882">
                  <c:v>3.2500000000000001E-2</c:v>
                </c:pt>
                <c:pt idx="883">
                  <c:v>3.2500000000000001E-2</c:v>
                </c:pt>
                <c:pt idx="884">
                  <c:v>3.2500000000000001E-2</c:v>
                </c:pt>
                <c:pt idx="885">
                  <c:v>3.2500000000000001E-2</c:v>
                </c:pt>
                <c:pt idx="886">
                  <c:v>3.2500000000000001E-2</c:v>
                </c:pt>
                <c:pt idx="887">
                  <c:v>3.2500000000000001E-2</c:v>
                </c:pt>
                <c:pt idx="888">
                  <c:v>3.2500000000000001E-2</c:v>
                </c:pt>
                <c:pt idx="889">
                  <c:v>3.2500000000000001E-2</c:v>
                </c:pt>
                <c:pt idx="890">
                  <c:v>3.2500000000000001E-2</c:v>
                </c:pt>
                <c:pt idx="891">
                  <c:v>3.2500000000000001E-2</c:v>
                </c:pt>
                <c:pt idx="892">
                  <c:v>3.2500000000000001E-2</c:v>
                </c:pt>
                <c:pt idx="893">
                  <c:v>3.2530000000000003E-2</c:v>
                </c:pt>
                <c:pt idx="894">
                  <c:v>3.2500000000000001E-2</c:v>
                </c:pt>
                <c:pt idx="895">
                  <c:v>3.2500000000000001E-2</c:v>
                </c:pt>
                <c:pt idx="896">
                  <c:v>3.2500000000000001E-2</c:v>
                </c:pt>
                <c:pt idx="897">
                  <c:v>3.2500000000000001E-2</c:v>
                </c:pt>
                <c:pt idx="898">
                  <c:v>3.2570000000000002E-2</c:v>
                </c:pt>
                <c:pt idx="899">
                  <c:v>3.2500000000000001E-2</c:v>
                </c:pt>
                <c:pt idx="900">
                  <c:v>3.2500000000000001E-2</c:v>
                </c:pt>
                <c:pt idx="901">
                  <c:v>3.2500000000000001E-2</c:v>
                </c:pt>
                <c:pt idx="902">
                  <c:v>3.2539999999999999E-2</c:v>
                </c:pt>
                <c:pt idx="903">
                  <c:v>3.2539999999999999E-2</c:v>
                </c:pt>
                <c:pt idx="904">
                  <c:v>3.2539999999999999E-2</c:v>
                </c:pt>
                <c:pt idx="905">
                  <c:v>3.2500000000000001E-2</c:v>
                </c:pt>
                <c:pt idx="906">
                  <c:v>3.2500000000000001E-2</c:v>
                </c:pt>
                <c:pt idx="907">
                  <c:v>3.2500000000000001E-2</c:v>
                </c:pt>
                <c:pt idx="908">
                  <c:v>3.2500000000000001E-2</c:v>
                </c:pt>
                <c:pt idx="909">
                  <c:v>3.2500000000000001E-2</c:v>
                </c:pt>
                <c:pt idx="910">
                  <c:v>3.2500000000000001E-2</c:v>
                </c:pt>
                <c:pt idx="911">
                  <c:v>3.2500000000000001E-2</c:v>
                </c:pt>
                <c:pt idx="912">
                  <c:v>3.2500000000000001E-2</c:v>
                </c:pt>
                <c:pt idx="913">
                  <c:v>3.2500000000000001E-2</c:v>
                </c:pt>
                <c:pt idx="914">
                  <c:v>3.2590000000000001E-2</c:v>
                </c:pt>
                <c:pt idx="915">
                  <c:v>3.261E-2</c:v>
                </c:pt>
                <c:pt idx="916">
                  <c:v>3.2579999999999998E-2</c:v>
                </c:pt>
                <c:pt idx="917">
                  <c:v>3.2579999999999998E-2</c:v>
                </c:pt>
                <c:pt idx="918">
                  <c:v>3.2579999999999998E-2</c:v>
                </c:pt>
                <c:pt idx="919">
                  <c:v>3.2500000000000001E-2</c:v>
                </c:pt>
                <c:pt idx="920">
                  <c:v>3.2530000000000003E-2</c:v>
                </c:pt>
                <c:pt idx="921">
                  <c:v>3.2500000000000001E-2</c:v>
                </c:pt>
                <c:pt idx="922">
                  <c:v>3.2530000000000003E-2</c:v>
                </c:pt>
                <c:pt idx="923">
                  <c:v>3.2640000000000002E-2</c:v>
                </c:pt>
                <c:pt idx="924">
                  <c:v>3.2640000000000002E-2</c:v>
                </c:pt>
                <c:pt idx="925">
                  <c:v>3.2640000000000002E-2</c:v>
                </c:pt>
                <c:pt idx="926">
                  <c:v>3.279E-2</c:v>
                </c:pt>
                <c:pt idx="927">
                  <c:v>3.2599999999999997E-2</c:v>
                </c:pt>
                <c:pt idx="928">
                  <c:v>3.0269999999999998E-2</c:v>
                </c:pt>
                <c:pt idx="929">
                  <c:v>3.0039999999999997E-2</c:v>
                </c:pt>
                <c:pt idx="930">
                  <c:v>3.0039999999999997E-2</c:v>
                </c:pt>
                <c:pt idx="931">
                  <c:v>3.0039999999999997E-2</c:v>
                </c:pt>
                <c:pt idx="932">
                  <c:v>3.0039999999999997E-2</c:v>
                </c:pt>
                <c:pt idx="933">
                  <c:v>0.03</c:v>
                </c:pt>
                <c:pt idx="934">
                  <c:v>0.03</c:v>
                </c:pt>
                <c:pt idx="935">
                  <c:v>0.03</c:v>
                </c:pt>
                <c:pt idx="936">
                  <c:v>0.03</c:v>
                </c:pt>
                <c:pt idx="937">
                  <c:v>0.03</c:v>
                </c:pt>
                <c:pt idx="938">
                  <c:v>0.03</c:v>
                </c:pt>
                <c:pt idx="939">
                  <c:v>0.03</c:v>
                </c:pt>
                <c:pt idx="940">
                  <c:v>0.03</c:v>
                </c:pt>
                <c:pt idx="941">
                  <c:v>0.03</c:v>
                </c:pt>
                <c:pt idx="942">
                  <c:v>0.03</c:v>
                </c:pt>
                <c:pt idx="943">
                  <c:v>0.03</c:v>
                </c:pt>
                <c:pt idx="944">
                  <c:v>3.0060000000000003E-2</c:v>
                </c:pt>
                <c:pt idx="945">
                  <c:v>3.0060000000000003E-2</c:v>
                </c:pt>
                <c:pt idx="946">
                  <c:v>3.0060000000000003E-2</c:v>
                </c:pt>
                <c:pt idx="947">
                  <c:v>0.03</c:v>
                </c:pt>
                <c:pt idx="948">
                  <c:v>0.03</c:v>
                </c:pt>
                <c:pt idx="949">
                  <c:v>0.03</c:v>
                </c:pt>
                <c:pt idx="950">
                  <c:v>3.007E-2</c:v>
                </c:pt>
                <c:pt idx="951">
                  <c:v>3.0060000000000003E-2</c:v>
                </c:pt>
                <c:pt idx="952">
                  <c:v>3.0060000000000003E-2</c:v>
                </c:pt>
                <c:pt idx="953">
                  <c:v>3.0060000000000003E-2</c:v>
                </c:pt>
                <c:pt idx="954">
                  <c:v>3.0210000000000001E-2</c:v>
                </c:pt>
                <c:pt idx="955">
                  <c:v>3.0159999999999999E-2</c:v>
                </c:pt>
                <c:pt idx="956">
                  <c:v>3.0330000000000003E-2</c:v>
                </c:pt>
                <c:pt idx="957">
                  <c:v>3.0199999999999998E-2</c:v>
                </c:pt>
                <c:pt idx="958">
                  <c:v>3.0190000000000002E-2</c:v>
                </c:pt>
                <c:pt idx="959">
                  <c:v>3.0190000000000002E-2</c:v>
                </c:pt>
                <c:pt idx="960">
                  <c:v>3.0190000000000002E-2</c:v>
                </c:pt>
                <c:pt idx="961">
                  <c:v>3.0210000000000001E-2</c:v>
                </c:pt>
                <c:pt idx="962">
                  <c:v>3.0310000000000004E-2</c:v>
                </c:pt>
                <c:pt idx="963">
                  <c:v>3.0289999999999997E-2</c:v>
                </c:pt>
                <c:pt idx="964">
                  <c:v>0.03</c:v>
                </c:pt>
                <c:pt idx="965">
                  <c:v>0.03</c:v>
                </c:pt>
                <c:pt idx="966">
                  <c:v>0.03</c:v>
                </c:pt>
                <c:pt idx="967">
                  <c:v>0.03</c:v>
                </c:pt>
                <c:pt idx="968">
                  <c:v>0.03</c:v>
                </c:pt>
                <c:pt idx="969">
                  <c:v>3.0010000000000002E-2</c:v>
                </c:pt>
                <c:pt idx="970">
                  <c:v>0.03</c:v>
                </c:pt>
                <c:pt idx="971">
                  <c:v>3.0010000000000002E-2</c:v>
                </c:pt>
                <c:pt idx="972">
                  <c:v>3.0010000000000002E-2</c:v>
                </c:pt>
                <c:pt idx="973">
                  <c:v>3.0010000000000002E-2</c:v>
                </c:pt>
                <c:pt idx="974">
                  <c:v>3.0010000000000002E-2</c:v>
                </c:pt>
                <c:pt idx="975">
                  <c:v>0.03</c:v>
                </c:pt>
                <c:pt idx="976">
                  <c:v>0.03</c:v>
                </c:pt>
                <c:pt idx="977">
                  <c:v>0.03</c:v>
                </c:pt>
                <c:pt idx="978">
                  <c:v>0.03</c:v>
                </c:pt>
                <c:pt idx="979">
                  <c:v>0.03</c:v>
                </c:pt>
                <c:pt idx="980">
                  <c:v>0.03</c:v>
                </c:pt>
                <c:pt idx="981">
                  <c:v>0.03</c:v>
                </c:pt>
                <c:pt idx="982">
                  <c:v>0.03</c:v>
                </c:pt>
                <c:pt idx="983">
                  <c:v>0.03</c:v>
                </c:pt>
                <c:pt idx="984">
                  <c:v>3.0010000000000002E-2</c:v>
                </c:pt>
                <c:pt idx="985">
                  <c:v>0.03</c:v>
                </c:pt>
                <c:pt idx="986">
                  <c:v>3.0030000000000001E-2</c:v>
                </c:pt>
                <c:pt idx="987">
                  <c:v>3.0030000000000001E-2</c:v>
                </c:pt>
                <c:pt idx="988">
                  <c:v>3.0030000000000001E-2</c:v>
                </c:pt>
                <c:pt idx="989">
                  <c:v>0.03</c:v>
                </c:pt>
                <c:pt idx="990">
                  <c:v>0.03</c:v>
                </c:pt>
                <c:pt idx="991">
                  <c:v>0.03</c:v>
                </c:pt>
                <c:pt idx="992">
                  <c:v>0.03</c:v>
                </c:pt>
                <c:pt idx="993">
                  <c:v>0.03</c:v>
                </c:pt>
                <c:pt idx="994">
                  <c:v>0.03</c:v>
                </c:pt>
                <c:pt idx="995">
                  <c:v>0.03</c:v>
                </c:pt>
                <c:pt idx="996">
                  <c:v>0.03</c:v>
                </c:pt>
                <c:pt idx="997">
                  <c:v>0.03</c:v>
                </c:pt>
                <c:pt idx="998">
                  <c:v>0.03</c:v>
                </c:pt>
                <c:pt idx="999">
                  <c:v>0.03</c:v>
                </c:pt>
              </c:numCache>
            </c:numRef>
          </c:val>
          <c:smooth val="0"/>
          <c:extLst>
            <c:ext xmlns:c16="http://schemas.microsoft.com/office/drawing/2014/chart" uri="{C3380CC4-5D6E-409C-BE32-E72D297353CC}">
              <c16:uniqueId val="{00000001-90BA-134F-A94D-4008F7326B36}"/>
            </c:ext>
          </c:extLst>
        </c:ser>
        <c:ser>
          <c:idx val="2"/>
          <c:order val="2"/>
          <c:tx>
            <c:strRef>
              <c:f>'Données TMIB'!$I$1</c:f>
              <c:strCache>
                <c:ptCount val="1"/>
                <c:pt idx="0">
                  <c:v>Lower band</c:v>
                </c:pt>
              </c:strCache>
            </c:strRef>
          </c:tx>
          <c:marker>
            <c:symbol val="none"/>
          </c:marker>
          <c:cat>
            <c:numRef>
              <c:f>'Données TMIB'!$A$2:$A$999</c:f>
              <c:numCache>
                <c:formatCode>m/d/yy</c:formatCode>
                <c:ptCount val="998"/>
                <c:pt idx="0">
                  <c:v>42982</c:v>
                </c:pt>
                <c:pt idx="1">
                  <c:v>42983</c:v>
                </c:pt>
                <c:pt idx="2">
                  <c:v>42984</c:v>
                </c:pt>
                <c:pt idx="3">
                  <c:v>42985</c:v>
                </c:pt>
                <c:pt idx="4">
                  <c:v>42986</c:v>
                </c:pt>
                <c:pt idx="5">
                  <c:v>42987</c:v>
                </c:pt>
                <c:pt idx="6">
                  <c:v>42988</c:v>
                </c:pt>
                <c:pt idx="7">
                  <c:v>42989</c:v>
                </c:pt>
                <c:pt idx="8">
                  <c:v>42990</c:v>
                </c:pt>
                <c:pt idx="9">
                  <c:v>42991</c:v>
                </c:pt>
                <c:pt idx="10">
                  <c:v>42992</c:v>
                </c:pt>
                <c:pt idx="11">
                  <c:v>42993</c:v>
                </c:pt>
                <c:pt idx="12">
                  <c:v>42994</c:v>
                </c:pt>
                <c:pt idx="13">
                  <c:v>42995</c:v>
                </c:pt>
                <c:pt idx="14">
                  <c:v>42996</c:v>
                </c:pt>
                <c:pt idx="15">
                  <c:v>42997</c:v>
                </c:pt>
                <c:pt idx="16">
                  <c:v>42998</c:v>
                </c:pt>
                <c:pt idx="17">
                  <c:v>42999</c:v>
                </c:pt>
                <c:pt idx="18">
                  <c:v>43000</c:v>
                </c:pt>
                <c:pt idx="19">
                  <c:v>43001</c:v>
                </c:pt>
                <c:pt idx="20">
                  <c:v>43002</c:v>
                </c:pt>
                <c:pt idx="21">
                  <c:v>43003</c:v>
                </c:pt>
                <c:pt idx="22">
                  <c:v>43004</c:v>
                </c:pt>
                <c:pt idx="23">
                  <c:v>43005</c:v>
                </c:pt>
                <c:pt idx="24">
                  <c:v>43006</c:v>
                </c:pt>
                <c:pt idx="25">
                  <c:v>43007</c:v>
                </c:pt>
                <c:pt idx="26">
                  <c:v>43008</c:v>
                </c:pt>
                <c:pt idx="27">
                  <c:v>43009</c:v>
                </c:pt>
                <c:pt idx="28">
                  <c:v>43010</c:v>
                </c:pt>
                <c:pt idx="29">
                  <c:v>43011</c:v>
                </c:pt>
                <c:pt idx="30">
                  <c:v>43012</c:v>
                </c:pt>
                <c:pt idx="31">
                  <c:v>43013</c:v>
                </c:pt>
                <c:pt idx="32">
                  <c:v>43014</c:v>
                </c:pt>
                <c:pt idx="33">
                  <c:v>43015</c:v>
                </c:pt>
                <c:pt idx="34">
                  <c:v>43016</c:v>
                </c:pt>
                <c:pt idx="35">
                  <c:v>43017</c:v>
                </c:pt>
                <c:pt idx="36">
                  <c:v>43018</c:v>
                </c:pt>
                <c:pt idx="37">
                  <c:v>43019</c:v>
                </c:pt>
                <c:pt idx="38">
                  <c:v>43020</c:v>
                </c:pt>
                <c:pt idx="39">
                  <c:v>43021</c:v>
                </c:pt>
                <c:pt idx="40">
                  <c:v>43022</c:v>
                </c:pt>
                <c:pt idx="41">
                  <c:v>43023</c:v>
                </c:pt>
                <c:pt idx="42">
                  <c:v>43024</c:v>
                </c:pt>
                <c:pt idx="43">
                  <c:v>43025</c:v>
                </c:pt>
                <c:pt idx="44">
                  <c:v>43026</c:v>
                </c:pt>
                <c:pt idx="45">
                  <c:v>43027</c:v>
                </c:pt>
                <c:pt idx="46">
                  <c:v>43028</c:v>
                </c:pt>
                <c:pt idx="47">
                  <c:v>43029</c:v>
                </c:pt>
                <c:pt idx="48">
                  <c:v>43030</c:v>
                </c:pt>
                <c:pt idx="49">
                  <c:v>43031</c:v>
                </c:pt>
                <c:pt idx="50">
                  <c:v>43032</c:v>
                </c:pt>
                <c:pt idx="51">
                  <c:v>43033</c:v>
                </c:pt>
                <c:pt idx="52">
                  <c:v>43034</c:v>
                </c:pt>
                <c:pt idx="53">
                  <c:v>43035</c:v>
                </c:pt>
                <c:pt idx="54">
                  <c:v>43036</c:v>
                </c:pt>
                <c:pt idx="55">
                  <c:v>43037</c:v>
                </c:pt>
                <c:pt idx="56">
                  <c:v>43038</c:v>
                </c:pt>
                <c:pt idx="57">
                  <c:v>43039</c:v>
                </c:pt>
                <c:pt idx="58">
                  <c:v>43040</c:v>
                </c:pt>
                <c:pt idx="59">
                  <c:v>43041</c:v>
                </c:pt>
                <c:pt idx="60">
                  <c:v>43042</c:v>
                </c:pt>
                <c:pt idx="61">
                  <c:v>43043</c:v>
                </c:pt>
                <c:pt idx="62">
                  <c:v>43044</c:v>
                </c:pt>
                <c:pt idx="63">
                  <c:v>43045</c:v>
                </c:pt>
                <c:pt idx="64">
                  <c:v>43046</c:v>
                </c:pt>
                <c:pt idx="65">
                  <c:v>43047</c:v>
                </c:pt>
                <c:pt idx="66">
                  <c:v>43048</c:v>
                </c:pt>
                <c:pt idx="67">
                  <c:v>43049</c:v>
                </c:pt>
                <c:pt idx="68">
                  <c:v>43050</c:v>
                </c:pt>
                <c:pt idx="69">
                  <c:v>43051</c:v>
                </c:pt>
                <c:pt idx="70">
                  <c:v>43052</c:v>
                </c:pt>
                <c:pt idx="71">
                  <c:v>43053</c:v>
                </c:pt>
                <c:pt idx="72">
                  <c:v>43054</c:v>
                </c:pt>
                <c:pt idx="73">
                  <c:v>43055</c:v>
                </c:pt>
                <c:pt idx="74">
                  <c:v>43056</c:v>
                </c:pt>
                <c:pt idx="75">
                  <c:v>43057</c:v>
                </c:pt>
                <c:pt idx="76">
                  <c:v>43058</c:v>
                </c:pt>
                <c:pt idx="77">
                  <c:v>43059</c:v>
                </c:pt>
                <c:pt idx="78">
                  <c:v>43060</c:v>
                </c:pt>
                <c:pt idx="79">
                  <c:v>43061</c:v>
                </c:pt>
                <c:pt idx="80">
                  <c:v>43062</c:v>
                </c:pt>
                <c:pt idx="81">
                  <c:v>43063</c:v>
                </c:pt>
                <c:pt idx="82">
                  <c:v>43064</c:v>
                </c:pt>
                <c:pt idx="83">
                  <c:v>43065</c:v>
                </c:pt>
                <c:pt idx="84">
                  <c:v>43066</c:v>
                </c:pt>
                <c:pt idx="85">
                  <c:v>43067</c:v>
                </c:pt>
                <c:pt idx="86">
                  <c:v>43068</c:v>
                </c:pt>
                <c:pt idx="87">
                  <c:v>43069</c:v>
                </c:pt>
                <c:pt idx="88">
                  <c:v>43070</c:v>
                </c:pt>
                <c:pt idx="89">
                  <c:v>43071</c:v>
                </c:pt>
                <c:pt idx="90">
                  <c:v>43072</c:v>
                </c:pt>
                <c:pt idx="91">
                  <c:v>43073</c:v>
                </c:pt>
                <c:pt idx="92">
                  <c:v>43074</c:v>
                </c:pt>
                <c:pt idx="93">
                  <c:v>43075</c:v>
                </c:pt>
                <c:pt idx="94">
                  <c:v>43076</c:v>
                </c:pt>
                <c:pt idx="95">
                  <c:v>43077</c:v>
                </c:pt>
                <c:pt idx="96">
                  <c:v>43078</c:v>
                </c:pt>
                <c:pt idx="97">
                  <c:v>43079</c:v>
                </c:pt>
                <c:pt idx="98">
                  <c:v>43080</c:v>
                </c:pt>
                <c:pt idx="99">
                  <c:v>43081</c:v>
                </c:pt>
                <c:pt idx="100">
                  <c:v>43082</c:v>
                </c:pt>
                <c:pt idx="101">
                  <c:v>43083</c:v>
                </c:pt>
                <c:pt idx="102">
                  <c:v>43084</c:v>
                </c:pt>
                <c:pt idx="103">
                  <c:v>43085</c:v>
                </c:pt>
                <c:pt idx="104">
                  <c:v>43086</c:v>
                </c:pt>
                <c:pt idx="105">
                  <c:v>43087</c:v>
                </c:pt>
                <c:pt idx="106">
                  <c:v>43088</c:v>
                </c:pt>
                <c:pt idx="107">
                  <c:v>43089</c:v>
                </c:pt>
                <c:pt idx="108">
                  <c:v>43090</c:v>
                </c:pt>
                <c:pt idx="109">
                  <c:v>43091</c:v>
                </c:pt>
                <c:pt idx="110">
                  <c:v>43092</c:v>
                </c:pt>
                <c:pt idx="111">
                  <c:v>43093</c:v>
                </c:pt>
                <c:pt idx="112">
                  <c:v>43094</c:v>
                </c:pt>
                <c:pt idx="113">
                  <c:v>43095</c:v>
                </c:pt>
                <c:pt idx="114">
                  <c:v>43096</c:v>
                </c:pt>
                <c:pt idx="115">
                  <c:v>43097</c:v>
                </c:pt>
                <c:pt idx="116">
                  <c:v>43098</c:v>
                </c:pt>
                <c:pt idx="117">
                  <c:v>43099</c:v>
                </c:pt>
                <c:pt idx="118">
                  <c:v>43100</c:v>
                </c:pt>
                <c:pt idx="119">
                  <c:v>43101</c:v>
                </c:pt>
                <c:pt idx="120">
                  <c:v>43102</c:v>
                </c:pt>
                <c:pt idx="121">
                  <c:v>43103</c:v>
                </c:pt>
                <c:pt idx="122">
                  <c:v>43104</c:v>
                </c:pt>
                <c:pt idx="123">
                  <c:v>43105</c:v>
                </c:pt>
                <c:pt idx="124">
                  <c:v>43106</c:v>
                </c:pt>
                <c:pt idx="125">
                  <c:v>43107</c:v>
                </c:pt>
                <c:pt idx="126">
                  <c:v>43108</c:v>
                </c:pt>
                <c:pt idx="127">
                  <c:v>43109</c:v>
                </c:pt>
                <c:pt idx="128">
                  <c:v>43110</c:v>
                </c:pt>
                <c:pt idx="129">
                  <c:v>43111</c:v>
                </c:pt>
                <c:pt idx="130">
                  <c:v>43112</c:v>
                </c:pt>
                <c:pt idx="131">
                  <c:v>43113</c:v>
                </c:pt>
                <c:pt idx="132">
                  <c:v>43114</c:v>
                </c:pt>
                <c:pt idx="133">
                  <c:v>43115</c:v>
                </c:pt>
                <c:pt idx="134">
                  <c:v>43116</c:v>
                </c:pt>
                <c:pt idx="135">
                  <c:v>43117</c:v>
                </c:pt>
                <c:pt idx="136">
                  <c:v>43118</c:v>
                </c:pt>
                <c:pt idx="137">
                  <c:v>43119</c:v>
                </c:pt>
                <c:pt idx="138">
                  <c:v>43120</c:v>
                </c:pt>
                <c:pt idx="139">
                  <c:v>43121</c:v>
                </c:pt>
                <c:pt idx="140">
                  <c:v>43122</c:v>
                </c:pt>
                <c:pt idx="141">
                  <c:v>43123</c:v>
                </c:pt>
                <c:pt idx="142">
                  <c:v>43124</c:v>
                </c:pt>
                <c:pt idx="143">
                  <c:v>43125</c:v>
                </c:pt>
                <c:pt idx="144">
                  <c:v>43126</c:v>
                </c:pt>
                <c:pt idx="145">
                  <c:v>43127</c:v>
                </c:pt>
                <c:pt idx="146">
                  <c:v>43128</c:v>
                </c:pt>
                <c:pt idx="147">
                  <c:v>43129</c:v>
                </c:pt>
                <c:pt idx="148">
                  <c:v>43130</c:v>
                </c:pt>
                <c:pt idx="149">
                  <c:v>43131</c:v>
                </c:pt>
                <c:pt idx="150">
                  <c:v>43132</c:v>
                </c:pt>
                <c:pt idx="151">
                  <c:v>43133</c:v>
                </c:pt>
                <c:pt idx="152">
                  <c:v>43134</c:v>
                </c:pt>
                <c:pt idx="153">
                  <c:v>43135</c:v>
                </c:pt>
                <c:pt idx="154">
                  <c:v>43136</c:v>
                </c:pt>
                <c:pt idx="155">
                  <c:v>43137</c:v>
                </c:pt>
                <c:pt idx="156">
                  <c:v>43138</c:v>
                </c:pt>
                <c:pt idx="157">
                  <c:v>43139</c:v>
                </c:pt>
                <c:pt idx="158">
                  <c:v>43140</c:v>
                </c:pt>
                <c:pt idx="159">
                  <c:v>43141</c:v>
                </c:pt>
                <c:pt idx="160">
                  <c:v>43142</c:v>
                </c:pt>
                <c:pt idx="161">
                  <c:v>43143</c:v>
                </c:pt>
                <c:pt idx="162">
                  <c:v>43144</c:v>
                </c:pt>
                <c:pt idx="163">
                  <c:v>43145</c:v>
                </c:pt>
                <c:pt idx="164">
                  <c:v>43146</c:v>
                </c:pt>
                <c:pt idx="165">
                  <c:v>43147</c:v>
                </c:pt>
                <c:pt idx="166">
                  <c:v>43148</c:v>
                </c:pt>
                <c:pt idx="167">
                  <c:v>43149</c:v>
                </c:pt>
                <c:pt idx="168">
                  <c:v>43150</c:v>
                </c:pt>
                <c:pt idx="169">
                  <c:v>43151</c:v>
                </c:pt>
                <c:pt idx="170">
                  <c:v>43152</c:v>
                </c:pt>
                <c:pt idx="171">
                  <c:v>43153</c:v>
                </c:pt>
                <c:pt idx="172">
                  <c:v>43154</c:v>
                </c:pt>
                <c:pt idx="173">
                  <c:v>43155</c:v>
                </c:pt>
                <c:pt idx="174">
                  <c:v>43156</c:v>
                </c:pt>
                <c:pt idx="175">
                  <c:v>43157</c:v>
                </c:pt>
                <c:pt idx="176">
                  <c:v>43158</c:v>
                </c:pt>
                <c:pt idx="177">
                  <c:v>43159</c:v>
                </c:pt>
                <c:pt idx="178">
                  <c:v>43160</c:v>
                </c:pt>
                <c:pt idx="179">
                  <c:v>43161</c:v>
                </c:pt>
                <c:pt idx="180">
                  <c:v>43162</c:v>
                </c:pt>
                <c:pt idx="181">
                  <c:v>43163</c:v>
                </c:pt>
                <c:pt idx="182">
                  <c:v>43164</c:v>
                </c:pt>
                <c:pt idx="183">
                  <c:v>43165</c:v>
                </c:pt>
                <c:pt idx="184">
                  <c:v>43166</c:v>
                </c:pt>
                <c:pt idx="185">
                  <c:v>43167</c:v>
                </c:pt>
                <c:pt idx="186">
                  <c:v>43168</c:v>
                </c:pt>
                <c:pt idx="187">
                  <c:v>43169</c:v>
                </c:pt>
                <c:pt idx="188">
                  <c:v>43170</c:v>
                </c:pt>
                <c:pt idx="189">
                  <c:v>43171</c:v>
                </c:pt>
                <c:pt idx="190">
                  <c:v>43172</c:v>
                </c:pt>
                <c:pt idx="191">
                  <c:v>43173</c:v>
                </c:pt>
                <c:pt idx="192">
                  <c:v>43174</c:v>
                </c:pt>
                <c:pt idx="193">
                  <c:v>43175</c:v>
                </c:pt>
                <c:pt idx="194">
                  <c:v>43176</c:v>
                </c:pt>
                <c:pt idx="195">
                  <c:v>43177</c:v>
                </c:pt>
                <c:pt idx="196">
                  <c:v>43178</c:v>
                </c:pt>
                <c:pt idx="197">
                  <c:v>43179</c:v>
                </c:pt>
                <c:pt idx="198">
                  <c:v>43180</c:v>
                </c:pt>
                <c:pt idx="199">
                  <c:v>43181</c:v>
                </c:pt>
                <c:pt idx="200">
                  <c:v>43182</c:v>
                </c:pt>
                <c:pt idx="201">
                  <c:v>43183</c:v>
                </c:pt>
                <c:pt idx="202">
                  <c:v>43184</c:v>
                </c:pt>
                <c:pt idx="203">
                  <c:v>43185</c:v>
                </c:pt>
                <c:pt idx="204">
                  <c:v>43186</c:v>
                </c:pt>
                <c:pt idx="205">
                  <c:v>43187</c:v>
                </c:pt>
                <c:pt idx="206">
                  <c:v>43188</c:v>
                </c:pt>
                <c:pt idx="207">
                  <c:v>43189</c:v>
                </c:pt>
                <c:pt idx="208">
                  <c:v>43190</c:v>
                </c:pt>
                <c:pt idx="209">
                  <c:v>43191</c:v>
                </c:pt>
                <c:pt idx="210">
                  <c:v>43192</c:v>
                </c:pt>
                <c:pt idx="211">
                  <c:v>43193</c:v>
                </c:pt>
                <c:pt idx="212">
                  <c:v>43194</c:v>
                </c:pt>
                <c:pt idx="213">
                  <c:v>43195</c:v>
                </c:pt>
                <c:pt idx="214">
                  <c:v>43196</c:v>
                </c:pt>
                <c:pt idx="215">
                  <c:v>43197</c:v>
                </c:pt>
                <c:pt idx="216">
                  <c:v>43198</c:v>
                </c:pt>
                <c:pt idx="217">
                  <c:v>43199</c:v>
                </c:pt>
                <c:pt idx="218">
                  <c:v>43200</c:v>
                </c:pt>
                <c:pt idx="219">
                  <c:v>43201</c:v>
                </c:pt>
                <c:pt idx="220">
                  <c:v>43202</c:v>
                </c:pt>
                <c:pt idx="221">
                  <c:v>43203</c:v>
                </c:pt>
                <c:pt idx="222">
                  <c:v>43204</c:v>
                </c:pt>
                <c:pt idx="223">
                  <c:v>43205</c:v>
                </c:pt>
                <c:pt idx="224">
                  <c:v>43206</c:v>
                </c:pt>
                <c:pt idx="225">
                  <c:v>43207</c:v>
                </c:pt>
                <c:pt idx="226">
                  <c:v>43208</c:v>
                </c:pt>
                <c:pt idx="227">
                  <c:v>43209</c:v>
                </c:pt>
                <c:pt idx="228">
                  <c:v>43210</c:v>
                </c:pt>
                <c:pt idx="229">
                  <c:v>43211</c:v>
                </c:pt>
                <c:pt idx="230">
                  <c:v>43212</c:v>
                </c:pt>
                <c:pt idx="231">
                  <c:v>43213</c:v>
                </c:pt>
                <c:pt idx="232">
                  <c:v>43214</c:v>
                </c:pt>
                <c:pt idx="233">
                  <c:v>43215</c:v>
                </c:pt>
                <c:pt idx="234">
                  <c:v>43216</c:v>
                </c:pt>
                <c:pt idx="235">
                  <c:v>43217</c:v>
                </c:pt>
                <c:pt idx="236">
                  <c:v>43218</c:v>
                </c:pt>
                <c:pt idx="237">
                  <c:v>43219</c:v>
                </c:pt>
                <c:pt idx="238">
                  <c:v>43220</c:v>
                </c:pt>
                <c:pt idx="239">
                  <c:v>43221</c:v>
                </c:pt>
                <c:pt idx="240">
                  <c:v>43222</c:v>
                </c:pt>
                <c:pt idx="241">
                  <c:v>43223</c:v>
                </c:pt>
                <c:pt idx="242">
                  <c:v>43224</c:v>
                </c:pt>
                <c:pt idx="243">
                  <c:v>43225</c:v>
                </c:pt>
                <c:pt idx="244">
                  <c:v>43226</c:v>
                </c:pt>
                <c:pt idx="245">
                  <c:v>43227</c:v>
                </c:pt>
                <c:pt idx="246">
                  <c:v>43228</c:v>
                </c:pt>
                <c:pt idx="247">
                  <c:v>43229</c:v>
                </c:pt>
                <c:pt idx="248">
                  <c:v>43230</c:v>
                </c:pt>
                <c:pt idx="249">
                  <c:v>43231</c:v>
                </c:pt>
                <c:pt idx="250">
                  <c:v>43232</c:v>
                </c:pt>
                <c:pt idx="251">
                  <c:v>43233</c:v>
                </c:pt>
                <c:pt idx="252">
                  <c:v>43234</c:v>
                </c:pt>
                <c:pt idx="253">
                  <c:v>43235</c:v>
                </c:pt>
                <c:pt idx="254">
                  <c:v>43236</c:v>
                </c:pt>
                <c:pt idx="255">
                  <c:v>43237</c:v>
                </c:pt>
                <c:pt idx="256">
                  <c:v>43238</c:v>
                </c:pt>
                <c:pt idx="257">
                  <c:v>43239</c:v>
                </c:pt>
                <c:pt idx="258">
                  <c:v>43240</c:v>
                </c:pt>
                <c:pt idx="259">
                  <c:v>43241</c:v>
                </c:pt>
                <c:pt idx="260">
                  <c:v>43242</c:v>
                </c:pt>
                <c:pt idx="261">
                  <c:v>43243</c:v>
                </c:pt>
                <c:pt idx="262">
                  <c:v>43244</c:v>
                </c:pt>
                <c:pt idx="263">
                  <c:v>43245</c:v>
                </c:pt>
                <c:pt idx="264">
                  <c:v>43246</c:v>
                </c:pt>
                <c:pt idx="265">
                  <c:v>43247</c:v>
                </c:pt>
                <c:pt idx="266">
                  <c:v>43248</c:v>
                </c:pt>
                <c:pt idx="267">
                  <c:v>43249</c:v>
                </c:pt>
                <c:pt idx="268">
                  <c:v>43250</c:v>
                </c:pt>
                <c:pt idx="269">
                  <c:v>43251</c:v>
                </c:pt>
                <c:pt idx="270">
                  <c:v>43252</c:v>
                </c:pt>
                <c:pt idx="271">
                  <c:v>43253</c:v>
                </c:pt>
                <c:pt idx="272">
                  <c:v>43254</c:v>
                </c:pt>
                <c:pt idx="273">
                  <c:v>43255</c:v>
                </c:pt>
                <c:pt idx="274">
                  <c:v>43256</c:v>
                </c:pt>
                <c:pt idx="275">
                  <c:v>43257</c:v>
                </c:pt>
                <c:pt idx="276">
                  <c:v>43258</c:v>
                </c:pt>
                <c:pt idx="277">
                  <c:v>43259</c:v>
                </c:pt>
                <c:pt idx="278">
                  <c:v>43260</c:v>
                </c:pt>
                <c:pt idx="279">
                  <c:v>43261</c:v>
                </c:pt>
                <c:pt idx="280">
                  <c:v>43262</c:v>
                </c:pt>
                <c:pt idx="281">
                  <c:v>43263</c:v>
                </c:pt>
                <c:pt idx="282">
                  <c:v>43264</c:v>
                </c:pt>
                <c:pt idx="283">
                  <c:v>43265</c:v>
                </c:pt>
                <c:pt idx="284">
                  <c:v>43266</c:v>
                </c:pt>
                <c:pt idx="285">
                  <c:v>43267</c:v>
                </c:pt>
                <c:pt idx="286">
                  <c:v>43268</c:v>
                </c:pt>
                <c:pt idx="287">
                  <c:v>43269</c:v>
                </c:pt>
                <c:pt idx="288">
                  <c:v>43270</c:v>
                </c:pt>
                <c:pt idx="289">
                  <c:v>43271</c:v>
                </c:pt>
                <c:pt idx="290">
                  <c:v>43272</c:v>
                </c:pt>
                <c:pt idx="291">
                  <c:v>43273</c:v>
                </c:pt>
                <c:pt idx="292">
                  <c:v>43274</c:v>
                </c:pt>
                <c:pt idx="293">
                  <c:v>43275</c:v>
                </c:pt>
                <c:pt idx="294">
                  <c:v>43276</c:v>
                </c:pt>
                <c:pt idx="295">
                  <c:v>43277</c:v>
                </c:pt>
                <c:pt idx="296">
                  <c:v>43278</c:v>
                </c:pt>
                <c:pt idx="297">
                  <c:v>43279</c:v>
                </c:pt>
                <c:pt idx="298">
                  <c:v>43280</c:v>
                </c:pt>
                <c:pt idx="299">
                  <c:v>43281</c:v>
                </c:pt>
                <c:pt idx="300">
                  <c:v>43282</c:v>
                </c:pt>
                <c:pt idx="301">
                  <c:v>43283</c:v>
                </c:pt>
                <c:pt idx="302">
                  <c:v>43284</c:v>
                </c:pt>
                <c:pt idx="303">
                  <c:v>43285</c:v>
                </c:pt>
                <c:pt idx="304">
                  <c:v>43286</c:v>
                </c:pt>
                <c:pt idx="305">
                  <c:v>43287</c:v>
                </c:pt>
                <c:pt idx="306">
                  <c:v>43288</c:v>
                </c:pt>
                <c:pt idx="307">
                  <c:v>43289</c:v>
                </c:pt>
                <c:pt idx="308">
                  <c:v>43290</c:v>
                </c:pt>
                <c:pt idx="309">
                  <c:v>43291</c:v>
                </c:pt>
                <c:pt idx="310">
                  <c:v>43292</c:v>
                </c:pt>
                <c:pt idx="311">
                  <c:v>43293</c:v>
                </c:pt>
                <c:pt idx="312">
                  <c:v>43294</c:v>
                </c:pt>
                <c:pt idx="313">
                  <c:v>43295</c:v>
                </c:pt>
                <c:pt idx="314">
                  <c:v>43296</c:v>
                </c:pt>
                <c:pt idx="315">
                  <c:v>43297</c:v>
                </c:pt>
                <c:pt idx="316">
                  <c:v>43298</c:v>
                </c:pt>
                <c:pt idx="317">
                  <c:v>43299</c:v>
                </c:pt>
                <c:pt idx="318">
                  <c:v>43300</c:v>
                </c:pt>
                <c:pt idx="319">
                  <c:v>43301</c:v>
                </c:pt>
                <c:pt idx="320">
                  <c:v>43302</c:v>
                </c:pt>
                <c:pt idx="321">
                  <c:v>43303</c:v>
                </c:pt>
                <c:pt idx="322">
                  <c:v>43304</c:v>
                </c:pt>
                <c:pt idx="323">
                  <c:v>43305</c:v>
                </c:pt>
                <c:pt idx="324">
                  <c:v>43306</c:v>
                </c:pt>
                <c:pt idx="325">
                  <c:v>43307</c:v>
                </c:pt>
                <c:pt idx="326">
                  <c:v>43308</c:v>
                </c:pt>
                <c:pt idx="327">
                  <c:v>43309</c:v>
                </c:pt>
                <c:pt idx="328">
                  <c:v>43310</c:v>
                </c:pt>
                <c:pt idx="329">
                  <c:v>43311</c:v>
                </c:pt>
                <c:pt idx="330">
                  <c:v>43312</c:v>
                </c:pt>
                <c:pt idx="331">
                  <c:v>43313</c:v>
                </c:pt>
                <c:pt idx="332">
                  <c:v>43314</c:v>
                </c:pt>
                <c:pt idx="333">
                  <c:v>43315</c:v>
                </c:pt>
                <c:pt idx="334">
                  <c:v>43316</c:v>
                </c:pt>
                <c:pt idx="335">
                  <c:v>43317</c:v>
                </c:pt>
                <c:pt idx="336">
                  <c:v>43318</c:v>
                </c:pt>
                <c:pt idx="337">
                  <c:v>43319</c:v>
                </c:pt>
                <c:pt idx="338">
                  <c:v>43320</c:v>
                </c:pt>
                <c:pt idx="339">
                  <c:v>43321</c:v>
                </c:pt>
                <c:pt idx="340">
                  <c:v>43322</c:v>
                </c:pt>
                <c:pt idx="341">
                  <c:v>43323</c:v>
                </c:pt>
                <c:pt idx="342">
                  <c:v>43324</c:v>
                </c:pt>
                <c:pt idx="343">
                  <c:v>43325</c:v>
                </c:pt>
                <c:pt idx="344">
                  <c:v>43326</c:v>
                </c:pt>
                <c:pt idx="345">
                  <c:v>43327</c:v>
                </c:pt>
                <c:pt idx="346">
                  <c:v>43328</c:v>
                </c:pt>
                <c:pt idx="347">
                  <c:v>43329</c:v>
                </c:pt>
                <c:pt idx="348">
                  <c:v>43330</c:v>
                </c:pt>
                <c:pt idx="349">
                  <c:v>43331</c:v>
                </c:pt>
                <c:pt idx="350">
                  <c:v>43332</c:v>
                </c:pt>
                <c:pt idx="351">
                  <c:v>43333</c:v>
                </c:pt>
                <c:pt idx="352">
                  <c:v>43334</c:v>
                </c:pt>
                <c:pt idx="353">
                  <c:v>43335</c:v>
                </c:pt>
                <c:pt idx="354">
                  <c:v>43336</c:v>
                </c:pt>
                <c:pt idx="355">
                  <c:v>43337</c:v>
                </c:pt>
                <c:pt idx="356">
                  <c:v>43338</c:v>
                </c:pt>
                <c:pt idx="357">
                  <c:v>43339</c:v>
                </c:pt>
                <c:pt idx="358">
                  <c:v>43340</c:v>
                </c:pt>
                <c:pt idx="359">
                  <c:v>43341</c:v>
                </c:pt>
                <c:pt idx="360">
                  <c:v>43342</c:v>
                </c:pt>
                <c:pt idx="361">
                  <c:v>43343</c:v>
                </c:pt>
                <c:pt idx="362">
                  <c:v>43344</c:v>
                </c:pt>
                <c:pt idx="363">
                  <c:v>43345</c:v>
                </c:pt>
                <c:pt idx="364">
                  <c:v>43346</c:v>
                </c:pt>
                <c:pt idx="365">
                  <c:v>43347</c:v>
                </c:pt>
                <c:pt idx="366">
                  <c:v>43348</c:v>
                </c:pt>
                <c:pt idx="367">
                  <c:v>43349</c:v>
                </c:pt>
                <c:pt idx="368">
                  <c:v>43350</c:v>
                </c:pt>
                <c:pt idx="369">
                  <c:v>43351</c:v>
                </c:pt>
                <c:pt idx="370">
                  <c:v>43352</c:v>
                </c:pt>
                <c:pt idx="371">
                  <c:v>43353</c:v>
                </c:pt>
                <c:pt idx="372">
                  <c:v>43354</c:v>
                </c:pt>
                <c:pt idx="373">
                  <c:v>43355</c:v>
                </c:pt>
                <c:pt idx="374">
                  <c:v>43356</c:v>
                </c:pt>
                <c:pt idx="375">
                  <c:v>43357</c:v>
                </c:pt>
                <c:pt idx="376">
                  <c:v>43358</c:v>
                </c:pt>
                <c:pt idx="377">
                  <c:v>43359</c:v>
                </c:pt>
                <c:pt idx="378">
                  <c:v>43360</c:v>
                </c:pt>
                <c:pt idx="379">
                  <c:v>43361</c:v>
                </c:pt>
                <c:pt idx="380">
                  <c:v>43362</c:v>
                </c:pt>
                <c:pt idx="381">
                  <c:v>43363</c:v>
                </c:pt>
                <c:pt idx="382">
                  <c:v>43364</c:v>
                </c:pt>
                <c:pt idx="383">
                  <c:v>43365</c:v>
                </c:pt>
                <c:pt idx="384">
                  <c:v>43366</c:v>
                </c:pt>
                <c:pt idx="385">
                  <c:v>43367</c:v>
                </c:pt>
                <c:pt idx="386">
                  <c:v>43368</c:v>
                </c:pt>
                <c:pt idx="387">
                  <c:v>43369</c:v>
                </c:pt>
                <c:pt idx="388">
                  <c:v>43370</c:v>
                </c:pt>
                <c:pt idx="389">
                  <c:v>43371</c:v>
                </c:pt>
                <c:pt idx="390">
                  <c:v>43372</c:v>
                </c:pt>
                <c:pt idx="391">
                  <c:v>43373</c:v>
                </c:pt>
                <c:pt idx="392">
                  <c:v>43374</c:v>
                </c:pt>
                <c:pt idx="393">
                  <c:v>43375</c:v>
                </c:pt>
                <c:pt idx="394">
                  <c:v>43376</c:v>
                </c:pt>
                <c:pt idx="395">
                  <c:v>43377</c:v>
                </c:pt>
                <c:pt idx="396">
                  <c:v>43378</c:v>
                </c:pt>
                <c:pt idx="397">
                  <c:v>43379</c:v>
                </c:pt>
                <c:pt idx="398">
                  <c:v>43380</c:v>
                </c:pt>
                <c:pt idx="399">
                  <c:v>43381</c:v>
                </c:pt>
                <c:pt idx="400">
                  <c:v>43382</c:v>
                </c:pt>
                <c:pt idx="401">
                  <c:v>43383</c:v>
                </c:pt>
                <c:pt idx="402">
                  <c:v>43384</c:v>
                </c:pt>
                <c:pt idx="403">
                  <c:v>43385</c:v>
                </c:pt>
                <c:pt idx="404">
                  <c:v>43386</c:v>
                </c:pt>
                <c:pt idx="405">
                  <c:v>43387</c:v>
                </c:pt>
                <c:pt idx="406">
                  <c:v>43388</c:v>
                </c:pt>
                <c:pt idx="407">
                  <c:v>43389</c:v>
                </c:pt>
                <c:pt idx="408">
                  <c:v>43390</c:v>
                </c:pt>
                <c:pt idx="409">
                  <c:v>43391</c:v>
                </c:pt>
                <c:pt idx="410">
                  <c:v>43392</c:v>
                </c:pt>
                <c:pt idx="411">
                  <c:v>43393</c:v>
                </c:pt>
                <c:pt idx="412">
                  <c:v>43394</c:v>
                </c:pt>
                <c:pt idx="413">
                  <c:v>43395</c:v>
                </c:pt>
                <c:pt idx="414">
                  <c:v>43396</c:v>
                </c:pt>
                <c:pt idx="415">
                  <c:v>43397</c:v>
                </c:pt>
                <c:pt idx="416">
                  <c:v>43398</c:v>
                </c:pt>
                <c:pt idx="417">
                  <c:v>43399</c:v>
                </c:pt>
                <c:pt idx="418">
                  <c:v>43400</c:v>
                </c:pt>
                <c:pt idx="419">
                  <c:v>43401</c:v>
                </c:pt>
                <c:pt idx="420">
                  <c:v>43402</c:v>
                </c:pt>
                <c:pt idx="421">
                  <c:v>43403</c:v>
                </c:pt>
                <c:pt idx="422">
                  <c:v>43404</c:v>
                </c:pt>
                <c:pt idx="423">
                  <c:v>43405</c:v>
                </c:pt>
                <c:pt idx="424">
                  <c:v>43406</c:v>
                </c:pt>
                <c:pt idx="425">
                  <c:v>43407</c:v>
                </c:pt>
                <c:pt idx="426">
                  <c:v>43408</c:v>
                </c:pt>
                <c:pt idx="427">
                  <c:v>43409</c:v>
                </c:pt>
                <c:pt idx="428">
                  <c:v>43410</c:v>
                </c:pt>
                <c:pt idx="429">
                  <c:v>43411</c:v>
                </c:pt>
                <c:pt idx="430">
                  <c:v>43412</c:v>
                </c:pt>
                <c:pt idx="431">
                  <c:v>43413</c:v>
                </c:pt>
                <c:pt idx="432">
                  <c:v>43414</c:v>
                </c:pt>
                <c:pt idx="433">
                  <c:v>43415</c:v>
                </c:pt>
                <c:pt idx="434">
                  <c:v>43416</c:v>
                </c:pt>
                <c:pt idx="435">
                  <c:v>43417</c:v>
                </c:pt>
                <c:pt idx="436">
                  <c:v>43418</c:v>
                </c:pt>
                <c:pt idx="437">
                  <c:v>43419</c:v>
                </c:pt>
                <c:pt idx="438">
                  <c:v>43420</c:v>
                </c:pt>
                <c:pt idx="439">
                  <c:v>43421</c:v>
                </c:pt>
                <c:pt idx="440">
                  <c:v>43422</c:v>
                </c:pt>
                <c:pt idx="441">
                  <c:v>43423</c:v>
                </c:pt>
                <c:pt idx="442">
                  <c:v>43424</c:v>
                </c:pt>
                <c:pt idx="443">
                  <c:v>43425</c:v>
                </c:pt>
                <c:pt idx="444">
                  <c:v>43426</c:v>
                </c:pt>
                <c:pt idx="445">
                  <c:v>43427</c:v>
                </c:pt>
                <c:pt idx="446">
                  <c:v>43428</c:v>
                </c:pt>
                <c:pt idx="447">
                  <c:v>43429</c:v>
                </c:pt>
                <c:pt idx="448">
                  <c:v>43430</c:v>
                </c:pt>
                <c:pt idx="449">
                  <c:v>43431</c:v>
                </c:pt>
                <c:pt idx="450">
                  <c:v>43432</c:v>
                </c:pt>
                <c:pt idx="451">
                  <c:v>43433</c:v>
                </c:pt>
                <c:pt idx="452">
                  <c:v>43434</c:v>
                </c:pt>
                <c:pt idx="453">
                  <c:v>43435</c:v>
                </c:pt>
                <c:pt idx="454">
                  <c:v>43436</c:v>
                </c:pt>
                <c:pt idx="455">
                  <c:v>43437</c:v>
                </c:pt>
                <c:pt idx="456">
                  <c:v>43438</c:v>
                </c:pt>
                <c:pt idx="457">
                  <c:v>43439</c:v>
                </c:pt>
                <c:pt idx="458">
                  <c:v>43440</c:v>
                </c:pt>
                <c:pt idx="459">
                  <c:v>43441</c:v>
                </c:pt>
                <c:pt idx="460">
                  <c:v>43442</c:v>
                </c:pt>
                <c:pt idx="461">
                  <c:v>43443</c:v>
                </c:pt>
                <c:pt idx="462">
                  <c:v>43444</c:v>
                </c:pt>
                <c:pt idx="463">
                  <c:v>43445</c:v>
                </c:pt>
                <c:pt idx="464">
                  <c:v>43446</c:v>
                </c:pt>
                <c:pt idx="465">
                  <c:v>43447</c:v>
                </c:pt>
                <c:pt idx="466">
                  <c:v>43448</c:v>
                </c:pt>
                <c:pt idx="467">
                  <c:v>43449</c:v>
                </c:pt>
                <c:pt idx="468">
                  <c:v>43450</c:v>
                </c:pt>
                <c:pt idx="469">
                  <c:v>43451</c:v>
                </c:pt>
                <c:pt idx="470">
                  <c:v>43452</c:v>
                </c:pt>
                <c:pt idx="471">
                  <c:v>43453</c:v>
                </c:pt>
                <c:pt idx="472">
                  <c:v>43454</c:v>
                </c:pt>
                <c:pt idx="473">
                  <c:v>43455</c:v>
                </c:pt>
                <c:pt idx="474">
                  <c:v>43456</c:v>
                </c:pt>
                <c:pt idx="475">
                  <c:v>43457</c:v>
                </c:pt>
                <c:pt idx="476">
                  <c:v>43458</c:v>
                </c:pt>
                <c:pt idx="477">
                  <c:v>43459</c:v>
                </c:pt>
                <c:pt idx="478">
                  <c:v>43460</c:v>
                </c:pt>
                <c:pt idx="479">
                  <c:v>43461</c:v>
                </c:pt>
                <c:pt idx="480">
                  <c:v>43462</c:v>
                </c:pt>
                <c:pt idx="481">
                  <c:v>43463</c:v>
                </c:pt>
                <c:pt idx="482">
                  <c:v>43464</c:v>
                </c:pt>
                <c:pt idx="483">
                  <c:v>43465</c:v>
                </c:pt>
                <c:pt idx="484">
                  <c:v>43466</c:v>
                </c:pt>
                <c:pt idx="485">
                  <c:v>43467</c:v>
                </c:pt>
                <c:pt idx="486">
                  <c:v>43468</c:v>
                </c:pt>
                <c:pt idx="487">
                  <c:v>43469</c:v>
                </c:pt>
                <c:pt idx="488">
                  <c:v>43470</c:v>
                </c:pt>
                <c:pt idx="489">
                  <c:v>43471</c:v>
                </c:pt>
                <c:pt idx="490">
                  <c:v>43472</c:v>
                </c:pt>
                <c:pt idx="491">
                  <c:v>43473</c:v>
                </c:pt>
                <c:pt idx="492">
                  <c:v>43474</c:v>
                </c:pt>
                <c:pt idx="493">
                  <c:v>43475</c:v>
                </c:pt>
                <c:pt idx="494">
                  <c:v>43476</c:v>
                </c:pt>
                <c:pt idx="495">
                  <c:v>43477</c:v>
                </c:pt>
                <c:pt idx="496">
                  <c:v>43478</c:v>
                </c:pt>
                <c:pt idx="497">
                  <c:v>43479</c:v>
                </c:pt>
                <c:pt idx="498">
                  <c:v>43480</c:v>
                </c:pt>
                <c:pt idx="499">
                  <c:v>43481</c:v>
                </c:pt>
                <c:pt idx="500">
                  <c:v>43482</c:v>
                </c:pt>
                <c:pt idx="501">
                  <c:v>43483</c:v>
                </c:pt>
                <c:pt idx="502">
                  <c:v>43484</c:v>
                </c:pt>
                <c:pt idx="503">
                  <c:v>43485</c:v>
                </c:pt>
                <c:pt idx="504">
                  <c:v>43486</c:v>
                </c:pt>
                <c:pt idx="505">
                  <c:v>43487</c:v>
                </c:pt>
                <c:pt idx="506">
                  <c:v>43488</c:v>
                </c:pt>
                <c:pt idx="507">
                  <c:v>43489</c:v>
                </c:pt>
                <c:pt idx="508">
                  <c:v>43490</c:v>
                </c:pt>
                <c:pt idx="509">
                  <c:v>43491</c:v>
                </c:pt>
                <c:pt idx="510">
                  <c:v>43492</c:v>
                </c:pt>
                <c:pt idx="511">
                  <c:v>43493</c:v>
                </c:pt>
                <c:pt idx="512">
                  <c:v>43494</c:v>
                </c:pt>
                <c:pt idx="513">
                  <c:v>43495</c:v>
                </c:pt>
                <c:pt idx="514">
                  <c:v>43496</c:v>
                </c:pt>
                <c:pt idx="515">
                  <c:v>43497</c:v>
                </c:pt>
                <c:pt idx="516">
                  <c:v>43498</c:v>
                </c:pt>
                <c:pt idx="517">
                  <c:v>43499</c:v>
                </c:pt>
                <c:pt idx="518">
                  <c:v>43500</c:v>
                </c:pt>
                <c:pt idx="519">
                  <c:v>43501</c:v>
                </c:pt>
                <c:pt idx="520">
                  <c:v>43502</c:v>
                </c:pt>
                <c:pt idx="521">
                  <c:v>43503</c:v>
                </c:pt>
                <c:pt idx="522">
                  <c:v>43504</c:v>
                </c:pt>
                <c:pt idx="523">
                  <c:v>43505</c:v>
                </c:pt>
                <c:pt idx="524">
                  <c:v>43506</c:v>
                </c:pt>
                <c:pt idx="525">
                  <c:v>43507</c:v>
                </c:pt>
                <c:pt idx="526">
                  <c:v>43508</c:v>
                </c:pt>
                <c:pt idx="527">
                  <c:v>43509</c:v>
                </c:pt>
                <c:pt idx="528">
                  <c:v>43510</c:v>
                </c:pt>
                <c:pt idx="529">
                  <c:v>43511</c:v>
                </c:pt>
                <c:pt idx="530">
                  <c:v>43512</c:v>
                </c:pt>
                <c:pt idx="531">
                  <c:v>43513</c:v>
                </c:pt>
                <c:pt idx="532">
                  <c:v>43514</c:v>
                </c:pt>
                <c:pt idx="533">
                  <c:v>43515</c:v>
                </c:pt>
                <c:pt idx="534">
                  <c:v>43516</c:v>
                </c:pt>
                <c:pt idx="535">
                  <c:v>43517</c:v>
                </c:pt>
                <c:pt idx="536">
                  <c:v>43518</c:v>
                </c:pt>
                <c:pt idx="537">
                  <c:v>43519</c:v>
                </c:pt>
                <c:pt idx="538">
                  <c:v>43520</c:v>
                </c:pt>
                <c:pt idx="539">
                  <c:v>43521</c:v>
                </c:pt>
                <c:pt idx="540">
                  <c:v>43522</c:v>
                </c:pt>
                <c:pt idx="541">
                  <c:v>43523</c:v>
                </c:pt>
                <c:pt idx="542">
                  <c:v>43524</c:v>
                </c:pt>
                <c:pt idx="543">
                  <c:v>43525</c:v>
                </c:pt>
                <c:pt idx="544">
                  <c:v>43526</c:v>
                </c:pt>
                <c:pt idx="545">
                  <c:v>43527</c:v>
                </c:pt>
                <c:pt idx="546">
                  <c:v>43528</c:v>
                </c:pt>
                <c:pt idx="547">
                  <c:v>43529</c:v>
                </c:pt>
                <c:pt idx="548">
                  <c:v>43530</c:v>
                </c:pt>
                <c:pt idx="549">
                  <c:v>43531</c:v>
                </c:pt>
                <c:pt idx="550">
                  <c:v>43532</c:v>
                </c:pt>
                <c:pt idx="551">
                  <c:v>43533</c:v>
                </c:pt>
                <c:pt idx="552">
                  <c:v>43534</c:v>
                </c:pt>
                <c:pt idx="553">
                  <c:v>43535</c:v>
                </c:pt>
                <c:pt idx="554">
                  <c:v>43536</c:v>
                </c:pt>
                <c:pt idx="555">
                  <c:v>43537</c:v>
                </c:pt>
                <c:pt idx="556">
                  <c:v>43538</c:v>
                </c:pt>
                <c:pt idx="557">
                  <c:v>43539</c:v>
                </c:pt>
                <c:pt idx="558">
                  <c:v>43540</c:v>
                </c:pt>
                <c:pt idx="559">
                  <c:v>43541</c:v>
                </c:pt>
                <c:pt idx="560">
                  <c:v>43542</c:v>
                </c:pt>
                <c:pt idx="561">
                  <c:v>43543</c:v>
                </c:pt>
                <c:pt idx="562">
                  <c:v>43544</c:v>
                </c:pt>
                <c:pt idx="563">
                  <c:v>43545</c:v>
                </c:pt>
                <c:pt idx="564">
                  <c:v>43546</c:v>
                </c:pt>
                <c:pt idx="565">
                  <c:v>43547</c:v>
                </c:pt>
                <c:pt idx="566">
                  <c:v>43548</c:v>
                </c:pt>
                <c:pt idx="567">
                  <c:v>43549</c:v>
                </c:pt>
                <c:pt idx="568">
                  <c:v>43550</c:v>
                </c:pt>
                <c:pt idx="569">
                  <c:v>43551</c:v>
                </c:pt>
                <c:pt idx="570">
                  <c:v>43552</c:v>
                </c:pt>
                <c:pt idx="571">
                  <c:v>43553</c:v>
                </c:pt>
                <c:pt idx="572">
                  <c:v>43554</c:v>
                </c:pt>
                <c:pt idx="573">
                  <c:v>43555</c:v>
                </c:pt>
                <c:pt idx="574">
                  <c:v>43556</c:v>
                </c:pt>
                <c:pt idx="575">
                  <c:v>43557</c:v>
                </c:pt>
                <c:pt idx="576">
                  <c:v>43558</c:v>
                </c:pt>
                <c:pt idx="577">
                  <c:v>43559</c:v>
                </c:pt>
                <c:pt idx="578">
                  <c:v>43560</c:v>
                </c:pt>
                <c:pt idx="579">
                  <c:v>43561</c:v>
                </c:pt>
                <c:pt idx="580">
                  <c:v>43562</c:v>
                </c:pt>
                <c:pt idx="581">
                  <c:v>43563</c:v>
                </c:pt>
                <c:pt idx="582">
                  <c:v>43564</c:v>
                </c:pt>
                <c:pt idx="583">
                  <c:v>43565</c:v>
                </c:pt>
                <c:pt idx="584">
                  <c:v>43566</c:v>
                </c:pt>
                <c:pt idx="585">
                  <c:v>43567</c:v>
                </c:pt>
                <c:pt idx="586">
                  <c:v>43568</c:v>
                </c:pt>
                <c:pt idx="587">
                  <c:v>43569</c:v>
                </c:pt>
                <c:pt idx="588">
                  <c:v>43570</c:v>
                </c:pt>
                <c:pt idx="589">
                  <c:v>43571</c:v>
                </c:pt>
                <c:pt idx="590">
                  <c:v>43572</c:v>
                </c:pt>
                <c:pt idx="591">
                  <c:v>43573</c:v>
                </c:pt>
                <c:pt idx="592">
                  <c:v>43574</c:v>
                </c:pt>
                <c:pt idx="593">
                  <c:v>43575</c:v>
                </c:pt>
                <c:pt idx="594">
                  <c:v>43576</c:v>
                </c:pt>
                <c:pt idx="595">
                  <c:v>43577</c:v>
                </c:pt>
                <c:pt idx="596">
                  <c:v>43578</c:v>
                </c:pt>
                <c:pt idx="597">
                  <c:v>43579</c:v>
                </c:pt>
                <c:pt idx="598">
                  <c:v>43580</c:v>
                </c:pt>
                <c:pt idx="599">
                  <c:v>43581</c:v>
                </c:pt>
                <c:pt idx="600">
                  <c:v>43582</c:v>
                </c:pt>
                <c:pt idx="601">
                  <c:v>43583</c:v>
                </c:pt>
                <c:pt idx="602">
                  <c:v>43584</c:v>
                </c:pt>
                <c:pt idx="603">
                  <c:v>43585</c:v>
                </c:pt>
                <c:pt idx="604">
                  <c:v>43586</c:v>
                </c:pt>
                <c:pt idx="605">
                  <c:v>43587</c:v>
                </c:pt>
                <c:pt idx="606">
                  <c:v>43588</c:v>
                </c:pt>
                <c:pt idx="607">
                  <c:v>43589</c:v>
                </c:pt>
                <c:pt idx="608">
                  <c:v>43590</c:v>
                </c:pt>
                <c:pt idx="609">
                  <c:v>43591</c:v>
                </c:pt>
                <c:pt idx="610">
                  <c:v>43592</c:v>
                </c:pt>
                <c:pt idx="611">
                  <c:v>43593</c:v>
                </c:pt>
                <c:pt idx="612">
                  <c:v>43594</c:v>
                </c:pt>
                <c:pt idx="613">
                  <c:v>43595</c:v>
                </c:pt>
                <c:pt idx="614">
                  <c:v>43596</c:v>
                </c:pt>
                <c:pt idx="615">
                  <c:v>43597</c:v>
                </c:pt>
                <c:pt idx="616">
                  <c:v>43598</c:v>
                </c:pt>
                <c:pt idx="617">
                  <c:v>43599</c:v>
                </c:pt>
                <c:pt idx="618">
                  <c:v>43600</c:v>
                </c:pt>
                <c:pt idx="619">
                  <c:v>43601</c:v>
                </c:pt>
                <c:pt idx="620">
                  <c:v>43602</c:v>
                </c:pt>
                <c:pt idx="621">
                  <c:v>43603</c:v>
                </c:pt>
                <c:pt idx="622">
                  <c:v>43604</c:v>
                </c:pt>
                <c:pt idx="623">
                  <c:v>43605</c:v>
                </c:pt>
                <c:pt idx="624">
                  <c:v>43606</c:v>
                </c:pt>
                <c:pt idx="625">
                  <c:v>43607</c:v>
                </c:pt>
                <c:pt idx="626">
                  <c:v>43608</c:v>
                </c:pt>
                <c:pt idx="627">
                  <c:v>43609</c:v>
                </c:pt>
                <c:pt idx="628">
                  <c:v>43610</c:v>
                </c:pt>
                <c:pt idx="629">
                  <c:v>43611</c:v>
                </c:pt>
                <c:pt idx="630">
                  <c:v>43612</c:v>
                </c:pt>
                <c:pt idx="631">
                  <c:v>43613</c:v>
                </c:pt>
                <c:pt idx="632">
                  <c:v>43614</c:v>
                </c:pt>
                <c:pt idx="633">
                  <c:v>43615</c:v>
                </c:pt>
                <c:pt idx="634">
                  <c:v>43616</c:v>
                </c:pt>
                <c:pt idx="635">
                  <c:v>43617</c:v>
                </c:pt>
                <c:pt idx="636">
                  <c:v>43618</c:v>
                </c:pt>
                <c:pt idx="637">
                  <c:v>43619</c:v>
                </c:pt>
                <c:pt idx="638">
                  <c:v>43620</c:v>
                </c:pt>
                <c:pt idx="639">
                  <c:v>43621</c:v>
                </c:pt>
                <c:pt idx="640">
                  <c:v>43622</c:v>
                </c:pt>
                <c:pt idx="641">
                  <c:v>43623</c:v>
                </c:pt>
                <c:pt idx="642">
                  <c:v>43624</c:v>
                </c:pt>
                <c:pt idx="643">
                  <c:v>43625</c:v>
                </c:pt>
                <c:pt idx="644">
                  <c:v>43626</c:v>
                </c:pt>
                <c:pt idx="645">
                  <c:v>43627</c:v>
                </c:pt>
                <c:pt idx="646">
                  <c:v>43628</c:v>
                </c:pt>
                <c:pt idx="647">
                  <c:v>43629</c:v>
                </c:pt>
                <c:pt idx="648">
                  <c:v>43630</c:v>
                </c:pt>
                <c:pt idx="649">
                  <c:v>43631</c:v>
                </c:pt>
                <c:pt idx="650">
                  <c:v>43632</c:v>
                </c:pt>
                <c:pt idx="651">
                  <c:v>43633</c:v>
                </c:pt>
                <c:pt idx="652">
                  <c:v>43634</c:v>
                </c:pt>
                <c:pt idx="653">
                  <c:v>43635</c:v>
                </c:pt>
                <c:pt idx="654">
                  <c:v>43636</c:v>
                </c:pt>
                <c:pt idx="655">
                  <c:v>43637</c:v>
                </c:pt>
                <c:pt idx="656">
                  <c:v>43638</c:v>
                </c:pt>
                <c:pt idx="657">
                  <c:v>43639</c:v>
                </c:pt>
                <c:pt idx="658">
                  <c:v>43640</c:v>
                </c:pt>
                <c:pt idx="659">
                  <c:v>43641</c:v>
                </c:pt>
                <c:pt idx="660">
                  <c:v>43642</c:v>
                </c:pt>
                <c:pt idx="661">
                  <c:v>43643</c:v>
                </c:pt>
                <c:pt idx="662">
                  <c:v>43644</c:v>
                </c:pt>
                <c:pt idx="663">
                  <c:v>43645</c:v>
                </c:pt>
                <c:pt idx="664">
                  <c:v>43646</c:v>
                </c:pt>
                <c:pt idx="665">
                  <c:v>43647</c:v>
                </c:pt>
                <c:pt idx="666">
                  <c:v>43648</c:v>
                </c:pt>
                <c:pt idx="667">
                  <c:v>43649</c:v>
                </c:pt>
                <c:pt idx="668">
                  <c:v>43650</c:v>
                </c:pt>
                <c:pt idx="669">
                  <c:v>43651</c:v>
                </c:pt>
                <c:pt idx="670">
                  <c:v>43652</c:v>
                </c:pt>
                <c:pt idx="671">
                  <c:v>43653</c:v>
                </c:pt>
                <c:pt idx="672">
                  <c:v>43654</c:v>
                </c:pt>
                <c:pt idx="673">
                  <c:v>43655</c:v>
                </c:pt>
                <c:pt idx="674">
                  <c:v>43656</c:v>
                </c:pt>
                <c:pt idx="675">
                  <c:v>43657</c:v>
                </c:pt>
                <c:pt idx="676">
                  <c:v>43658</c:v>
                </c:pt>
                <c:pt idx="677">
                  <c:v>43659</c:v>
                </c:pt>
                <c:pt idx="678">
                  <c:v>43660</c:v>
                </c:pt>
                <c:pt idx="679">
                  <c:v>43661</c:v>
                </c:pt>
                <c:pt idx="680">
                  <c:v>43662</c:v>
                </c:pt>
                <c:pt idx="681">
                  <c:v>43663</c:v>
                </c:pt>
                <c:pt idx="682">
                  <c:v>43664</c:v>
                </c:pt>
                <c:pt idx="683">
                  <c:v>43665</c:v>
                </c:pt>
                <c:pt idx="684">
                  <c:v>43666</c:v>
                </c:pt>
                <c:pt idx="685">
                  <c:v>43667</c:v>
                </c:pt>
                <c:pt idx="686">
                  <c:v>43668</c:v>
                </c:pt>
                <c:pt idx="687">
                  <c:v>43669</c:v>
                </c:pt>
                <c:pt idx="688">
                  <c:v>43670</c:v>
                </c:pt>
                <c:pt idx="689">
                  <c:v>43671</c:v>
                </c:pt>
                <c:pt idx="690">
                  <c:v>43672</c:v>
                </c:pt>
                <c:pt idx="691">
                  <c:v>43673</c:v>
                </c:pt>
                <c:pt idx="692">
                  <c:v>43674</c:v>
                </c:pt>
                <c:pt idx="693">
                  <c:v>43675</c:v>
                </c:pt>
                <c:pt idx="694">
                  <c:v>43676</c:v>
                </c:pt>
                <c:pt idx="695">
                  <c:v>43677</c:v>
                </c:pt>
                <c:pt idx="696">
                  <c:v>43678</c:v>
                </c:pt>
                <c:pt idx="697">
                  <c:v>43679</c:v>
                </c:pt>
                <c:pt idx="698">
                  <c:v>43680</c:v>
                </c:pt>
                <c:pt idx="699">
                  <c:v>43681</c:v>
                </c:pt>
                <c:pt idx="700">
                  <c:v>43682</c:v>
                </c:pt>
                <c:pt idx="701">
                  <c:v>43683</c:v>
                </c:pt>
                <c:pt idx="702">
                  <c:v>43684</c:v>
                </c:pt>
                <c:pt idx="703">
                  <c:v>43685</c:v>
                </c:pt>
                <c:pt idx="704">
                  <c:v>43686</c:v>
                </c:pt>
                <c:pt idx="705">
                  <c:v>43687</c:v>
                </c:pt>
                <c:pt idx="706">
                  <c:v>43688</c:v>
                </c:pt>
                <c:pt idx="707">
                  <c:v>43689</c:v>
                </c:pt>
                <c:pt idx="708">
                  <c:v>43690</c:v>
                </c:pt>
                <c:pt idx="709">
                  <c:v>43691</c:v>
                </c:pt>
                <c:pt idx="710">
                  <c:v>43692</c:v>
                </c:pt>
                <c:pt idx="711">
                  <c:v>43693</c:v>
                </c:pt>
                <c:pt idx="712">
                  <c:v>43694</c:v>
                </c:pt>
                <c:pt idx="713">
                  <c:v>43695</c:v>
                </c:pt>
                <c:pt idx="714">
                  <c:v>43696</c:v>
                </c:pt>
                <c:pt idx="715">
                  <c:v>43697</c:v>
                </c:pt>
                <c:pt idx="716">
                  <c:v>43698</c:v>
                </c:pt>
                <c:pt idx="717">
                  <c:v>43699</c:v>
                </c:pt>
                <c:pt idx="718">
                  <c:v>43700</c:v>
                </c:pt>
                <c:pt idx="719">
                  <c:v>43701</c:v>
                </c:pt>
                <c:pt idx="720">
                  <c:v>43702</c:v>
                </c:pt>
                <c:pt idx="721">
                  <c:v>43703</c:v>
                </c:pt>
                <c:pt idx="722">
                  <c:v>43704</c:v>
                </c:pt>
                <c:pt idx="723">
                  <c:v>43705</c:v>
                </c:pt>
                <c:pt idx="724">
                  <c:v>43706</c:v>
                </c:pt>
                <c:pt idx="725">
                  <c:v>43707</c:v>
                </c:pt>
                <c:pt idx="726">
                  <c:v>43708</c:v>
                </c:pt>
                <c:pt idx="727">
                  <c:v>43709</c:v>
                </c:pt>
                <c:pt idx="728">
                  <c:v>43710</c:v>
                </c:pt>
                <c:pt idx="729">
                  <c:v>43711</c:v>
                </c:pt>
                <c:pt idx="730">
                  <c:v>43712</c:v>
                </c:pt>
                <c:pt idx="731">
                  <c:v>43713</c:v>
                </c:pt>
                <c:pt idx="732">
                  <c:v>43714</c:v>
                </c:pt>
                <c:pt idx="733">
                  <c:v>43715</c:v>
                </c:pt>
                <c:pt idx="734">
                  <c:v>43716</c:v>
                </c:pt>
                <c:pt idx="735">
                  <c:v>43717</c:v>
                </c:pt>
                <c:pt idx="736">
                  <c:v>43718</c:v>
                </c:pt>
                <c:pt idx="737">
                  <c:v>43719</c:v>
                </c:pt>
                <c:pt idx="738">
                  <c:v>43720</c:v>
                </c:pt>
                <c:pt idx="739">
                  <c:v>43721</c:v>
                </c:pt>
                <c:pt idx="740">
                  <c:v>43722</c:v>
                </c:pt>
                <c:pt idx="741">
                  <c:v>43723</c:v>
                </c:pt>
                <c:pt idx="742">
                  <c:v>43724</c:v>
                </c:pt>
                <c:pt idx="743">
                  <c:v>43725</c:v>
                </c:pt>
                <c:pt idx="744">
                  <c:v>43726</c:v>
                </c:pt>
                <c:pt idx="745">
                  <c:v>43727</c:v>
                </c:pt>
                <c:pt idx="746">
                  <c:v>43728</c:v>
                </c:pt>
                <c:pt idx="747">
                  <c:v>43729</c:v>
                </c:pt>
                <c:pt idx="748">
                  <c:v>43730</c:v>
                </c:pt>
                <c:pt idx="749">
                  <c:v>43731</c:v>
                </c:pt>
                <c:pt idx="750">
                  <c:v>43732</c:v>
                </c:pt>
                <c:pt idx="751">
                  <c:v>43733</c:v>
                </c:pt>
                <c:pt idx="752">
                  <c:v>43734</c:v>
                </c:pt>
                <c:pt idx="753">
                  <c:v>43735</c:v>
                </c:pt>
                <c:pt idx="754">
                  <c:v>43736</c:v>
                </c:pt>
                <c:pt idx="755">
                  <c:v>43737</c:v>
                </c:pt>
                <c:pt idx="756">
                  <c:v>43738</c:v>
                </c:pt>
                <c:pt idx="757">
                  <c:v>43739</c:v>
                </c:pt>
                <c:pt idx="758">
                  <c:v>43740</c:v>
                </c:pt>
                <c:pt idx="759">
                  <c:v>43741</c:v>
                </c:pt>
                <c:pt idx="760">
                  <c:v>43742</c:v>
                </c:pt>
                <c:pt idx="761">
                  <c:v>43743</c:v>
                </c:pt>
                <c:pt idx="762">
                  <c:v>43744</c:v>
                </c:pt>
                <c:pt idx="763">
                  <c:v>43745</c:v>
                </c:pt>
                <c:pt idx="764">
                  <c:v>43746</c:v>
                </c:pt>
                <c:pt idx="765">
                  <c:v>43747</c:v>
                </c:pt>
                <c:pt idx="766">
                  <c:v>43748</c:v>
                </c:pt>
                <c:pt idx="767">
                  <c:v>43749</c:v>
                </c:pt>
                <c:pt idx="768">
                  <c:v>43750</c:v>
                </c:pt>
                <c:pt idx="769">
                  <c:v>43751</c:v>
                </c:pt>
                <c:pt idx="770">
                  <c:v>43752</c:v>
                </c:pt>
                <c:pt idx="771">
                  <c:v>43753</c:v>
                </c:pt>
                <c:pt idx="772">
                  <c:v>43754</c:v>
                </c:pt>
                <c:pt idx="773">
                  <c:v>43755</c:v>
                </c:pt>
                <c:pt idx="774">
                  <c:v>43756</c:v>
                </c:pt>
                <c:pt idx="775">
                  <c:v>43757</c:v>
                </c:pt>
                <c:pt idx="776">
                  <c:v>43758</c:v>
                </c:pt>
                <c:pt idx="777">
                  <c:v>43759</c:v>
                </c:pt>
                <c:pt idx="778">
                  <c:v>43760</c:v>
                </c:pt>
                <c:pt idx="779">
                  <c:v>43761</c:v>
                </c:pt>
                <c:pt idx="780">
                  <c:v>43762</c:v>
                </c:pt>
                <c:pt idx="781">
                  <c:v>43763</c:v>
                </c:pt>
                <c:pt idx="782">
                  <c:v>43764</c:v>
                </c:pt>
                <c:pt idx="783">
                  <c:v>43765</c:v>
                </c:pt>
                <c:pt idx="784">
                  <c:v>43766</c:v>
                </c:pt>
                <c:pt idx="785">
                  <c:v>43767</c:v>
                </c:pt>
                <c:pt idx="786">
                  <c:v>43768</c:v>
                </c:pt>
                <c:pt idx="787">
                  <c:v>43769</c:v>
                </c:pt>
                <c:pt idx="788">
                  <c:v>43770</c:v>
                </c:pt>
                <c:pt idx="789">
                  <c:v>43771</c:v>
                </c:pt>
                <c:pt idx="790">
                  <c:v>43772</c:v>
                </c:pt>
                <c:pt idx="791">
                  <c:v>43773</c:v>
                </c:pt>
                <c:pt idx="792">
                  <c:v>43774</c:v>
                </c:pt>
                <c:pt idx="793">
                  <c:v>43775</c:v>
                </c:pt>
                <c:pt idx="794">
                  <c:v>43776</c:v>
                </c:pt>
                <c:pt idx="795">
                  <c:v>43777</c:v>
                </c:pt>
                <c:pt idx="796">
                  <c:v>43778</c:v>
                </c:pt>
                <c:pt idx="797">
                  <c:v>43779</c:v>
                </c:pt>
                <c:pt idx="798">
                  <c:v>43780</c:v>
                </c:pt>
                <c:pt idx="799">
                  <c:v>43781</c:v>
                </c:pt>
                <c:pt idx="800">
                  <c:v>43782</c:v>
                </c:pt>
                <c:pt idx="801">
                  <c:v>43783</c:v>
                </c:pt>
                <c:pt idx="802">
                  <c:v>43784</c:v>
                </c:pt>
                <c:pt idx="803">
                  <c:v>43785</c:v>
                </c:pt>
                <c:pt idx="804">
                  <c:v>43786</c:v>
                </c:pt>
                <c:pt idx="805">
                  <c:v>43787</c:v>
                </c:pt>
                <c:pt idx="806">
                  <c:v>43788</c:v>
                </c:pt>
                <c:pt idx="807">
                  <c:v>43789</c:v>
                </c:pt>
                <c:pt idx="808">
                  <c:v>43790</c:v>
                </c:pt>
                <c:pt idx="809">
                  <c:v>43791</c:v>
                </c:pt>
                <c:pt idx="810">
                  <c:v>43792</c:v>
                </c:pt>
                <c:pt idx="811">
                  <c:v>43793</c:v>
                </c:pt>
                <c:pt idx="812">
                  <c:v>43794</c:v>
                </c:pt>
                <c:pt idx="813">
                  <c:v>43795</c:v>
                </c:pt>
                <c:pt idx="814">
                  <c:v>43796</c:v>
                </c:pt>
                <c:pt idx="815">
                  <c:v>43797</c:v>
                </c:pt>
                <c:pt idx="816">
                  <c:v>43798</c:v>
                </c:pt>
                <c:pt idx="817">
                  <c:v>43799</c:v>
                </c:pt>
                <c:pt idx="818">
                  <c:v>43800</c:v>
                </c:pt>
                <c:pt idx="819">
                  <c:v>43801</c:v>
                </c:pt>
                <c:pt idx="820">
                  <c:v>43802</c:v>
                </c:pt>
                <c:pt idx="821">
                  <c:v>43803</c:v>
                </c:pt>
                <c:pt idx="822">
                  <c:v>43804</c:v>
                </c:pt>
                <c:pt idx="823">
                  <c:v>43805</c:v>
                </c:pt>
                <c:pt idx="824">
                  <c:v>43806</c:v>
                </c:pt>
                <c:pt idx="825">
                  <c:v>43807</c:v>
                </c:pt>
                <c:pt idx="826">
                  <c:v>43808</c:v>
                </c:pt>
                <c:pt idx="827">
                  <c:v>43809</c:v>
                </c:pt>
                <c:pt idx="828">
                  <c:v>43810</c:v>
                </c:pt>
                <c:pt idx="829">
                  <c:v>43811</c:v>
                </c:pt>
                <c:pt idx="830">
                  <c:v>43812</c:v>
                </c:pt>
                <c:pt idx="831">
                  <c:v>43813</c:v>
                </c:pt>
                <c:pt idx="832">
                  <c:v>43814</c:v>
                </c:pt>
                <c:pt idx="833">
                  <c:v>43815</c:v>
                </c:pt>
                <c:pt idx="834">
                  <c:v>43816</c:v>
                </c:pt>
                <c:pt idx="835">
                  <c:v>43817</c:v>
                </c:pt>
                <c:pt idx="836">
                  <c:v>43818</c:v>
                </c:pt>
                <c:pt idx="837">
                  <c:v>43819</c:v>
                </c:pt>
                <c:pt idx="838">
                  <c:v>43820</c:v>
                </c:pt>
                <c:pt idx="839">
                  <c:v>43821</c:v>
                </c:pt>
                <c:pt idx="840">
                  <c:v>43822</c:v>
                </c:pt>
                <c:pt idx="841">
                  <c:v>43823</c:v>
                </c:pt>
                <c:pt idx="842">
                  <c:v>43824</c:v>
                </c:pt>
                <c:pt idx="843">
                  <c:v>43825</c:v>
                </c:pt>
                <c:pt idx="844">
                  <c:v>43826</c:v>
                </c:pt>
                <c:pt idx="845">
                  <c:v>43827</c:v>
                </c:pt>
                <c:pt idx="846">
                  <c:v>43828</c:v>
                </c:pt>
                <c:pt idx="847">
                  <c:v>43829</c:v>
                </c:pt>
                <c:pt idx="848">
                  <c:v>43830</c:v>
                </c:pt>
                <c:pt idx="849">
                  <c:v>43831</c:v>
                </c:pt>
                <c:pt idx="850">
                  <c:v>43832</c:v>
                </c:pt>
                <c:pt idx="851">
                  <c:v>43833</c:v>
                </c:pt>
                <c:pt idx="852">
                  <c:v>43834</c:v>
                </c:pt>
                <c:pt idx="853">
                  <c:v>43835</c:v>
                </c:pt>
                <c:pt idx="854">
                  <c:v>43836</c:v>
                </c:pt>
                <c:pt idx="855">
                  <c:v>43837</c:v>
                </c:pt>
                <c:pt idx="856">
                  <c:v>43838</c:v>
                </c:pt>
                <c:pt idx="857">
                  <c:v>43839</c:v>
                </c:pt>
                <c:pt idx="858">
                  <c:v>43840</c:v>
                </c:pt>
                <c:pt idx="859">
                  <c:v>43841</c:v>
                </c:pt>
                <c:pt idx="860">
                  <c:v>43842</c:v>
                </c:pt>
                <c:pt idx="861">
                  <c:v>43843</c:v>
                </c:pt>
                <c:pt idx="862">
                  <c:v>43844</c:v>
                </c:pt>
                <c:pt idx="863">
                  <c:v>43845</c:v>
                </c:pt>
                <c:pt idx="864">
                  <c:v>43846</c:v>
                </c:pt>
                <c:pt idx="865">
                  <c:v>43847</c:v>
                </c:pt>
                <c:pt idx="866">
                  <c:v>43848</c:v>
                </c:pt>
                <c:pt idx="867">
                  <c:v>43849</c:v>
                </c:pt>
                <c:pt idx="868">
                  <c:v>43850</c:v>
                </c:pt>
                <c:pt idx="869">
                  <c:v>43851</c:v>
                </c:pt>
                <c:pt idx="870">
                  <c:v>43852</c:v>
                </c:pt>
                <c:pt idx="871">
                  <c:v>43853</c:v>
                </c:pt>
                <c:pt idx="872">
                  <c:v>43854</c:v>
                </c:pt>
                <c:pt idx="873">
                  <c:v>43855</c:v>
                </c:pt>
                <c:pt idx="874">
                  <c:v>43856</c:v>
                </c:pt>
                <c:pt idx="875">
                  <c:v>43857</c:v>
                </c:pt>
                <c:pt idx="876">
                  <c:v>43858</c:v>
                </c:pt>
                <c:pt idx="877">
                  <c:v>43859</c:v>
                </c:pt>
                <c:pt idx="878">
                  <c:v>43860</c:v>
                </c:pt>
                <c:pt idx="879">
                  <c:v>43861</c:v>
                </c:pt>
                <c:pt idx="880">
                  <c:v>43862</c:v>
                </c:pt>
                <c:pt idx="881">
                  <c:v>43863</c:v>
                </c:pt>
                <c:pt idx="882">
                  <c:v>43864</c:v>
                </c:pt>
                <c:pt idx="883">
                  <c:v>43865</c:v>
                </c:pt>
                <c:pt idx="884">
                  <c:v>43866</c:v>
                </c:pt>
                <c:pt idx="885">
                  <c:v>43867</c:v>
                </c:pt>
                <c:pt idx="886">
                  <c:v>43868</c:v>
                </c:pt>
                <c:pt idx="887">
                  <c:v>43869</c:v>
                </c:pt>
                <c:pt idx="888">
                  <c:v>43870</c:v>
                </c:pt>
                <c:pt idx="889">
                  <c:v>43871</c:v>
                </c:pt>
                <c:pt idx="890">
                  <c:v>43872</c:v>
                </c:pt>
                <c:pt idx="891">
                  <c:v>43873</c:v>
                </c:pt>
                <c:pt idx="892">
                  <c:v>43874</c:v>
                </c:pt>
                <c:pt idx="893">
                  <c:v>43875</c:v>
                </c:pt>
                <c:pt idx="894">
                  <c:v>43876</c:v>
                </c:pt>
                <c:pt idx="895">
                  <c:v>43877</c:v>
                </c:pt>
                <c:pt idx="896">
                  <c:v>43878</c:v>
                </c:pt>
                <c:pt idx="897">
                  <c:v>43879</c:v>
                </c:pt>
                <c:pt idx="898">
                  <c:v>43880</c:v>
                </c:pt>
                <c:pt idx="899">
                  <c:v>43881</c:v>
                </c:pt>
                <c:pt idx="900">
                  <c:v>43882</c:v>
                </c:pt>
                <c:pt idx="901">
                  <c:v>43883</c:v>
                </c:pt>
                <c:pt idx="902">
                  <c:v>43884</c:v>
                </c:pt>
                <c:pt idx="903">
                  <c:v>43885</c:v>
                </c:pt>
                <c:pt idx="904">
                  <c:v>43886</c:v>
                </c:pt>
                <c:pt idx="905">
                  <c:v>43887</c:v>
                </c:pt>
                <c:pt idx="906">
                  <c:v>43888</c:v>
                </c:pt>
                <c:pt idx="907">
                  <c:v>43889</c:v>
                </c:pt>
                <c:pt idx="908">
                  <c:v>43890</c:v>
                </c:pt>
                <c:pt idx="909">
                  <c:v>43891</c:v>
                </c:pt>
                <c:pt idx="910">
                  <c:v>43892</c:v>
                </c:pt>
                <c:pt idx="911">
                  <c:v>43893</c:v>
                </c:pt>
                <c:pt idx="912">
                  <c:v>43894</c:v>
                </c:pt>
                <c:pt idx="913">
                  <c:v>43895</c:v>
                </c:pt>
                <c:pt idx="914">
                  <c:v>43896</c:v>
                </c:pt>
                <c:pt idx="915">
                  <c:v>43897</c:v>
                </c:pt>
                <c:pt idx="916">
                  <c:v>43898</c:v>
                </c:pt>
                <c:pt idx="917">
                  <c:v>43899</c:v>
                </c:pt>
                <c:pt idx="918">
                  <c:v>43900</c:v>
                </c:pt>
                <c:pt idx="919">
                  <c:v>43901</c:v>
                </c:pt>
                <c:pt idx="920">
                  <c:v>43902</c:v>
                </c:pt>
                <c:pt idx="921">
                  <c:v>43903</c:v>
                </c:pt>
                <c:pt idx="922">
                  <c:v>43904</c:v>
                </c:pt>
                <c:pt idx="923">
                  <c:v>43905</c:v>
                </c:pt>
                <c:pt idx="924">
                  <c:v>43906</c:v>
                </c:pt>
                <c:pt idx="925">
                  <c:v>43907</c:v>
                </c:pt>
                <c:pt idx="926">
                  <c:v>43908</c:v>
                </c:pt>
                <c:pt idx="927">
                  <c:v>43909</c:v>
                </c:pt>
                <c:pt idx="928">
                  <c:v>43910</c:v>
                </c:pt>
                <c:pt idx="929">
                  <c:v>43911</c:v>
                </c:pt>
                <c:pt idx="930">
                  <c:v>43912</c:v>
                </c:pt>
                <c:pt idx="931">
                  <c:v>43913</c:v>
                </c:pt>
                <c:pt idx="932">
                  <c:v>43914</c:v>
                </c:pt>
                <c:pt idx="933">
                  <c:v>43915</c:v>
                </c:pt>
                <c:pt idx="934">
                  <c:v>43916</c:v>
                </c:pt>
                <c:pt idx="935">
                  <c:v>43917</c:v>
                </c:pt>
                <c:pt idx="936">
                  <c:v>43918</c:v>
                </c:pt>
                <c:pt idx="937">
                  <c:v>43919</c:v>
                </c:pt>
                <c:pt idx="938">
                  <c:v>43920</c:v>
                </c:pt>
                <c:pt idx="939">
                  <c:v>43921</c:v>
                </c:pt>
                <c:pt idx="940">
                  <c:v>43922</c:v>
                </c:pt>
                <c:pt idx="941">
                  <c:v>43923</c:v>
                </c:pt>
                <c:pt idx="942">
                  <c:v>43924</c:v>
                </c:pt>
                <c:pt idx="943">
                  <c:v>43925</c:v>
                </c:pt>
                <c:pt idx="944">
                  <c:v>43926</c:v>
                </c:pt>
                <c:pt idx="945">
                  <c:v>43927</c:v>
                </c:pt>
                <c:pt idx="946">
                  <c:v>43928</c:v>
                </c:pt>
                <c:pt idx="947">
                  <c:v>43929</c:v>
                </c:pt>
                <c:pt idx="948">
                  <c:v>43930</c:v>
                </c:pt>
                <c:pt idx="949">
                  <c:v>43931</c:v>
                </c:pt>
                <c:pt idx="950">
                  <c:v>43932</c:v>
                </c:pt>
                <c:pt idx="951">
                  <c:v>43933</c:v>
                </c:pt>
                <c:pt idx="952">
                  <c:v>43934</c:v>
                </c:pt>
                <c:pt idx="953">
                  <c:v>43935</c:v>
                </c:pt>
                <c:pt idx="954">
                  <c:v>43936</c:v>
                </c:pt>
                <c:pt idx="955">
                  <c:v>43937</c:v>
                </c:pt>
                <c:pt idx="956">
                  <c:v>43938</c:v>
                </c:pt>
                <c:pt idx="957">
                  <c:v>43939</c:v>
                </c:pt>
                <c:pt idx="958">
                  <c:v>43940</c:v>
                </c:pt>
                <c:pt idx="959">
                  <c:v>43941</c:v>
                </c:pt>
                <c:pt idx="960">
                  <c:v>43942</c:v>
                </c:pt>
                <c:pt idx="961">
                  <c:v>43943</c:v>
                </c:pt>
                <c:pt idx="962">
                  <c:v>43944</c:v>
                </c:pt>
                <c:pt idx="963">
                  <c:v>43945</c:v>
                </c:pt>
                <c:pt idx="964">
                  <c:v>43946</c:v>
                </c:pt>
                <c:pt idx="965">
                  <c:v>43947</c:v>
                </c:pt>
                <c:pt idx="966">
                  <c:v>43948</c:v>
                </c:pt>
                <c:pt idx="967">
                  <c:v>43949</c:v>
                </c:pt>
                <c:pt idx="968">
                  <c:v>43950</c:v>
                </c:pt>
                <c:pt idx="969">
                  <c:v>43951</c:v>
                </c:pt>
                <c:pt idx="970">
                  <c:v>43952</c:v>
                </c:pt>
                <c:pt idx="971">
                  <c:v>43953</c:v>
                </c:pt>
                <c:pt idx="972">
                  <c:v>43954</c:v>
                </c:pt>
                <c:pt idx="973">
                  <c:v>43955</c:v>
                </c:pt>
                <c:pt idx="974">
                  <c:v>43956</c:v>
                </c:pt>
                <c:pt idx="975">
                  <c:v>43957</c:v>
                </c:pt>
                <c:pt idx="976">
                  <c:v>43958</c:v>
                </c:pt>
                <c:pt idx="977">
                  <c:v>43959</c:v>
                </c:pt>
                <c:pt idx="978">
                  <c:v>43960</c:v>
                </c:pt>
                <c:pt idx="979">
                  <c:v>43961</c:v>
                </c:pt>
                <c:pt idx="980">
                  <c:v>43962</c:v>
                </c:pt>
                <c:pt idx="981">
                  <c:v>43963</c:v>
                </c:pt>
                <c:pt idx="982">
                  <c:v>43964</c:v>
                </c:pt>
                <c:pt idx="983">
                  <c:v>43965</c:v>
                </c:pt>
                <c:pt idx="984">
                  <c:v>43966</c:v>
                </c:pt>
                <c:pt idx="985">
                  <c:v>43967</c:v>
                </c:pt>
                <c:pt idx="986">
                  <c:v>43968</c:v>
                </c:pt>
                <c:pt idx="987">
                  <c:v>43969</c:v>
                </c:pt>
                <c:pt idx="988">
                  <c:v>43970</c:v>
                </c:pt>
                <c:pt idx="989">
                  <c:v>43971</c:v>
                </c:pt>
                <c:pt idx="990">
                  <c:v>43972</c:v>
                </c:pt>
                <c:pt idx="991">
                  <c:v>43973</c:v>
                </c:pt>
                <c:pt idx="992">
                  <c:v>43974</c:v>
                </c:pt>
                <c:pt idx="993">
                  <c:v>43975</c:v>
                </c:pt>
                <c:pt idx="994">
                  <c:v>43976</c:v>
                </c:pt>
                <c:pt idx="995">
                  <c:v>43977</c:v>
                </c:pt>
                <c:pt idx="996">
                  <c:v>43978</c:v>
                </c:pt>
                <c:pt idx="997">
                  <c:v>43979</c:v>
                </c:pt>
              </c:numCache>
            </c:numRef>
          </c:cat>
          <c:val>
            <c:numRef>
              <c:f>'Données TMIB'!$I$2:$I$1001</c:f>
              <c:numCache>
                <c:formatCode>0.000%</c:formatCode>
                <c:ptCount val="1000"/>
                <c:pt idx="0">
                  <c:v>1.2789999999999999E-2</c:v>
                </c:pt>
                <c:pt idx="1">
                  <c:v>1.2789999999999999E-2</c:v>
                </c:pt>
                <c:pt idx="2">
                  <c:v>1.2919999999999999E-2</c:v>
                </c:pt>
                <c:pt idx="3">
                  <c:v>1.3259999999999999E-2</c:v>
                </c:pt>
                <c:pt idx="4">
                  <c:v>1.325E-2</c:v>
                </c:pt>
                <c:pt idx="5">
                  <c:v>1.277E-2</c:v>
                </c:pt>
                <c:pt idx="6">
                  <c:v>1.2999999999999999E-2</c:v>
                </c:pt>
                <c:pt idx="7">
                  <c:v>1.2999999999999999E-2</c:v>
                </c:pt>
                <c:pt idx="8">
                  <c:v>1.2999999999999999E-2</c:v>
                </c:pt>
                <c:pt idx="9">
                  <c:v>1.345E-2</c:v>
                </c:pt>
                <c:pt idx="10">
                  <c:v>1.3599999999999999E-2</c:v>
                </c:pt>
                <c:pt idx="11">
                  <c:v>1.3429999999999999E-2</c:v>
                </c:pt>
                <c:pt idx="12">
                  <c:v>1.2789999999999999E-2</c:v>
                </c:pt>
                <c:pt idx="13">
                  <c:v>1.2699999999999999E-2</c:v>
                </c:pt>
                <c:pt idx="14">
                  <c:v>1.2699999999999999E-2</c:v>
                </c:pt>
                <c:pt idx="15">
                  <c:v>1.2699999999999999E-2</c:v>
                </c:pt>
                <c:pt idx="16">
                  <c:v>1.2619999999999999E-2</c:v>
                </c:pt>
                <c:pt idx="17">
                  <c:v>1.2529999999999999E-2</c:v>
                </c:pt>
                <c:pt idx="18">
                  <c:v>1.255E-2</c:v>
                </c:pt>
                <c:pt idx="19">
                  <c:v>1.286E-2</c:v>
                </c:pt>
                <c:pt idx="20">
                  <c:v>1.286E-2</c:v>
                </c:pt>
                <c:pt idx="21">
                  <c:v>1.286E-2</c:v>
                </c:pt>
                <c:pt idx="22">
                  <c:v>1.286E-2</c:v>
                </c:pt>
                <c:pt idx="23">
                  <c:v>1.277E-2</c:v>
                </c:pt>
                <c:pt idx="24">
                  <c:v>1.273E-2</c:v>
                </c:pt>
                <c:pt idx="25">
                  <c:v>1.2789999999999999E-2</c:v>
                </c:pt>
                <c:pt idx="26">
                  <c:v>1.2619999999999999E-2</c:v>
                </c:pt>
                <c:pt idx="27">
                  <c:v>1.261E-2</c:v>
                </c:pt>
                <c:pt idx="28">
                  <c:v>1.261E-2</c:v>
                </c:pt>
                <c:pt idx="29">
                  <c:v>1.261E-2</c:v>
                </c:pt>
                <c:pt idx="30">
                  <c:v>1.26E-2</c:v>
                </c:pt>
                <c:pt idx="31">
                  <c:v>1.256E-2</c:v>
                </c:pt>
                <c:pt idx="32">
                  <c:v>1.256E-2</c:v>
                </c:pt>
                <c:pt idx="33">
                  <c:v>1.2529999999999999E-2</c:v>
                </c:pt>
                <c:pt idx="34">
                  <c:v>1.273E-2</c:v>
                </c:pt>
                <c:pt idx="35">
                  <c:v>1.273E-2</c:v>
                </c:pt>
                <c:pt idx="36">
                  <c:v>1.273E-2</c:v>
                </c:pt>
                <c:pt idx="37">
                  <c:v>1.256E-2</c:v>
                </c:pt>
                <c:pt idx="38">
                  <c:v>1.2619999999999999E-2</c:v>
                </c:pt>
                <c:pt idx="39">
                  <c:v>1.2540000000000001E-2</c:v>
                </c:pt>
                <c:pt idx="40">
                  <c:v>1.256E-2</c:v>
                </c:pt>
                <c:pt idx="41">
                  <c:v>1.2630000000000001E-2</c:v>
                </c:pt>
                <c:pt idx="42">
                  <c:v>1.2630000000000001E-2</c:v>
                </c:pt>
                <c:pt idx="43">
                  <c:v>1.2630000000000001E-2</c:v>
                </c:pt>
                <c:pt idx="44">
                  <c:v>1.2579999999999999E-2</c:v>
                </c:pt>
                <c:pt idx="45">
                  <c:v>1.2500000000000001E-2</c:v>
                </c:pt>
                <c:pt idx="46">
                  <c:v>1.2500000000000001E-2</c:v>
                </c:pt>
                <c:pt idx="47">
                  <c:v>1.251E-2</c:v>
                </c:pt>
                <c:pt idx="48">
                  <c:v>1.251E-2</c:v>
                </c:pt>
                <c:pt idx="49">
                  <c:v>1.251E-2</c:v>
                </c:pt>
                <c:pt idx="50">
                  <c:v>1.251E-2</c:v>
                </c:pt>
                <c:pt idx="51">
                  <c:v>1.2749999999999999E-2</c:v>
                </c:pt>
                <c:pt idx="52">
                  <c:v>1.272E-2</c:v>
                </c:pt>
                <c:pt idx="53">
                  <c:v>1.289E-2</c:v>
                </c:pt>
                <c:pt idx="54">
                  <c:v>1.282E-2</c:v>
                </c:pt>
                <c:pt idx="55">
                  <c:v>1.2869999999999999E-2</c:v>
                </c:pt>
                <c:pt idx="56">
                  <c:v>1.2869999999999999E-2</c:v>
                </c:pt>
                <c:pt idx="57">
                  <c:v>1.2869999999999999E-2</c:v>
                </c:pt>
                <c:pt idx="58">
                  <c:v>1.2970000000000001E-2</c:v>
                </c:pt>
                <c:pt idx="59">
                  <c:v>1.282E-2</c:v>
                </c:pt>
                <c:pt idx="60">
                  <c:v>1.3050000000000001E-2</c:v>
                </c:pt>
                <c:pt idx="61">
                  <c:v>1.304E-2</c:v>
                </c:pt>
                <c:pt idx="62">
                  <c:v>1.3350000000000001E-2</c:v>
                </c:pt>
                <c:pt idx="63">
                  <c:v>1.3350000000000001E-2</c:v>
                </c:pt>
                <c:pt idx="64">
                  <c:v>1.3350000000000001E-2</c:v>
                </c:pt>
                <c:pt idx="65">
                  <c:v>1.3350000000000001E-2</c:v>
                </c:pt>
                <c:pt idx="66">
                  <c:v>1.285E-2</c:v>
                </c:pt>
                <c:pt idx="67">
                  <c:v>1.2869999999999999E-2</c:v>
                </c:pt>
                <c:pt idx="68">
                  <c:v>1.273E-2</c:v>
                </c:pt>
                <c:pt idx="69">
                  <c:v>1.2670000000000001E-2</c:v>
                </c:pt>
                <c:pt idx="70">
                  <c:v>1.2670000000000001E-2</c:v>
                </c:pt>
                <c:pt idx="71">
                  <c:v>1.2670000000000001E-2</c:v>
                </c:pt>
                <c:pt idx="72">
                  <c:v>1.2500000000000001E-2</c:v>
                </c:pt>
                <c:pt idx="73">
                  <c:v>1.2500000000000001E-2</c:v>
                </c:pt>
                <c:pt idx="74">
                  <c:v>1.2529999999999999E-2</c:v>
                </c:pt>
                <c:pt idx="75">
                  <c:v>1.251E-2</c:v>
                </c:pt>
                <c:pt idx="76">
                  <c:v>1.261E-2</c:v>
                </c:pt>
                <c:pt idx="77">
                  <c:v>1.261E-2</c:v>
                </c:pt>
                <c:pt idx="78">
                  <c:v>1.261E-2</c:v>
                </c:pt>
                <c:pt idx="79">
                  <c:v>1.2500000000000001E-2</c:v>
                </c:pt>
                <c:pt idx="80">
                  <c:v>1.2500000000000001E-2</c:v>
                </c:pt>
                <c:pt idx="81">
                  <c:v>1.2500000000000001E-2</c:v>
                </c:pt>
                <c:pt idx="82">
                  <c:v>1.256E-2</c:v>
                </c:pt>
                <c:pt idx="83">
                  <c:v>1.2630000000000001E-2</c:v>
                </c:pt>
                <c:pt idx="84">
                  <c:v>1.2630000000000001E-2</c:v>
                </c:pt>
                <c:pt idx="85">
                  <c:v>1.2630000000000001E-2</c:v>
                </c:pt>
                <c:pt idx="86">
                  <c:v>1.259E-2</c:v>
                </c:pt>
                <c:pt idx="87">
                  <c:v>1.259E-2</c:v>
                </c:pt>
                <c:pt idx="88">
                  <c:v>1.2630000000000001E-2</c:v>
                </c:pt>
                <c:pt idx="89">
                  <c:v>1.306E-2</c:v>
                </c:pt>
                <c:pt idx="90">
                  <c:v>1.306E-2</c:v>
                </c:pt>
                <c:pt idx="91">
                  <c:v>1.306E-2</c:v>
                </c:pt>
                <c:pt idx="92">
                  <c:v>1.306E-2</c:v>
                </c:pt>
                <c:pt idx="93">
                  <c:v>1.2930000000000001E-2</c:v>
                </c:pt>
                <c:pt idx="94">
                  <c:v>1.2540000000000001E-2</c:v>
                </c:pt>
                <c:pt idx="95">
                  <c:v>1.2529999999999999E-2</c:v>
                </c:pt>
                <c:pt idx="96">
                  <c:v>1.2800000000000001E-2</c:v>
                </c:pt>
                <c:pt idx="97">
                  <c:v>1.294E-2</c:v>
                </c:pt>
                <c:pt idx="98">
                  <c:v>1.294E-2</c:v>
                </c:pt>
                <c:pt idx="99">
                  <c:v>1.294E-2</c:v>
                </c:pt>
                <c:pt idx="100">
                  <c:v>1.298E-2</c:v>
                </c:pt>
                <c:pt idx="101">
                  <c:v>1.29E-2</c:v>
                </c:pt>
                <c:pt idx="102">
                  <c:v>1.3220000000000001E-2</c:v>
                </c:pt>
                <c:pt idx="103">
                  <c:v>1.3010000000000001E-2</c:v>
                </c:pt>
                <c:pt idx="104">
                  <c:v>1.2789999999999999E-2</c:v>
                </c:pt>
                <c:pt idx="105">
                  <c:v>1.2789999999999999E-2</c:v>
                </c:pt>
                <c:pt idx="106">
                  <c:v>1.2789999999999999E-2</c:v>
                </c:pt>
                <c:pt idx="107">
                  <c:v>1.26E-2</c:v>
                </c:pt>
                <c:pt idx="108">
                  <c:v>1.2500000000000001E-2</c:v>
                </c:pt>
                <c:pt idx="109">
                  <c:v>1.2500000000000001E-2</c:v>
                </c:pt>
                <c:pt idx="110">
                  <c:v>1.2500000000000001E-2</c:v>
                </c:pt>
                <c:pt idx="111">
                  <c:v>1.2659999999999999E-2</c:v>
                </c:pt>
                <c:pt idx="112">
                  <c:v>1.2659999999999999E-2</c:v>
                </c:pt>
                <c:pt idx="113">
                  <c:v>1.2659999999999999E-2</c:v>
                </c:pt>
                <c:pt idx="114">
                  <c:v>1.2500000000000001E-2</c:v>
                </c:pt>
                <c:pt idx="115">
                  <c:v>1.261E-2</c:v>
                </c:pt>
                <c:pt idx="116">
                  <c:v>1.2919999999999999E-2</c:v>
                </c:pt>
                <c:pt idx="117">
                  <c:v>1.2930000000000001E-2</c:v>
                </c:pt>
                <c:pt idx="118">
                  <c:v>1.315E-2</c:v>
                </c:pt>
                <c:pt idx="119">
                  <c:v>1.315E-2</c:v>
                </c:pt>
                <c:pt idx="120">
                  <c:v>1.315E-2</c:v>
                </c:pt>
                <c:pt idx="121">
                  <c:v>1.315E-2</c:v>
                </c:pt>
                <c:pt idx="122">
                  <c:v>1.281E-2</c:v>
                </c:pt>
                <c:pt idx="123">
                  <c:v>1.264E-2</c:v>
                </c:pt>
                <c:pt idx="124">
                  <c:v>1.272E-2</c:v>
                </c:pt>
                <c:pt idx="125">
                  <c:v>1.2749999999999999E-2</c:v>
                </c:pt>
                <c:pt idx="126">
                  <c:v>1.2749999999999999E-2</c:v>
                </c:pt>
                <c:pt idx="127">
                  <c:v>1.2749999999999999E-2</c:v>
                </c:pt>
                <c:pt idx="128">
                  <c:v>1.273E-2</c:v>
                </c:pt>
                <c:pt idx="129">
                  <c:v>1.273E-2</c:v>
                </c:pt>
                <c:pt idx="130">
                  <c:v>1.252E-2</c:v>
                </c:pt>
                <c:pt idx="131">
                  <c:v>1.252E-2</c:v>
                </c:pt>
                <c:pt idx="132">
                  <c:v>1.2529999999999999E-2</c:v>
                </c:pt>
                <c:pt idx="133">
                  <c:v>1.2529999999999999E-2</c:v>
                </c:pt>
                <c:pt idx="134">
                  <c:v>1.2529999999999999E-2</c:v>
                </c:pt>
                <c:pt idx="135">
                  <c:v>1.261E-2</c:v>
                </c:pt>
                <c:pt idx="136">
                  <c:v>1.2529999999999999E-2</c:v>
                </c:pt>
                <c:pt idx="137">
                  <c:v>1.259E-2</c:v>
                </c:pt>
                <c:pt idx="138">
                  <c:v>1.26E-2</c:v>
                </c:pt>
                <c:pt idx="139">
                  <c:v>1.255E-2</c:v>
                </c:pt>
                <c:pt idx="140">
                  <c:v>1.255E-2</c:v>
                </c:pt>
                <c:pt idx="141">
                  <c:v>1.255E-2</c:v>
                </c:pt>
                <c:pt idx="142">
                  <c:v>1.2500000000000001E-2</c:v>
                </c:pt>
                <c:pt idx="143">
                  <c:v>1.2500000000000001E-2</c:v>
                </c:pt>
                <c:pt idx="144">
                  <c:v>1.2500000000000001E-2</c:v>
                </c:pt>
                <c:pt idx="145">
                  <c:v>1.2500000000000001E-2</c:v>
                </c:pt>
                <c:pt idx="146">
                  <c:v>1.2540000000000001E-2</c:v>
                </c:pt>
                <c:pt idx="147">
                  <c:v>1.2540000000000001E-2</c:v>
                </c:pt>
                <c:pt idx="148">
                  <c:v>1.2540000000000001E-2</c:v>
                </c:pt>
                <c:pt idx="149">
                  <c:v>1.252E-2</c:v>
                </c:pt>
                <c:pt idx="150">
                  <c:v>1.2540000000000001E-2</c:v>
                </c:pt>
                <c:pt idx="151">
                  <c:v>1.2540000000000001E-2</c:v>
                </c:pt>
                <c:pt idx="152">
                  <c:v>1.2500000000000001E-2</c:v>
                </c:pt>
                <c:pt idx="153">
                  <c:v>1.2500000000000001E-2</c:v>
                </c:pt>
                <c:pt idx="154">
                  <c:v>1.2500000000000001E-2</c:v>
                </c:pt>
                <c:pt idx="155">
                  <c:v>1.2500000000000001E-2</c:v>
                </c:pt>
                <c:pt idx="156">
                  <c:v>1.2500000000000001E-2</c:v>
                </c:pt>
                <c:pt idx="157">
                  <c:v>1.2500000000000001E-2</c:v>
                </c:pt>
                <c:pt idx="158">
                  <c:v>1.2500000000000001E-2</c:v>
                </c:pt>
                <c:pt idx="159">
                  <c:v>1.2500000000000001E-2</c:v>
                </c:pt>
                <c:pt idx="160">
                  <c:v>1.2540000000000001E-2</c:v>
                </c:pt>
                <c:pt idx="161">
                  <c:v>1.2540000000000001E-2</c:v>
                </c:pt>
                <c:pt idx="162">
                  <c:v>1.2540000000000001E-2</c:v>
                </c:pt>
                <c:pt idx="163">
                  <c:v>1.259E-2</c:v>
                </c:pt>
                <c:pt idx="164">
                  <c:v>1.2500000000000001E-2</c:v>
                </c:pt>
                <c:pt idx="165">
                  <c:v>1.26E-2</c:v>
                </c:pt>
                <c:pt idx="166">
                  <c:v>1.2500000000000001E-2</c:v>
                </c:pt>
                <c:pt idx="167">
                  <c:v>1.257E-2</c:v>
                </c:pt>
                <c:pt idx="168">
                  <c:v>1.257E-2</c:v>
                </c:pt>
                <c:pt idx="169">
                  <c:v>1.257E-2</c:v>
                </c:pt>
                <c:pt idx="170">
                  <c:v>1.2540000000000001E-2</c:v>
                </c:pt>
                <c:pt idx="171">
                  <c:v>1.2500000000000001E-2</c:v>
                </c:pt>
                <c:pt idx="172">
                  <c:v>1.2500000000000001E-2</c:v>
                </c:pt>
                <c:pt idx="173">
                  <c:v>1.2500000000000001E-2</c:v>
                </c:pt>
                <c:pt idx="174">
                  <c:v>1.2500000000000001E-2</c:v>
                </c:pt>
                <c:pt idx="175">
                  <c:v>1.2500000000000001E-2</c:v>
                </c:pt>
                <c:pt idx="176">
                  <c:v>1.2500000000000001E-2</c:v>
                </c:pt>
                <c:pt idx="177">
                  <c:v>1.2500000000000001E-2</c:v>
                </c:pt>
                <c:pt idx="178">
                  <c:v>1.2500000000000001E-2</c:v>
                </c:pt>
                <c:pt idx="179">
                  <c:v>1.255E-2</c:v>
                </c:pt>
                <c:pt idx="180">
                  <c:v>1.255E-2</c:v>
                </c:pt>
                <c:pt idx="181">
                  <c:v>1.2500000000000001E-2</c:v>
                </c:pt>
                <c:pt idx="182">
                  <c:v>1.2500000000000001E-2</c:v>
                </c:pt>
                <c:pt idx="183">
                  <c:v>1.2500000000000001E-2</c:v>
                </c:pt>
                <c:pt idx="184">
                  <c:v>1.2500000000000001E-2</c:v>
                </c:pt>
                <c:pt idx="185">
                  <c:v>1.268E-2</c:v>
                </c:pt>
                <c:pt idx="186">
                  <c:v>1.2710000000000001E-2</c:v>
                </c:pt>
                <c:pt idx="187">
                  <c:v>1.274E-2</c:v>
                </c:pt>
                <c:pt idx="188">
                  <c:v>1.2749999999999999E-2</c:v>
                </c:pt>
                <c:pt idx="189">
                  <c:v>1.2749999999999999E-2</c:v>
                </c:pt>
                <c:pt idx="190">
                  <c:v>1.2749999999999999E-2</c:v>
                </c:pt>
                <c:pt idx="191">
                  <c:v>1.2699999999999999E-2</c:v>
                </c:pt>
                <c:pt idx="192">
                  <c:v>1.2710000000000001E-2</c:v>
                </c:pt>
                <c:pt idx="193">
                  <c:v>1.2710000000000001E-2</c:v>
                </c:pt>
                <c:pt idx="194">
                  <c:v>1.2789999999999999E-2</c:v>
                </c:pt>
                <c:pt idx="195">
                  <c:v>1.2710000000000001E-2</c:v>
                </c:pt>
                <c:pt idx="196">
                  <c:v>1.2710000000000001E-2</c:v>
                </c:pt>
                <c:pt idx="197">
                  <c:v>1.2710000000000001E-2</c:v>
                </c:pt>
                <c:pt idx="198">
                  <c:v>1.255E-2</c:v>
                </c:pt>
                <c:pt idx="199">
                  <c:v>1.252E-2</c:v>
                </c:pt>
                <c:pt idx="200">
                  <c:v>1.2500000000000001E-2</c:v>
                </c:pt>
                <c:pt idx="201">
                  <c:v>1.2500000000000001E-2</c:v>
                </c:pt>
                <c:pt idx="202">
                  <c:v>1.257E-2</c:v>
                </c:pt>
                <c:pt idx="203">
                  <c:v>1.257E-2</c:v>
                </c:pt>
                <c:pt idx="204">
                  <c:v>1.257E-2</c:v>
                </c:pt>
                <c:pt idx="205">
                  <c:v>1.2760000000000001E-2</c:v>
                </c:pt>
                <c:pt idx="206">
                  <c:v>1.273E-2</c:v>
                </c:pt>
                <c:pt idx="207">
                  <c:v>1.273E-2</c:v>
                </c:pt>
                <c:pt idx="208">
                  <c:v>1.2829999999999999E-2</c:v>
                </c:pt>
                <c:pt idx="209">
                  <c:v>1.323E-2</c:v>
                </c:pt>
                <c:pt idx="210">
                  <c:v>1.323E-2</c:v>
                </c:pt>
                <c:pt idx="211">
                  <c:v>1.323E-2</c:v>
                </c:pt>
                <c:pt idx="212">
                  <c:v>1.291E-2</c:v>
                </c:pt>
                <c:pt idx="213">
                  <c:v>1.299E-2</c:v>
                </c:pt>
                <c:pt idx="214">
                  <c:v>1.29E-2</c:v>
                </c:pt>
                <c:pt idx="215">
                  <c:v>1.302E-2</c:v>
                </c:pt>
                <c:pt idx="216">
                  <c:v>1.259E-2</c:v>
                </c:pt>
                <c:pt idx="217">
                  <c:v>1.259E-2</c:v>
                </c:pt>
                <c:pt idx="218">
                  <c:v>1.259E-2</c:v>
                </c:pt>
                <c:pt idx="219">
                  <c:v>1.252E-2</c:v>
                </c:pt>
                <c:pt idx="220">
                  <c:v>1.252E-2</c:v>
                </c:pt>
                <c:pt idx="221">
                  <c:v>1.251E-2</c:v>
                </c:pt>
                <c:pt idx="222">
                  <c:v>1.2500000000000001E-2</c:v>
                </c:pt>
                <c:pt idx="223">
                  <c:v>1.2500000000000001E-2</c:v>
                </c:pt>
                <c:pt idx="224">
                  <c:v>1.2500000000000001E-2</c:v>
                </c:pt>
                <c:pt idx="225">
                  <c:v>1.2500000000000001E-2</c:v>
                </c:pt>
                <c:pt idx="226">
                  <c:v>1.252E-2</c:v>
                </c:pt>
                <c:pt idx="227">
                  <c:v>1.261E-2</c:v>
                </c:pt>
                <c:pt idx="228">
                  <c:v>1.268E-2</c:v>
                </c:pt>
                <c:pt idx="229">
                  <c:v>1.274E-2</c:v>
                </c:pt>
                <c:pt idx="230">
                  <c:v>1.257E-2</c:v>
                </c:pt>
                <c:pt idx="231">
                  <c:v>1.257E-2</c:v>
                </c:pt>
                <c:pt idx="232">
                  <c:v>1.257E-2</c:v>
                </c:pt>
                <c:pt idx="233">
                  <c:v>1.252E-2</c:v>
                </c:pt>
                <c:pt idx="234">
                  <c:v>1.2529999999999999E-2</c:v>
                </c:pt>
                <c:pt idx="235">
                  <c:v>1.2529999999999999E-2</c:v>
                </c:pt>
                <c:pt idx="236">
                  <c:v>1.2659999999999999E-2</c:v>
                </c:pt>
                <c:pt idx="237">
                  <c:v>1.264E-2</c:v>
                </c:pt>
                <c:pt idx="238">
                  <c:v>1.264E-2</c:v>
                </c:pt>
                <c:pt idx="239">
                  <c:v>1.264E-2</c:v>
                </c:pt>
                <c:pt idx="240">
                  <c:v>1.2670000000000001E-2</c:v>
                </c:pt>
                <c:pt idx="241">
                  <c:v>1.2670000000000001E-2</c:v>
                </c:pt>
                <c:pt idx="242">
                  <c:v>1.256E-2</c:v>
                </c:pt>
                <c:pt idx="243">
                  <c:v>1.274E-2</c:v>
                </c:pt>
                <c:pt idx="244">
                  <c:v>1.2959999999999999E-2</c:v>
                </c:pt>
                <c:pt idx="245">
                  <c:v>1.2959999999999999E-2</c:v>
                </c:pt>
                <c:pt idx="246">
                  <c:v>1.2959999999999999E-2</c:v>
                </c:pt>
                <c:pt idx="247">
                  <c:v>1.325E-2</c:v>
                </c:pt>
                <c:pt idx="248">
                  <c:v>1.333E-2</c:v>
                </c:pt>
                <c:pt idx="249">
                  <c:v>1.34E-2</c:v>
                </c:pt>
                <c:pt idx="250">
                  <c:v>1.3129999999999999E-2</c:v>
                </c:pt>
                <c:pt idx="251">
                  <c:v>1.304E-2</c:v>
                </c:pt>
                <c:pt idx="252">
                  <c:v>1.304E-2</c:v>
                </c:pt>
                <c:pt idx="253">
                  <c:v>1.304E-2</c:v>
                </c:pt>
                <c:pt idx="254">
                  <c:v>1.29E-2</c:v>
                </c:pt>
                <c:pt idx="255">
                  <c:v>1.2880000000000001E-2</c:v>
                </c:pt>
                <c:pt idx="256">
                  <c:v>1.2789999999999999E-2</c:v>
                </c:pt>
                <c:pt idx="257">
                  <c:v>1.2800000000000001E-2</c:v>
                </c:pt>
                <c:pt idx="258">
                  <c:v>1.2699999999999999E-2</c:v>
                </c:pt>
                <c:pt idx="259">
                  <c:v>1.2699999999999999E-2</c:v>
                </c:pt>
                <c:pt idx="260">
                  <c:v>1.2699999999999999E-2</c:v>
                </c:pt>
                <c:pt idx="261">
                  <c:v>1.257E-2</c:v>
                </c:pt>
                <c:pt idx="262">
                  <c:v>1.259E-2</c:v>
                </c:pt>
                <c:pt idx="263">
                  <c:v>1.2579999999999999E-2</c:v>
                </c:pt>
                <c:pt idx="264">
                  <c:v>1.265E-2</c:v>
                </c:pt>
                <c:pt idx="265">
                  <c:v>1.2579999999999999E-2</c:v>
                </c:pt>
                <c:pt idx="266">
                  <c:v>1.2579999999999999E-2</c:v>
                </c:pt>
                <c:pt idx="267">
                  <c:v>1.2579999999999999E-2</c:v>
                </c:pt>
                <c:pt idx="268">
                  <c:v>1.265E-2</c:v>
                </c:pt>
                <c:pt idx="269">
                  <c:v>1.259E-2</c:v>
                </c:pt>
                <c:pt idx="270">
                  <c:v>1.265E-2</c:v>
                </c:pt>
                <c:pt idx="271">
                  <c:v>1.2540000000000001E-2</c:v>
                </c:pt>
                <c:pt idx="272">
                  <c:v>1.2659999999999999E-2</c:v>
                </c:pt>
                <c:pt idx="273">
                  <c:v>1.2659999999999999E-2</c:v>
                </c:pt>
                <c:pt idx="274">
                  <c:v>1.2659999999999999E-2</c:v>
                </c:pt>
                <c:pt idx="275">
                  <c:v>1.269E-2</c:v>
                </c:pt>
                <c:pt idx="276">
                  <c:v>1.278E-2</c:v>
                </c:pt>
                <c:pt idx="277">
                  <c:v>1.273E-2</c:v>
                </c:pt>
                <c:pt idx="278">
                  <c:v>1.2579999999999999E-2</c:v>
                </c:pt>
                <c:pt idx="279">
                  <c:v>1.273E-2</c:v>
                </c:pt>
                <c:pt idx="280">
                  <c:v>1.273E-2</c:v>
                </c:pt>
                <c:pt idx="281">
                  <c:v>1.273E-2</c:v>
                </c:pt>
                <c:pt idx="282">
                  <c:v>1.265E-2</c:v>
                </c:pt>
                <c:pt idx="283">
                  <c:v>1.2699999999999999E-2</c:v>
                </c:pt>
                <c:pt idx="284">
                  <c:v>1.2760000000000001E-2</c:v>
                </c:pt>
                <c:pt idx="285">
                  <c:v>1.3299999999999999E-2</c:v>
                </c:pt>
                <c:pt idx="286">
                  <c:v>1.3299999999999999E-2</c:v>
                </c:pt>
                <c:pt idx="287">
                  <c:v>1.3299999999999999E-2</c:v>
                </c:pt>
                <c:pt idx="288">
                  <c:v>1.3299999999999999E-2</c:v>
                </c:pt>
                <c:pt idx="289">
                  <c:v>1.316E-2</c:v>
                </c:pt>
                <c:pt idx="290">
                  <c:v>1.261E-2</c:v>
                </c:pt>
                <c:pt idx="291">
                  <c:v>1.255E-2</c:v>
                </c:pt>
                <c:pt idx="292">
                  <c:v>1.252E-2</c:v>
                </c:pt>
                <c:pt idx="293">
                  <c:v>1.252E-2</c:v>
                </c:pt>
                <c:pt idx="294">
                  <c:v>1.252E-2</c:v>
                </c:pt>
                <c:pt idx="295">
                  <c:v>1.252E-2</c:v>
                </c:pt>
                <c:pt idx="296">
                  <c:v>1.251E-2</c:v>
                </c:pt>
                <c:pt idx="297">
                  <c:v>1.252E-2</c:v>
                </c:pt>
                <c:pt idx="298">
                  <c:v>1.252E-2</c:v>
                </c:pt>
                <c:pt idx="299">
                  <c:v>1.285E-2</c:v>
                </c:pt>
                <c:pt idx="300">
                  <c:v>1.298E-2</c:v>
                </c:pt>
                <c:pt idx="301">
                  <c:v>1.298E-2</c:v>
                </c:pt>
                <c:pt idx="302">
                  <c:v>1.298E-2</c:v>
                </c:pt>
                <c:pt idx="303">
                  <c:v>1.3100000000000001E-2</c:v>
                </c:pt>
                <c:pt idx="304">
                  <c:v>1.295E-2</c:v>
                </c:pt>
                <c:pt idx="305">
                  <c:v>1.299E-2</c:v>
                </c:pt>
                <c:pt idx="306">
                  <c:v>1.2959999999999999E-2</c:v>
                </c:pt>
                <c:pt idx="307">
                  <c:v>1.3050000000000001E-2</c:v>
                </c:pt>
                <c:pt idx="308">
                  <c:v>1.3050000000000001E-2</c:v>
                </c:pt>
                <c:pt idx="309">
                  <c:v>1.3050000000000001E-2</c:v>
                </c:pt>
                <c:pt idx="310">
                  <c:v>1.346E-2</c:v>
                </c:pt>
                <c:pt idx="311">
                  <c:v>1.35E-2</c:v>
                </c:pt>
                <c:pt idx="312">
                  <c:v>1.357E-2</c:v>
                </c:pt>
                <c:pt idx="313">
                  <c:v>1.269E-2</c:v>
                </c:pt>
                <c:pt idx="314">
                  <c:v>1.2959999999999999E-2</c:v>
                </c:pt>
                <c:pt idx="315">
                  <c:v>1.2959999999999999E-2</c:v>
                </c:pt>
                <c:pt idx="316">
                  <c:v>1.2959999999999999E-2</c:v>
                </c:pt>
                <c:pt idx="317">
                  <c:v>1.274E-2</c:v>
                </c:pt>
                <c:pt idx="318">
                  <c:v>1.2930000000000001E-2</c:v>
                </c:pt>
                <c:pt idx="319">
                  <c:v>1.2699999999999999E-2</c:v>
                </c:pt>
                <c:pt idx="320">
                  <c:v>1.277E-2</c:v>
                </c:pt>
                <c:pt idx="321">
                  <c:v>1.298E-2</c:v>
                </c:pt>
                <c:pt idx="322">
                  <c:v>1.298E-2</c:v>
                </c:pt>
                <c:pt idx="323">
                  <c:v>1.298E-2</c:v>
                </c:pt>
                <c:pt idx="324">
                  <c:v>1.2829999999999999E-2</c:v>
                </c:pt>
                <c:pt idx="325">
                  <c:v>1.273E-2</c:v>
                </c:pt>
                <c:pt idx="326">
                  <c:v>1.2670000000000001E-2</c:v>
                </c:pt>
                <c:pt idx="327">
                  <c:v>1.2869999999999999E-2</c:v>
                </c:pt>
                <c:pt idx="328">
                  <c:v>1.3299999999999999E-2</c:v>
                </c:pt>
                <c:pt idx="329">
                  <c:v>1.3299999999999999E-2</c:v>
                </c:pt>
                <c:pt idx="330">
                  <c:v>1.3299999999999999E-2</c:v>
                </c:pt>
                <c:pt idx="331">
                  <c:v>1.3299999999999999E-2</c:v>
                </c:pt>
                <c:pt idx="332">
                  <c:v>1.323E-2</c:v>
                </c:pt>
                <c:pt idx="333">
                  <c:v>1.3089999999999999E-2</c:v>
                </c:pt>
                <c:pt idx="334">
                  <c:v>1.2760000000000001E-2</c:v>
                </c:pt>
                <c:pt idx="335">
                  <c:v>1.2749999999999999E-2</c:v>
                </c:pt>
                <c:pt idx="336">
                  <c:v>1.2749999999999999E-2</c:v>
                </c:pt>
                <c:pt idx="337">
                  <c:v>1.2749999999999999E-2</c:v>
                </c:pt>
                <c:pt idx="338">
                  <c:v>1.2659999999999999E-2</c:v>
                </c:pt>
                <c:pt idx="339">
                  <c:v>1.265E-2</c:v>
                </c:pt>
                <c:pt idx="340">
                  <c:v>1.2699999999999999E-2</c:v>
                </c:pt>
                <c:pt idx="341">
                  <c:v>1.2710000000000001E-2</c:v>
                </c:pt>
                <c:pt idx="342">
                  <c:v>1.265E-2</c:v>
                </c:pt>
                <c:pt idx="343">
                  <c:v>1.265E-2</c:v>
                </c:pt>
                <c:pt idx="344">
                  <c:v>1.265E-2</c:v>
                </c:pt>
                <c:pt idx="345">
                  <c:v>1.2789999999999999E-2</c:v>
                </c:pt>
                <c:pt idx="346">
                  <c:v>1.2789999999999999E-2</c:v>
                </c:pt>
                <c:pt idx="347">
                  <c:v>1.319E-2</c:v>
                </c:pt>
                <c:pt idx="348">
                  <c:v>1.2970000000000001E-2</c:v>
                </c:pt>
                <c:pt idx="349">
                  <c:v>1.358E-2</c:v>
                </c:pt>
                <c:pt idx="350">
                  <c:v>1.358E-2</c:v>
                </c:pt>
                <c:pt idx="351">
                  <c:v>1.358E-2</c:v>
                </c:pt>
                <c:pt idx="352">
                  <c:v>1.358E-2</c:v>
                </c:pt>
                <c:pt idx="353">
                  <c:v>1.358E-2</c:v>
                </c:pt>
                <c:pt idx="354">
                  <c:v>1.358E-2</c:v>
                </c:pt>
                <c:pt idx="355">
                  <c:v>1.358E-2</c:v>
                </c:pt>
                <c:pt idx="356">
                  <c:v>1.311E-2</c:v>
                </c:pt>
                <c:pt idx="357">
                  <c:v>1.311E-2</c:v>
                </c:pt>
                <c:pt idx="358">
                  <c:v>1.311E-2</c:v>
                </c:pt>
                <c:pt idx="359">
                  <c:v>1.316E-2</c:v>
                </c:pt>
                <c:pt idx="360">
                  <c:v>1.299E-2</c:v>
                </c:pt>
                <c:pt idx="361">
                  <c:v>1.2880000000000001E-2</c:v>
                </c:pt>
                <c:pt idx="362">
                  <c:v>1.2840000000000001E-2</c:v>
                </c:pt>
                <c:pt idx="363">
                  <c:v>1.294E-2</c:v>
                </c:pt>
                <c:pt idx="364">
                  <c:v>1.294E-2</c:v>
                </c:pt>
                <c:pt idx="365">
                  <c:v>1.294E-2</c:v>
                </c:pt>
                <c:pt idx="366">
                  <c:v>1.269E-2</c:v>
                </c:pt>
                <c:pt idx="367">
                  <c:v>1.269E-2</c:v>
                </c:pt>
                <c:pt idx="368">
                  <c:v>1.256E-2</c:v>
                </c:pt>
                <c:pt idx="369">
                  <c:v>1.2500000000000001E-2</c:v>
                </c:pt>
                <c:pt idx="370">
                  <c:v>1.256E-2</c:v>
                </c:pt>
                <c:pt idx="371">
                  <c:v>1.256E-2</c:v>
                </c:pt>
                <c:pt idx="372">
                  <c:v>1.256E-2</c:v>
                </c:pt>
                <c:pt idx="373">
                  <c:v>1.257E-2</c:v>
                </c:pt>
                <c:pt idx="374">
                  <c:v>1.257E-2</c:v>
                </c:pt>
                <c:pt idx="375">
                  <c:v>1.2579999999999999E-2</c:v>
                </c:pt>
                <c:pt idx="376">
                  <c:v>1.252E-2</c:v>
                </c:pt>
                <c:pt idx="377">
                  <c:v>1.257E-2</c:v>
                </c:pt>
                <c:pt idx="378">
                  <c:v>1.257E-2</c:v>
                </c:pt>
                <c:pt idx="379">
                  <c:v>1.257E-2</c:v>
                </c:pt>
                <c:pt idx="380">
                  <c:v>1.2579999999999999E-2</c:v>
                </c:pt>
                <c:pt idx="381">
                  <c:v>1.2659999999999999E-2</c:v>
                </c:pt>
                <c:pt idx="382">
                  <c:v>1.251E-2</c:v>
                </c:pt>
                <c:pt idx="383">
                  <c:v>1.252E-2</c:v>
                </c:pt>
                <c:pt idx="384">
                  <c:v>1.2619999999999999E-2</c:v>
                </c:pt>
                <c:pt idx="385">
                  <c:v>1.2619999999999999E-2</c:v>
                </c:pt>
                <c:pt idx="386">
                  <c:v>1.2619999999999999E-2</c:v>
                </c:pt>
                <c:pt idx="387">
                  <c:v>1.269E-2</c:v>
                </c:pt>
                <c:pt idx="388">
                  <c:v>1.2619999999999999E-2</c:v>
                </c:pt>
                <c:pt idx="389">
                  <c:v>1.277E-2</c:v>
                </c:pt>
                <c:pt idx="390">
                  <c:v>1.269E-2</c:v>
                </c:pt>
                <c:pt idx="391">
                  <c:v>1.2970000000000001E-2</c:v>
                </c:pt>
                <c:pt idx="392">
                  <c:v>1.2970000000000001E-2</c:v>
                </c:pt>
                <c:pt idx="393">
                  <c:v>1.2970000000000001E-2</c:v>
                </c:pt>
                <c:pt idx="394">
                  <c:v>1.2619999999999999E-2</c:v>
                </c:pt>
                <c:pt idx="395">
                  <c:v>1.2630000000000001E-2</c:v>
                </c:pt>
                <c:pt idx="396">
                  <c:v>1.261E-2</c:v>
                </c:pt>
                <c:pt idx="397">
                  <c:v>1.259E-2</c:v>
                </c:pt>
                <c:pt idx="398">
                  <c:v>1.259E-2</c:v>
                </c:pt>
                <c:pt idx="399">
                  <c:v>1.259E-2</c:v>
                </c:pt>
                <c:pt idx="400">
                  <c:v>1.259E-2</c:v>
                </c:pt>
                <c:pt idx="401">
                  <c:v>1.255E-2</c:v>
                </c:pt>
                <c:pt idx="402">
                  <c:v>1.2540000000000001E-2</c:v>
                </c:pt>
                <c:pt idx="403">
                  <c:v>1.259E-2</c:v>
                </c:pt>
                <c:pt idx="404">
                  <c:v>1.2970000000000001E-2</c:v>
                </c:pt>
                <c:pt idx="405">
                  <c:v>1.304E-2</c:v>
                </c:pt>
                <c:pt idx="406">
                  <c:v>1.304E-2</c:v>
                </c:pt>
                <c:pt idx="407">
                  <c:v>1.304E-2</c:v>
                </c:pt>
                <c:pt idx="408">
                  <c:v>1.3050000000000001E-2</c:v>
                </c:pt>
                <c:pt idx="409">
                  <c:v>1.302E-2</c:v>
                </c:pt>
                <c:pt idx="410">
                  <c:v>1.295E-2</c:v>
                </c:pt>
                <c:pt idx="411">
                  <c:v>1.2869999999999999E-2</c:v>
                </c:pt>
                <c:pt idx="412">
                  <c:v>1.2749999999999999E-2</c:v>
                </c:pt>
                <c:pt idx="413">
                  <c:v>1.2749999999999999E-2</c:v>
                </c:pt>
                <c:pt idx="414">
                  <c:v>1.2749999999999999E-2</c:v>
                </c:pt>
                <c:pt idx="415">
                  <c:v>1.2540000000000001E-2</c:v>
                </c:pt>
                <c:pt idx="416">
                  <c:v>1.252E-2</c:v>
                </c:pt>
                <c:pt idx="417">
                  <c:v>1.2500000000000001E-2</c:v>
                </c:pt>
                <c:pt idx="418">
                  <c:v>1.261E-2</c:v>
                </c:pt>
                <c:pt idx="419">
                  <c:v>1.251E-2</c:v>
                </c:pt>
                <c:pt idx="420">
                  <c:v>1.251E-2</c:v>
                </c:pt>
                <c:pt idx="421">
                  <c:v>1.251E-2</c:v>
                </c:pt>
                <c:pt idx="422">
                  <c:v>1.2579999999999999E-2</c:v>
                </c:pt>
                <c:pt idx="423">
                  <c:v>1.3010000000000001E-2</c:v>
                </c:pt>
                <c:pt idx="424">
                  <c:v>1.324E-2</c:v>
                </c:pt>
                <c:pt idx="425">
                  <c:v>1.285E-2</c:v>
                </c:pt>
                <c:pt idx="426">
                  <c:v>1.2880000000000001E-2</c:v>
                </c:pt>
                <c:pt idx="427">
                  <c:v>1.2880000000000001E-2</c:v>
                </c:pt>
                <c:pt idx="428">
                  <c:v>1.2880000000000001E-2</c:v>
                </c:pt>
                <c:pt idx="429">
                  <c:v>1.2800000000000001E-2</c:v>
                </c:pt>
                <c:pt idx="430">
                  <c:v>1.2800000000000001E-2</c:v>
                </c:pt>
                <c:pt idx="431">
                  <c:v>1.286E-2</c:v>
                </c:pt>
                <c:pt idx="432">
                  <c:v>1.277E-2</c:v>
                </c:pt>
                <c:pt idx="433">
                  <c:v>1.29E-2</c:v>
                </c:pt>
                <c:pt idx="434">
                  <c:v>1.29E-2</c:v>
                </c:pt>
                <c:pt idx="435">
                  <c:v>1.29E-2</c:v>
                </c:pt>
                <c:pt idx="436">
                  <c:v>1.274E-2</c:v>
                </c:pt>
                <c:pt idx="437">
                  <c:v>1.2800000000000001E-2</c:v>
                </c:pt>
                <c:pt idx="438">
                  <c:v>1.2659999999999999E-2</c:v>
                </c:pt>
                <c:pt idx="439">
                  <c:v>1.259E-2</c:v>
                </c:pt>
                <c:pt idx="440">
                  <c:v>1.269E-2</c:v>
                </c:pt>
                <c:pt idx="441">
                  <c:v>1.269E-2</c:v>
                </c:pt>
                <c:pt idx="442">
                  <c:v>1.269E-2</c:v>
                </c:pt>
                <c:pt idx="443">
                  <c:v>1.306E-2</c:v>
                </c:pt>
                <c:pt idx="444">
                  <c:v>1.306E-2</c:v>
                </c:pt>
                <c:pt idx="445">
                  <c:v>1.306E-2</c:v>
                </c:pt>
                <c:pt idx="446">
                  <c:v>1.268E-2</c:v>
                </c:pt>
                <c:pt idx="447">
                  <c:v>1.3010000000000001E-2</c:v>
                </c:pt>
                <c:pt idx="448">
                  <c:v>1.3010000000000001E-2</c:v>
                </c:pt>
                <c:pt idx="449">
                  <c:v>1.3010000000000001E-2</c:v>
                </c:pt>
                <c:pt idx="450">
                  <c:v>1.2800000000000001E-2</c:v>
                </c:pt>
                <c:pt idx="451">
                  <c:v>1.256E-2</c:v>
                </c:pt>
                <c:pt idx="452">
                  <c:v>1.2500000000000001E-2</c:v>
                </c:pt>
                <c:pt idx="453">
                  <c:v>1.2500000000000001E-2</c:v>
                </c:pt>
                <c:pt idx="454">
                  <c:v>1.311E-2</c:v>
                </c:pt>
                <c:pt idx="455">
                  <c:v>1.311E-2</c:v>
                </c:pt>
                <c:pt idx="456">
                  <c:v>1.311E-2</c:v>
                </c:pt>
                <c:pt idx="457">
                  <c:v>1.311E-2</c:v>
                </c:pt>
                <c:pt idx="458">
                  <c:v>1.298E-2</c:v>
                </c:pt>
                <c:pt idx="459">
                  <c:v>1.304E-2</c:v>
                </c:pt>
                <c:pt idx="460">
                  <c:v>1.2670000000000001E-2</c:v>
                </c:pt>
                <c:pt idx="461">
                  <c:v>1.329E-2</c:v>
                </c:pt>
                <c:pt idx="462">
                  <c:v>1.329E-2</c:v>
                </c:pt>
                <c:pt idx="463">
                  <c:v>1.329E-2</c:v>
                </c:pt>
                <c:pt idx="464">
                  <c:v>1.255E-2</c:v>
                </c:pt>
                <c:pt idx="465">
                  <c:v>1.2930000000000001E-2</c:v>
                </c:pt>
                <c:pt idx="466">
                  <c:v>1.3100000000000001E-2</c:v>
                </c:pt>
                <c:pt idx="467">
                  <c:v>1.289E-2</c:v>
                </c:pt>
                <c:pt idx="468">
                  <c:v>1.2800000000000001E-2</c:v>
                </c:pt>
                <c:pt idx="469">
                  <c:v>1.2800000000000001E-2</c:v>
                </c:pt>
                <c:pt idx="470">
                  <c:v>1.2800000000000001E-2</c:v>
                </c:pt>
                <c:pt idx="471">
                  <c:v>1.255E-2</c:v>
                </c:pt>
                <c:pt idx="472">
                  <c:v>1.261E-2</c:v>
                </c:pt>
                <c:pt idx="473">
                  <c:v>1.2630000000000001E-2</c:v>
                </c:pt>
                <c:pt idx="474">
                  <c:v>1.2619999999999999E-2</c:v>
                </c:pt>
                <c:pt idx="475">
                  <c:v>1.274E-2</c:v>
                </c:pt>
                <c:pt idx="476">
                  <c:v>1.274E-2</c:v>
                </c:pt>
                <c:pt idx="477">
                  <c:v>1.274E-2</c:v>
                </c:pt>
                <c:pt idx="478">
                  <c:v>1.274E-2</c:v>
                </c:pt>
                <c:pt idx="479">
                  <c:v>1.255E-2</c:v>
                </c:pt>
                <c:pt idx="480">
                  <c:v>1.281E-2</c:v>
                </c:pt>
                <c:pt idx="481">
                  <c:v>1.264E-2</c:v>
                </c:pt>
                <c:pt idx="482">
                  <c:v>1.337E-2</c:v>
                </c:pt>
                <c:pt idx="483">
                  <c:v>1.337E-2</c:v>
                </c:pt>
                <c:pt idx="484">
                  <c:v>1.337E-2</c:v>
                </c:pt>
                <c:pt idx="485">
                  <c:v>1.316E-2</c:v>
                </c:pt>
                <c:pt idx="486">
                  <c:v>1.316E-2</c:v>
                </c:pt>
                <c:pt idx="487">
                  <c:v>1.282E-2</c:v>
                </c:pt>
                <c:pt idx="488">
                  <c:v>1.2530000000000001E-2</c:v>
                </c:pt>
                <c:pt idx="489">
                  <c:v>1.299E-2</c:v>
                </c:pt>
                <c:pt idx="490">
                  <c:v>1.299E-2</c:v>
                </c:pt>
                <c:pt idx="491">
                  <c:v>1.299E-2</c:v>
                </c:pt>
                <c:pt idx="492">
                  <c:v>1.308E-2</c:v>
                </c:pt>
                <c:pt idx="493">
                  <c:v>1.3019999999999999E-2</c:v>
                </c:pt>
                <c:pt idx="494">
                  <c:v>1.3029999999999998E-2</c:v>
                </c:pt>
                <c:pt idx="495">
                  <c:v>1.2880000000000001E-2</c:v>
                </c:pt>
                <c:pt idx="496">
                  <c:v>1.2880000000000001E-2</c:v>
                </c:pt>
                <c:pt idx="497">
                  <c:v>1.2880000000000001E-2</c:v>
                </c:pt>
                <c:pt idx="498">
                  <c:v>1.2880000000000001E-2</c:v>
                </c:pt>
                <c:pt idx="499">
                  <c:v>1.3089999999999999E-2</c:v>
                </c:pt>
                <c:pt idx="500">
                  <c:v>1.2999999999999999E-2</c:v>
                </c:pt>
                <c:pt idx="501">
                  <c:v>1.2749999999999999E-2</c:v>
                </c:pt>
                <c:pt idx="502">
                  <c:v>1.2929999999999999E-2</c:v>
                </c:pt>
                <c:pt idx="503">
                  <c:v>1.2679999999999999E-2</c:v>
                </c:pt>
                <c:pt idx="504">
                  <c:v>1.2679999999999999E-2</c:v>
                </c:pt>
                <c:pt idx="505">
                  <c:v>1.2679999999999999E-2</c:v>
                </c:pt>
                <c:pt idx="506">
                  <c:v>1.265E-2</c:v>
                </c:pt>
                <c:pt idx="507">
                  <c:v>1.2610000000000001E-2</c:v>
                </c:pt>
                <c:pt idx="508">
                  <c:v>1.2630000000000001E-2</c:v>
                </c:pt>
                <c:pt idx="509">
                  <c:v>1.265E-2</c:v>
                </c:pt>
                <c:pt idx="510">
                  <c:v>1.273E-2</c:v>
                </c:pt>
                <c:pt idx="511">
                  <c:v>1.273E-2</c:v>
                </c:pt>
                <c:pt idx="512">
                  <c:v>1.273E-2</c:v>
                </c:pt>
                <c:pt idx="513">
                  <c:v>1.282E-2</c:v>
                </c:pt>
                <c:pt idx="514">
                  <c:v>1.2970000000000001E-2</c:v>
                </c:pt>
                <c:pt idx="515">
                  <c:v>1.2960000000000001E-2</c:v>
                </c:pt>
                <c:pt idx="516">
                  <c:v>1.3040000000000001E-2</c:v>
                </c:pt>
                <c:pt idx="517">
                  <c:v>1.2939999999999998E-2</c:v>
                </c:pt>
                <c:pt idx="518">
                  <c:v>1.2939999999999998E-2</c:v>
                </c:pt>
                <c:pt idx="519">
                  <c:v>1.2939999999999998E-2</c:v>
                </c:pt>
                <c:pt idx="520">
                  <c:v>1.265E-2</c:v>
                </c:pt>
                <c:pt idx="521">
                  <c:v>1.2630000000000001E-2</c:v>
                </c:pt>
                <c:pt idx="522">
                  <c:v>1.2599999999999998E-2</c:v>
                </c:pt>
                <c:pt idx="523">
                  <c:v>1.2630000000000001E-2</c:v>
                </c:pt>
                <c:pt idx="524">
                  <c:v>1.256E-2</c:v>
                </c:pt>
                <c:pt idx="525">
                  <c:v>1.256E-2</c:v>
                </c:pt>
                <c:pt idx="526">
                  <c:v>1.256E-2</c:v>
                </c:pt>
                <c:pt idx="527">
                  <c:v>1.2530000000000001E-2</c:v>
                </c:pt>
                <c:pt idx="528">
                  <c:v>1.2519999999999998E-2</c:v>
                </c:pt>
                <c:pt idx="529">
                  <c:v>1.2519999999999998E-2</c:v>
                </c:pt>
                <c:pt idx="530">
                  <c:v>1.255E-2</c:v>
                </c:pt>
                <c:pt idx="531">
                  <c:v>1.257E-2</c:v>
                </c:pt>
                <c:pt idx="532">
                  <c:v>1.257E-2</c:v>
                </c:pt>
                <c:pt idx="533">
                  <c:v>1.257E-2</c:v>
                </c:pt>
                <c:pt idx="534">
                  <c:v>1.274E-2</c:v>
                </c:pt>
                <c:pt idx="535">
                  <c:v>1.2679999999999999E-2</c:v>
                </c:pt>
                <c:pt idx="536">
                  <c:v>1.257E-2</c:v>
                </c:pt>
                <c:pt idx="537">
                  <c:v>1.264E-2</c:v>
                </c:pt>
                <c:pt idx="538">
                  <c:v>1.2589999999999999E-2</c:v>
                </c:pt>
                <c:pt idx="539">
                  <c:v>1.2589999999999999E-2</c:v>
                </c:pt>
                <c:pt idx="540">
                  <c:v>1.2589999999999999E-2</c:v>
                </c:pt>
                <c:pt idx="541">
                  <c:v>1.2519999999999998E-2</c:v>
                </c:pt>
                <c:pt idx="542">
                  <c:v>1.2509999999999999E-2</c:v>
                </c:pt>
                <c:pt idx="543">
                  <c:v>1.2599999999999998E-2</c:v>
                </c:pt>
                <c:pt idx="544">
                  <c:v>1.2610000000000001E-2</c:v>
                </c:pt>
                <c:pt idx="545">
                  <c:v>1.2599999999999998E-2</c:v>
                </c:pt>
                <c:pt idx="546">
                  <c:v>1.2599999999999998E-2</c:v>
                </c:pt>
                <c:pt idx="547">
                  <c:v>1.2599999999999998E-2</c:v>
                </c:pt>
                <c:pt idx="548">
                  <c:v>1.2620000000000001E-2</c:v>
                </c:pt>
                <c:pt idx="549">
                  <c:v>1.2620000000000001E-2</c:v>
                </c:pt>
                <c:pt idx="550">
                  <c:v>1.2519999999999998E-2</c:v>
                </c:pt>
                <c:pt idx="551">
                  <c:v>1.2589999999999999E-2</c:v>
                </c:pt>
                <c:pt idx="552">
                  <c:v>1.2579999999999999E-2</c:v>
                </c:pt>
                <c:pt idx="553">
                  <c:v>1.2579999999999999E-2</c:v>
                </c:pt>
                <c:pt idx="554">
                  <c:v>1.2579999999999999E-2</c:v>
                </c:pt>
                <c:pt idx="555">
                  <c:v>1.2540000000000001E-2</c:v>
                </c:pt>
                <c:pt idx="556">
                  <c:v>1.2509999999999999E-2</c:v>
                </c:pt>
                <c:pt idx="557">
                  <c:v>1.255E-2</c:v>
                </c:pt>
                <c:pt idx="558">
                  <c:v>1.2530000000000001E-2</c:v>
                </c:pt>
                <c:pt idx="559">
                  <c:v>1.2540000000000001E-2</c:v>
                </c:pt>
                <c:pt idx="560">
                  <c:v>1.2540000000000001E-2</c:v>
                </c:pt>
                <c:pt idx="561">
                  <c:v>1.2540000000000001E-2</c:v>
                </c:pt>
                <c:pt idx="562">
                  <c:v>1.2499999999999999E-2</c:v>
                </c:pt>
                <c:pt idx="563">
                  <c:v>1.2499999999999999E-2</c:v>
                </c:pt>
                <c:pt idx="564">
                  <c:v>1.2499999999999999E-2</c:v>
                </c:pt>
                <c:pt idx="565">
                  <c:v>1.2540000000000001E-2</c:v>
                </c:pt>
                <c:pt idx="566">
                  <c:v>1.2659999999999999E-2</c:v>
                </c:pt>
                <c:pt idx="567">
                  <c:v>1.2659999999999999E-2</c:v>
                </c:pt>
                <c:pt idx="568">
                  <c:v>1.2659999999999999E-2</c:v>
                </c:pt>
                <c:pt idx="569">
                  <c:v>1.2630000000000001E-2</c:v>
                </c:pt>
                <c:pt idx="570">
                  <c:v>1.265E-2</c:v>
                </c:pt>
                <c:pt idx="571">
                  <c:v>1.2620000000000001E-2</c:v>
                </c:pt>
                <c:pt idx="572">
                  <c:v>1.2589999999999999E-2</c:v>
                </c:pt>
                <c:pt idx="573">
                  <c:v>1.2769999999999998E-2</c:v>
                </c:pt>
                <c:pt idx="574">
                  <c:v>1.2769999999999998E-2</c:v>
                </c:pt>
                <c:pt idx="575">
                  <c:v>1.2769999999999998E-2</c:v>
                </c:pt>
                <c:pt idx="576">
                  <c:v>1.2599999999999998E-2</c:v>
                </c:pt>
                <c:pt idx="577">
                  <c:v>1.2630000000000001E-2</c:v>
                </c:pt>
                <c:pt idx="578">
                  <c:v>1.265E-2</c:v>
                </c:pt>
                <c:pt idx="579">
                  <c:v>1.2579999999999999E-2</c:v>
                </c:pt>
                <c:pt idx="580">
                  <c:v>1.272E-2</c:v>
                </c:pt>
                <c:pt idx="581">
                  <c:v>1.272E-2</c:v>
                </c:pt>
                <c:pt idx="582">
                  <c:v>1.272E-2</c:v>
                </c:pt>
                <c:pt idx="583">
                  <c:v>1.2700000000000001E-2</c:v>
                </c:pt>
                <c:pt idx="584">
                  <c:v>1.2630000000000001E-2</c:v>
                </c:pt>
                <c:pt idx="585">
                  <c:v>1.2610000000000001E-2</c:v>
                </c:pt>
                <c:pt idx="586">
                  <c:v>1.2710000000000001E-2</c:v>
                </c:pt>
                <c:pt idx="587">
                  <c:v>1.2610000000000001E-2</c:v>
                </c:pt>
                <c:pt idx="588">
                  <c:v>1.2610000000000001E-2</c:v>
                </c:pt>
                <c:pt idx="589">
                  <c:v>1.2610000000000001E-2</c:v>
                </c:pt>
                <c:pt idx="590">
                  <c:v>1.2679999999999999E-2</c:v>
                </c:pt>
                <c:pt idx="591">
                  <c:v>1.2669999999999999E-2</c:v>
                </c:pt>
                <c:pt idx="592">
                  <c:v>1.2749999999999999E-2</c:v>
                </c:pt>
                <c:pt idx="593">
                  <c:v>1.256E-2</c:v>
                </c:pt>
                <c:pt idx="594">
                  <c:v>1.2849999999999999E-2</c:v>
                </c:pt>
                <c:pt idx="595">
                  <c:v>1.2849999999999999E-2</c:v>
                </c:pt>
                <c:pt idx="596">
                  <c:v>1.2849999999999999E-2</c:v>
                </c:pt>
                <c:pt idx="597">
                  <c:v>1.2579999999999999E-2</c:v>
                </c:pt>
                <c:pt idx="598">
                  <c:v>1.281E-2</c:v>
                </c:pt>
                <c:pt idx="599">
                  <c:v>1.273E-2</c:v>
                </c:pt>
                <c:pt idx="600">
                  <c:v>1.264E-2</c:v>
                </c:pt>
                <c:pt idx="601">
                  <c:v>1.2599999999999998E-2</c:v>
                </c:pt>
                <c:pt idx="602">
                  <c:v>1.2599999999999998E-2</c:v>
                </c:pt>
                <c:pt idx="603">
                  <c:v>1.2599999999999998E-2</c:v>
                </c:pt>
                <c:pt idx="604">
                  <c:v>1.2530000000000001E-2</c:v>
                </c:pt>
                <c:pt idx="605">
                  <c:v>1.2829999999999999E-2</c:v>
                </c:pt>
                <c:pt idx="606">
                  <c:v>1.2829999999999999E-2</c:v>
                </c:pt>
                <c:pt idx="607">
                  <c:v>1.2540000000000001E-2</c:v>
                </c:pt>
                <c:pt idx="608">
                  <c:v>1.2689999999999998E-2</c:v>
                </c:pt>
                <c:pt idx="609">
                  <c:v>1.2689999999999998E-2</c:v>
                </c:pt>
                <c:pt idx="610">
                  <c:v>1.2689999999999998E-2</c:v>
                </c:pt>
                <c:pt idx="611">
                  <c:v>1.256E-2</c:v>
                </c:pt>
                <c:pt idx="612">
                  <c:v>1.2530000000000001E-2</c:v>
                </c:pt>
                <c:pt idx="613">
                  <c:v>1.257E-2</c:v>
                </c:pt>
                <c:pt idx="614">
                  <c:v>1.2519999999999998E-2</c:v>
                </c:pt>
                <c:pt idx="615">
                  <c:v>1.2519999999999998E-2</c:v>
                </c:pt>
                <c:pt idx="616">
                  <c:v>1.2519999999999998E-2</c:v>
                </c:pt>
                <c:pt idx="617">
                  <c:v>1.2519999999999998E-2</c:v>
                </c:pt>
                <c:pt idx="618">
                  <c:v>1.2530000000000001E-2</c:v>
                </c:pt>
                <c:pt idx="619">
                  <c:v>1.2509999999999999E-2</c:v>
                </c:pt>
                <c:pt idx="620">
                  <c:v>1.2509999999999999E-2</c:v>
                </c:pt>
                <c:pt idx="621">
                  <c:v>1.255E-2</c:v>
                </c:pt>
                <c:pt idx="622">
                  <c:v>1.2499999999999999E-2</c:v>
                </c:pt>
                <c:pt idx="623">
                  <c:v>1.2499999999999999E-2</c:v>
                </c:pt>
                <c:pt idx="624">
                  <c:v>1.2499999999999999E-2</c:v>
                </c:pt>
                <c:pt idx="625">
                  <c:v>1.256E-2</c:v>
                </c:pt>
                <c:pt idx="626">
                  <c:v>1.2499999999999999E-2</c:v>
                </c:pt>
                <c:pt idx="627">
                  <c:v>1.2499999999999999E-2</c:v>
                </c:pt>
                <c:pt idx="628">
                  <c:v>1.256E-2</c:v>
                </c:pt>
                <c:pt idx="629">
                  <c:v>1.2540000000000001E-2</c:v>
                </c:pt>
                <c:pt idx="630">
                  <c:v>1.2540000000000001E-2</c:v>
                </c:pt>
                <c:pt idx="631">
                  <c:v>1.2540000000000001E-2</c:v>
                </c:pt>
                <c:pt idx="632">
                  <c:v>1.2540000000000001E-2</c:v>
                </c:pt>
                <c:pt idx="633">
                  <c:v>1.2540000000000001E-2</c:v>
                </c:pt>
                <c:pt idx="634">
                  <c:v>1.256E-2</c:v>
                </c:pt>
                <c:pt idx="635">
                  <c:v>1.2659999999999999E-2</c:v>
                </c:pt>
                <c:pt idx="636">
                  <c:v>1.2679999999999999E-2</c:v>
                </c:pt>
                <c:pt idx="637">
                  <c:v>1.2679999999999999E-2</c:v>
                </c:pt>
                <c:pt idx="638">
                  <c:v>1.2679999999999999E-2</c:v>
                </c:pt>
                <c:pt idx="639">
                  <c:v>1.2669999999999999E-2</c:v>
                </c:pt>
                <c:pt idx="640">
                  <c:v>1.2839999999999999E-2</c:v>
                </c:pt>
                <c:pt idx="641">
                  <c:v>1.2839999999999999E-2</c:v>
                </c:pt>
                <c:pt idx="642">
                  <c:v>1.2839999999999999E-2</c:v>
                </c:pt>
                <c:pt idx="643">
                  <c:v>1.2839999999999999E-2</c:v>
                </c:pt>
                <c:pt idx="644">
                  <c:v>1.2839999999999999E-2</c:v>
                </c:pt>
                <c:pt idx="645">
                  <c:v>1.2839999999999999E-2</c:v>
                </c:pt>
                <c:pt idx="646">
                  <c:v>1.2530000000000001E-2</c:v>
                </c:pt>
                <c:pt idx="647">
                  <c:v>1.2689999999999998E-2</c:v>
                </c:pt>
                <c:pt idx="648">
                  <c:v>1.273E-2</c:v>
                </c:pt>
                <c:pt idx="649">
                  <c:v>1.256E-2</c:v>
                </c:pt>
                <c:pt idx="650">
                  <c:v>1.255E-2</c:v>
                </c:pt>
                <c:pt idx="651">
                  <c:v>1.255E-2</c:v>
                </c:pt>
                <c:pt idx="652">
                  <c:v>1.255E-2</c:v>
                </c:pt>
                <c:pt idx="653">
                  <c:v>1.2519999999999998E-2</c:v>
                </c:pt>
                <c:pt idx="654">
                  <c:v>1.2499999999999999E-2</c:v>
                </c:pt>
                <c:pt idx="655">
                  <c:v>1.2499999999999999E-2</c:v>
                </c:pt>
                <c:pt idx="656">
                  <c:v>1.307E-2</c:v>
                </c:pt>
                <c:pt idx="657">
                  <c:v>1.2669999999999999E-2</c:v>
                </c:pt>
                <c:pt idx="658">
                  <c:v>1.2669999999999999E-2</c:v>
                </c:pt>
                <c:pt idx="659">
                  <c:v>1.2669999999999999E-2</c:v>
                </c:pt>
                <c:pt idx="660">
                  <c:v>1.256E-2</c:v>
                </c:pt>
                <c:pt idx="661">
                  <c:v>1.2579999999999999E-2</c:v>
                </c:pt>
                <c:pt idx="662">
                  <c:v>1.2620000000000001E-2</c:v>
                </c:pt>
                <c:pt idx="663">
                  <c:v>1.265E-2</c:v>
                </c:pt>
                <c:pt idx="664">
                  <c:v>1.29E-2</c:v>
                </c:pt>
                <c:pt idx="665">
                  <c:v>1.29E-2</c:v>
                </c:pt>
                <c:pt idx="666">
                  <c:v>1.29E-2</c:v>
                </c:pt>
                <c:pt idx="667">
                  <c:v>1.2679999999999999E-2</c:v>
                </c:pt>
                <c:pt idx="668">
                  <c:v>1.256E-2</c:v>
                </c:pt>
                <c:pt idx="669">
                  <c:v>1.256E-2</c:v>
                </c:pt>
                <c:pt idx="670">
                  <c:v>1.2499999999999999E-2</c:v>
                </c:pt>
                <c:pt idx="671">
                  <c:v>1.255E-2</c:v>
                </c:pt>
                <c:pt idx="672">
                  <c:v>1.255E-2</c:v>
                </c:pt>
                <c:pt idx="673">
                  <c:v>1.255E-2</c:v>
                </c:pt>
                <c:pt idx="674">
                  <c:v>1.2519999999999998E-2</c:v>
                </c:pt>
                <c:pt idx="675">
                  <c:v>1.2530000000000001E-2</c:v>
                </c:pt>
                <c:pt idx="676">
                  <c:v>1.256E-2</c:v>
                </c:pt>
                <c:pt idx="677">
                  <c:v>1.255E-2</c:v>
                </c:pt>
                <c:pt idx="678">
                  <c:v>1.264E-2</c:v>
                </c:pt>
                <c:pt idx="679">
                  <c:v>1.264E-2</c:v>
                </c:pt>
                <c:pt idx="680">
                  <c:v>1.264E-2</c:v>
                </c:pt>
                <c:pt idx="681">
                  <c:v>1.2679999999999999E-2</c:v>
                </c:pt>
                <c:pt idx="682">
                  <c:v>1.2579999999999999E-2</c:v>
                </c:pt>
                <c:pt idx="683">
                  <c:v>1.2509999999999999E-2</c:v>
                </c:pt>
                <c:pt idx="684">
                  <c:v>1.2599999999999998E-2</c:v>
                </c:pt>
                <c:pt idx="685">
                  <c:v>1.264E-2</c:v>
                </c:pt>
                <c:pt idx="686">
                  <c:v>1.264E-2</c:v>
                </c:pt>
                <c:pt idx="687">
                  <c:v>1.264E-2</c:v>
                </c:pt>
                <c:pt idx="688">
                  <c:v>1.255E-2</c:v>
                </c:pt>
                <c:pt idx="689">
                  <c:v>1.2499999999999999E-2</c:v>
                </c:pt>
                <c:pt idx="690">
                  <c:v>1.2499999999999999E-2</c:v>
                </c:pt>
                <c:pt idx="691">
                  <c:v>1.265E-2</c:v>
                </c:pt>
                <c:pt idx="692">
                  <c:v>1.2630000000000001E-2</c:v>
                </c:pt>
                <c:pt idx="693">
                  <c:v>1.2630000000000001E-2</c:v>
                </c:pt>
                <c:pt idx="694">
                  <c:v>1.2630000000000001E-2</c:v>
                </c:pt>
                <c:pt idx="695">
                  <c:v>1.2700000000000001E-2</c:v>
                </c:pt>
                <c:pt idx="696">
                  <c:v>1.2700000000000001E-2</c:v>
                </c:pt>
                <c:pt idx="697">
                  <c:v>1.2970000000000001E-2</c:v>
                </c:pt>
                <c:pt idx="698">
                  <c:v>1.3169999999999999E-2</c:v>
                </c:pt>
                <c:pt idx="699">
                  <c:v>1.315E-2</c:v>
                </c:pt>
                <c:pt idx="700">
                  <c:v>1.315E-2</c:v>
                </c:pt>
                <c:pt idx="701">
                  <c:v>1.315E-2</c:v>
                </c:pt>
                <c:pt idx="702">
                  <c:v>1.3109999999999998E-2</c:v>
                </c:pt>
                <c:pt idx="703">
                  <c:v>1.2669999999999999E-2</c:v>
                </c:pt>
                <c:pt idx="704">
                  <c:v>1.2849999999999999E-2</c:v>
                </c:pt>
                <c:pt idx="705">
                  <c:v>1.358E-2</c:v>
                </c:pt>
                <c:pt idx="706">
                  <c:v>1.8570000000000003E-2</c:v>
                </c:pt>
                <c:pt idx="707">
                  <c:v>1.8570000000000003E-2</c:v>
                </c:pt>
                <c:pt idx="708">
                  <c:v>1.8570000000000003E-2</c:v>
                </c:pt>
                <c:pt idx="709">
                  <c:v>1.8570000000000003E-2</c:v>
                </c:pt>
                <c:pt idx="710">
                  <c:v>1.8570000000000003E-2</c:v>
                </c:pt>
                <c:pt idx="711">
                  <c:v>1.8570000000000003E-2</c:v>
                </c:pt>
                <c:pt idx="712">
                  <c:v>1.4240000000000001E-2</c:v>
                </c:pt>
                <c:pt idx="713">
                  <c:v>1.3820000000000001E-2</c:v>
                </c:pt>
                <c:pt idx="714">
                  <c:v>1.3820000000000001E-2</c:v>
                </c:pt>
                <c:pt idx="715">
                  <c:v>1.3820000000000001E-2</c:v>
                </c:pt>
                <c:pt idx="716">
                  <c:v>1.384E-2</c:v>
                </c:pt>
                <c:pt idx="717">
                  <c:v>1.384E-2</c:v>
                </c:pt>
                <c:pt idx="718">
                  <c:v>1.384E-2</c:v>
                </c:pt>
                <c:pt idx="719">
                  <c:v>1.3339999999999999E-2</c:v>
                </c:pt>
                <c:pt idx="720">
                  <c:v>1.281E-2</c:v>
                </c:pt>
                <c:pt idx="721">
                  <c:v>1.281E-2</c:v>
                </c:pt>
                <c:pt idx="722">
                  <c:v>1.281E-2</c:v>
                </c:pt>
                <c:pt idx="723">
                  <c:v>1.257E-2</c:v>
                </c:pt>
                <c:pt idx="724">
                  <c:v>1.2499999999999999E-2</c:v>
                </c:pt>
                <c:pt idx="725">
                  <c:v>1.2499999999999999E-2</c:v>
                </c:pt>
                <c:pt idx="726">
                  <c:v>1.2579999999999999E-2</c:v>
                </c:pt>
                <c:pt idx="727">
                  <c:v>1.2929999999999999E-2</c:v>
                </c:pt>
                <c:pt idx="728">
                  <c:v>1.2929999999999999E-2</c:v>
                </c:pt>
                <c:pt idx="729">
                  <c:v>1.2929999999999999E-2</c:v>
                </c:pt>
                <c:pt idx="730">
                  <c:v>1.2499999999999999E-2</c:v>
                </c:pt>
                <c:pt idx="731">
                  <c:v>1.256E-2</c:v>
                </c:pt>
                <c:pt idx="732">
                  <c:v>1.2610000000000001E-2</c:v>
                </c:pt>
                <c:pt idx="733">
                  <c:v>1.255E-2</c:v>
                </c:pt>
                <c:pt idx="734">
                  <c:v>1.257E-2</c:v>
                </c:pt>
                <c:pt idx="735">
                  <c:v>1.257E-2</c:v>
                </c:pt>
                <c:pt idx="736">
                  <c:v>1.257E-2</c:v>
                </c:pt>
                <c:pt idx="737">
                  <c:v>1.2589999999999999E-2</c:v>
                </c:pt>
                <c:pt idx="738">
                  <c:v>1.255E-2</c:v>
                </c:pt>
                <c:pt idx="739">
                  <c:v>1.2499999999999999E-2</c:v>
                </c:pt>
                <c:pt idx="740">
                  <c:v>1.2530000000000001E-2</c:v>
                </c:pt>
                <c:pt idx="741">
                  <c:v>1.2870000000000001E-2</c:v>
                </c:pt>
                <c:pt idx="742">
                  <c:v>1.2870000000000001E-2</c:v>
                </c:pt>
                <c:pt idx="743">
                  <c:v>1.2870000000000001E-2</c:v>
                </c:pt>
                <c:pt idx="744">
                  <c:v>1.3009999999999999E-2</c:v>
                </c:pt>
                <c:pt idx="745">
                  <c:v>1.273E-2</c:v>
                </c:pt>
                <c:pt idx="746">
                  <c:v>1.256E-2</c:v>
                </c:pt>
                <c:pt idx="747">
                  <c:v>1.255E-2</c:v>
                </c:pt>
                <c:pt idx="748">
                  <c:v>1.257E-2</c:v>
                </c:pt>
                <c:pt idx="749">
                  <c:v>1.257E-2</c:v>
                </c:pt>
                <c:pt idx="750">
                  <c:v>1.257E-2</c:v>
                </c:pt>
                <c:pt idx="751">
                  <c:v>1.2499999999999999E-2</c:v>
                </c:pt>
                <c:pt idx="752">
                  <c:v>1.2499999999999999E-2</c:v>
                </c:pt>
                <c:pt idx="753">
                  <c:v>1.2499999999999999E-2</c:v>
                </c:pt>
                <c:pt idx="754">
                  <c:v>1.255E-2</c:v>
                </c:pt>
                <c:pt idx="755">
                  <c:v>1.2679999999999999E-2</c:v>
                </c:pt>
                <c:pt idx="756">
                  <c:v>1.2679999999999999E-2</c:v>
                </c:pt>
                <c:pt idx="757">
                  <c:v>1.2679999999999999E-2</c:v>
                </c:pt>
                <c:pt idx="758">
                  <c:v>1.298E-2</c:v>
                </c:pt>
                <c:pt idx="759">
                  <c:v>1.2499999999999999E-2</c:v>
                </c:pt>
                <c:pt idx="760">
                  <c:v>1.2499999999999999E-2</c:v>
                </c:pt>
                <c:pt idx="761">
                  <c:v>1.2499999999999999E-2</c:v>
                </c:pt>
                <c:pt idx="762">
                  <c:v>1.255E-2</c:v>
                </c:pt>
                <c:pt idx="763">
                  <c:v>1.255E-2</c:v>
                </c:pt>
                <c:pt idx="764">
                  <c:v>1.255E-2</c:v>
                </c:pt>
                <c:pt idx="765">
                  <c:v>1.2579999999999999E-2</c:v>
                </c:pt>
                <c:pt idx="766">
                  <c:v>1.2540000000000001E-2</c:v>
                </c:pt>
                <c:pt idx="767">
                  <c:v>1.255E-2</c:v>
                </c:pt>
                <c:pt idx="768">
                  <c:v>1.257E-2</c:v>
                </c:pt>
                <c:pt idx="769">
                  <c:v>1.2540000000000001E-2</c:v>
                </c:pt>
                <c:pt idx="770">
                  <c:v>1.2540000000000001E-2</c:v>
                </c:pt>
                <c:pt idx="771">
                  <c:v>1.2540000000000001E-2</c:v>
                </c:pt>
                <c:pt idx="772">
                  <c:v>1.2710000000000001E-2</c:v>
                </c:pt>
                <c:pt idx="773">
                  <c:v>1.2700000000000001E-2</c:v>
                </c:pt>
                <c:pt idx="774">
                  <c:v>1.256E-2</c:v>
                </c:pt>
                <c:pt idx="775">
                  <c:v>1.255E-2</c:v>
                </c:pt>
                <c:pt idx="776">
                  <c:v>1.2579999999999999E-2</c:v>
                </c:pt>
                <c:pt idx="777">
                  <c:v>1.2579999999999999E-2</c:v>
                </c:pt>
                <c:pt idx="778">
                  <c:v>1.2579999999999999E-2</c:v>
                </c:pt>
                <c:pt idx="779">
                  <c:v>1.2499999999999999E-2</c:v>
                </c:pt>
                <c:pt idx="780">
                  <c:v>1.2499999999999999E-2</c:v>
                </c:pt>
                <c:pt idx="781">
                  <c:v>1.2499999999999999E-2</c:v>
                </c:pt>
                <c:pt idx="782">
                  <c:v>1.2499999999999999E-2</c:v>
                </c:pt>
                <c:pt idx="783">
                  <c:v>1.2499999999999999E-2</c:v>
                </c:pt>
                <c:pt idx="784">
                  <c:v>1.2499999999999999E-2</c:v>
                </c:pt>
                <c:pt idx="785">
                  <c:v>1.2499999999999999E-2</c:v>
                </c:pt>
                <c:pt idx="786">
                  <c:v>1.255E-2</c:v>
                </c:pt>
                <c:pt idx="787">
                  <c:v>1.2599999999999998E-2</c:v>
                </c:pt>
                <c:pt idx="788">
                  <c:v>1.2800000000000001E-2</c:v>
                </c:pt>
                <c:pt idx="789">
                  <c:v>1.2939999999999998E-2</c:v>
                </c:pt>
                <c:pt idx="790">
                  <c:v>1.2700000000000001E-2</c:v>
                </c:pt>
                <c:pt idx="791">
                  <c:v>1.2700000000000001E-2</c:v>
                </c:pt>
                <c:pt idx="792">
                  <c:v>1.2700000000000001E-2</c:v>
                </c:pt>
                <c:pt idx="793">
                  <c:v>1.264E-2</c:v>
                </c:pt>
                <c:pt idx="794">
                  <c:v>1.2610000000000001E-2</c:v>
                </c:pt>
                <c:pt idx="795">
                  <c:v>1.2610000000000001E-2</c:v>
                </c:pt>
                <c:pt idx="796">
                  <c:v>1.3029999999999998E-2</c:v>
                </c:pt>
                <c:pt idx="797">
                  <c:v>1.2630000000000001E-2</c:v>
                </c:pt>
                <c:pt idx="798">
                  <c:v>1.2630000000000001E-2</c:v>
                </c:pt>
                <c:pt idx="799">
                  <c:v>1.2630000000000001E-2</c:v>
                </c:pt>
                <c:pt idx="800">
                  <c:v>1.2630000000000001E-2</c:v>
                </c:pt>
                <c:pt idx="801">
                  <c:v>1.2530000000000001E-2</c:v>
                </c:pt>
                <c:pt idx="802">
                  <c:v>1.264E-2</c:v>
                </c:pt>
                <c:pt idx="803">
                  <c:v>1.2530000000000001E-2</c:v>
                </c:pt>
                <c:pt idx="804">
                  <c:v>1.272E-2</c:v>
                </c:pt>
                <c:pt idx="805">
                  <c:v>1.272E-2</c:v>
                </c:pt>
                <c:pt idx="806">
                  <c:v>1.272E-2</c:v>
                </c:pt>
                <c:pt idx="807">
                  <c:v>1.272E-2</c:v>
                </c:pt>
                <c:pt idx="808">
                  <c:v>1.2519999999999998E-2</c:v>
                </c:pt>
                <c:pt idx="809">
                  <c:v>1.2519999999999998E-2</c:v>
                </c:pt>
                <c:pt idx="810">
                  <c:v>1.264E-2</c:v>
                </c:pt>
                <c:pt idx="811">
                  <c:v>1.2679999999999999E-2</c:v>
                </c:pt>
                <c:pt idx="812">
                  <c:v>1.2679999999999999E-2</c:v>
                </c:pt>
                <c:pt idx="813">
                  <c:v>1.2679999999999999E-2</c:v>
                </c:pt>
                <c:pt idx="814">
                  <c:v>1.2679999999999999E-2</c:v>
                </c:pt>
                <c:pt idx="815">
                  <c:v>1.2769999999999998E-2</c:v>
                </c:pt>
                <c:pt idx="816">
                  <c:v>1.2769999999999998E-2</c:v>
                </c:pt>
                <c:pt idx="817">
                  <c:v>1.2530000000000001E-2</c:v>
                </c:pt>
                <c:pt idx="818">
                  <c:v>1.2759999999999999E-2</c:v>
                </c:pt>
                <c:pt idx="819">
                  <c:v>1.2759999999999999E-2</c:v>
                </c:pt>
                <c:pt idx="820">
                  <c:v>1.2759999999999999E-2</c:v>
                </c:pt>
                <c:pt idx="821">
                  <c:v>1.2499999999999999E-2</c:v>
                </c:pt>
                <c:pt idx="822">
                  <c:v>1.2509999999999999E-2</c:v>
                </c:pt>
                <c:pt idx="823">
                  <c:v>1.2499999999999999E-2</c:v>
                </c:pt>
                <c:pt idx="824">
                  <c:v>1.255E-2</c:v>
                </c:pt>
                <c:pt idx="825">
                  <c:v>1.265E-2</c:v>
                </c:pt>
                <c:pt idx="826">
                  <c:v>1.265E-2</c:v>
                </c:pt>
                <c:pt idx="827">
                  <c:v>1.265E-2</c:v>
                </c:pt>
                <c:pt idx="828">
                  <c:v>1.2509999999999999E-2</c:v>
                </c:pt>
                <c:pt idx="829">
                  <c:v>1.2519999999999998E-2</c:v>
                </c:pt>
                <c:pt idx="830">
                  <c:v>1.2540000000000001E-2</c:v>
                </c:pt>
                <c:pt idx="831">
                  <c:v>1.2579999999999999E-2</c:v>
                </c:pt>
                <c:pt idx="832">
                  <c:v>1.2540000000000001E-2</c:v>
                </c:pt>
                <c:pt idx="833">
                  <c:v>1.2540000000000001E-2</c:v>
                </c:pt>
                <c:pt idx="834">
                  <c:v>1.2540000000000001E-2</c:v>
                </c:pt>
                <c:pt idx="835">
                  <c:v>1.2509999999999999E-2</c:v>
                </c:pt>
                <c:pt idx="836">
                  <c:v>1.2499999999999999E-2</c:v>
                </c:pt>
                <c:pt idx="837">
                  <c:v>1.2620000000000001E-2</c:v>
                </c:pt>
                <c:pt idx="838">
                  <c:v>1.2839999999999999E-2</c:v>
                </c:pt>
                <c:pt idx="839">
                  <c:v>1.3099999999999999E-2</c:v>
                </c:pt>
                <c:pt idx="840">
                  <c:v>1.3099999999999999E-2</c:v>
                </c:pt>
                <c:pt idx="841">
                  <c:v>1.3099999999999999E-2</c:v>
                </c:pt>
                <c:pt idx="842">
                  <c:v>1.299E-2</c:v>
                </c:pt>
                <c:pt idx="843">
                  <c:v>1.3460000000000001E-2</c:v>
                </c:pt>
                <c:pt idx="844">
                  <c:v>1.2950000000000001E-2</c:v>
                </c:pt>
                <c:pt idx="845">
                  <c:v>1.2519999999999998E-2</c:v>
                </c:pt>
                <c:pt idx="846">
                  <c:v>1.2540000000000001E-2</c:v>
                </c:pt>
                <c:pt idx="847">
                  <c:v>1.2540000000000001E-2</c:v>
                </c:pt>
                <c:pt idx="848">
                  <c:v>1.2540000000000001E-2</c:v>
                </c:pt>
                <c:pt idx="849">
                  <c:v>1.2540000000000001E-2</c:v>
                </c:pt>
                <c:pt idx="850">
                  <c:v>1.2620000000000001E-2</c:v>
                </c:pt>
                <c:pt idx="851">
                  <c:v>1.2620000000000001E-2</c:v>
                </c:pt>
                <c:pt idx="852">
                  <c:v>1.2499999999999999E-2</c:v>
                </c:pt>
                <c:pt idx="853">
                  <c:v>1.2509999999999999E-2</c:v>
                </c:pt>
                <c:pt idx="854">
                  <c:v>1.2509999999999999E-2</c:v>
                </c:pt>
                <c:pt idx="855">
                  <c:v>1.2509999999999999E-2</c:v>
                </c:pt>
                <c:pt idx="856">
                  <c:v>1.2499999999999999E-2</c:v>
                </c:pt>
                <c:pt idx="857">
                  <c:v>1.2499999999999999E-2</c:v>
                </c:pt>
                <c:pt idx="858">
                  <c:v>1.2499999999999999E-2</c:v>
                </c:pt>
                <c:pt idx="859">
                  <c:v>1.2499999999999999E-2</c:v>
                </c:pt>
                <c:pt idx="860">
                  <c:v>1.2499999999999999E-2</c:v>
                </c:pt>
                <c:pt idx="861">
                  <c:v>1.2499999999999999E-2</c:v>
                </c:pt>
                <c:pt idx="862">
                  <c:v>1.2499999999999999E-2</c:v>
                </c:pt>
                <c:pt idx="863">
                  <c:v>1.2499999999999999E-2</c:v>
                </c:pt>
                <c:pt idx="864">
                  <c:v>1.2499999999999999E-2</c:v>
                </c:pt>
                <c:pt idx="865">
                  <c:v>1.2499999999999999E-2</c:v>
                </c:pt>
                <c:pt idx="866">
                  <c:v>1.2499999999999999E-2</c:v>
                </c:pt>
                <c:pt idx="867">
                  <c:v>1.255E-2</c:v>
                </c:pt>
                <c:pt idx="868">
                  <c:v>1.255E-2</c:v>
                </c:pt>
                <c:pt idx="869">
                  <c:v>1.255E-2</c:v>
                </c:pt>
                <c:pt idx="870">
                  <c:v>1.2499999999999999E-2</c:v>
                </c:pt>
                <c:pt idx="871">
                  <c:v>1.2499999999999999E-2</c:v>
                </c:pt>
                <c:pt idx="872">
                  <c:v>1.2589999999999999E-2</c:v>
                </c:pt>
                <c:pt idx="873">
                  <c:v>1.2579999999999999E-2</c:v>
                </c:pt>
                <c:pt idx="874">
                  <c:v>1.3019999999999999E-2</c:v>
                </c:pt>
                <c:pt idx="875">
                  <c:v>1.3019999999999999E-2</c:v>
                </c:pt>
                <c:pt idx="876">
                  <c:v>1.3019999999999999E-2</c:v>
                </c:pt>
                <c:pt idx="877">
                  <c:v>1.2780000000000001E-2</c:v>
                </c:pt>
                <c:pt idx="878">
                  <c:v>1.2800000000000001E-2</c:v>
                </c:pt>
                <c:pt idx="879">
                  <c:v>1.2919999999999999E-2</c:v>
                </c:pt>
                <c:pt idx="880">
                  <c:v>1.2509999999999999E-2</c:v>
                </c:pt>
                <c:pt idx="881">
                  <c:v>1.2499999999999999E-2</c:v>
                </c:pt>
                <c:pt idx="882">
                  <c:v>1.2499999999999999E-2</c:v>
                </c:pt>
                <c:pt idx="883">
                  <c:v>1.2499999999999999E-2</c:v>
                </c:pt>
                <c:pt idx="884">
                  <c:v>1.2499999999999999E-2</c:v>
                </c:pt>
                <c:pt idx="885">
                  <c:v>1.2499999999999999E-2</c:v>
                </c:pt>
                <c:pt idx="886">
                  <c:v>1.2499999999999999E-2</c:v>
                </c:pt>
                <c:pt idx="887">
                  <c:v>1.2499999999999999E-2</c:v>
                </c:pt>
                <c:pt idx="888">
                  <c:v>1.2499999999999999E-2</c:v>
                </c:pt>
                <c:pt idx="889">
                  <c:v>1.2499999999999999E-2</c:v>
                </c:pt>
                <c:pt idx="890">
                  <c:v>1.2499999999999999E-2</c:v>
                </c:pt>
                <c:pt idx="891">
                  <c:v>1.2499999999999999E-2</c:v>
                </c:pt>
                <c:pt idx="892">
                  <c:v>1.2499999999999999E-2</c:v>
                </c:pt>
                <c:pt idx="893">
                  <c:v>1.2530000000000001E-2</c:v>
                </c:pt>
                <c:pt idx="894">
                  <c:v>1.2499999999999999E-2</c:v>
                </c:pt>
                <c:pt idx="895">
                  <c:v>1.2499999999999999E-2</c:v>
                </c:pt>
                <c:pt idx="896">
                  <c:v>1.2499999999999999E-2</c:v>
                </c:pt>
                <c:pt idx="897">
                  <c:v>1.2499999999999999E-2</c:v>
                </c:pt>
                <c:pt idx="898">
                  <c:v>1.257E-2</c:v>
                </c:pt>
                <c:pt idx="899">
                  <c:v>1.2499999999999999E-2</c:v>
                </c:pt>
                <c:pt idx="900">
                  <c:v>1.2499999999999999E-2</c:v>
                </c:pt>
                <c:pt idx="901">
                  <c:v>1.2499999999999999E-2</c:v>
                </c:pt>
                <c:pt idx="902">
                  <c:v>1.2540000000000001E-2</c:v>
                </c:pt>
                <c:pt idx="903">
                  <c:v>1.2540000000000001E-2</c:v>
                </c:pt>
                <c:pt idx="904">
                  <c:v>1.2540000000000001E-2</c:v>
                </c:pt>
                <c:pt idx="905">
                  <c:v>1.2499999999999999E-2</c:v>
                </c:pt>
                <c:pt idx="906">
                  <c:v>1.2499999999999999E-2</c:v>
                </c:pt>
                <c:pt idx="907">
                  <c:v>1.2499999999999999E-2</c:v>
                </c:pt>
                <c:pt idx="908">
                  <c:v>1.2499999999999999E-2</c:v>
                </c:pt>
                <c:pt idx="909">
                  <c:v>1.2499999999999999E-2</c:v>
                </c:pt>
                <c:pt idx="910">
                  <c:v>1.2499999999999999E-2</c:v>
                </c:pt>
                <c:pt idx="911">
                  <c:v>1.2499999999999999E-2</c:v>
                </c:pt>
                <c:pt idx="912">
                  <c:v>1.2499999999999999E-2</c:v>
                </c:pt>
                <c:pt idx="913">
                  <c:v>1.2499999999999999E-2</c:v>
                </c:pt>
                <c:pt idx="914">
                  <c:v>1.2589999999999999E-2</c:v>
                </c:pt>
                <c:pt idx="915">
                  <c:v>1.2610000000000001E-2</c:v>
                </c:pt>
                <c:pt idx="916">
                  <c:v>1.2579999999999999E-2</c:v>
                </c:pt>
                <c:pt idx="917">
                  <c:v>1.2579999999999999E-2</c:v>
                </c:pt>
                <c:pt idx="918">
                  <c:v>1.2579999999999999E-2</c:v>
                </c:pt>
                <c:pt idx="919">
                  <c:v>1.2499999999999999E-2</c:v>
                </c:pt>
                <c:pt idx="920">
                  <c:v>1.2530000000000001E-2</c:v>
                </c:pt>
                <c:pt idx="921">
                  <c:v>1.2499999999999999E-2</c:v>
                </c:pt>
                <c:pt idx="922">
                  <c:v>1.2530000000000001E-2</c:v>
                </c:pt>
                <c:pt idx="923">
                  <c:v>1.264E-2</c:v>
                </c:pt>
                <c:pt idx="924">
                  <c:v>1.264E-2</c:v>
                </c:pt>
                <c:pt idx="925">
                  <c:v>1.264E-2</c:v>
                </c:pt>
                <c:pt idx="926">
                  <c:v>1.2790000000000001E-2</c:v>
                </c:pt>
                <c:pt idx="927">
                  <c:v>1.2599999999999998E-2</c:v>
                </c:pt>
                <c:pt idx="928">
                  <c:v>1.027E-2</c:v>
                </c:pt>
                <c:pt idx="929">
                  <c:v>1.0039999999999999E-2</c:v>
                </c:pt>
                <c:pt idx="930">
                  <c:v>1.0039999999999999E-2</c:v>
                </c:pt>
                <c:pt idx="931">
                  <c:v>1.0039999999999999E-2</c:v>
                </c:pt>
                <c:pt idx="932">
                  <c:v>1.0039999999999999E-2</c:v>
                </c:pt>
                <c:pt idx="933">
                  <c:v>0.01</c:v>
                </c:pt>
                <c:pt idx="934">
                  <c:v>0.01</c:v>
                </c:pt>
                <c:pt idx="935">
                  <c:v>0.01</c:v>
                </c:pt>
                <c:pt idx="936">
                  <c:v>0.01</c:v>
                </c:pt>
                <c:pt idx="937">
                  <c:v>0.01</c:v>
                </c:pt>
                <c:pt idx="938">
                  <c:v>0.01</c:v>
                </c:pt>
                <c:pt idx="939">
                  <c:v>0.01</c:v>
                </c:pt>
                <c:pt idx="940">
                  <c:v>0.01</c:v>
                </c:pt>
                <c:pt idx="941">
                  <c:v>0.01</c:v>
                </c:pt>
                <c:pt idx="942">
                  <c:v>0.01</c:v>
                </c:pt>
                <c:pt idx="943">
                  <c:v>0.01</c:v>
                </c:pt>
                <c:pt idx="944">
                  <c:v>1.0060000000000001E-2</c:v>
                </c:pt>
                <c:pt idx="945">
                  <c:v>1.0060000000000001E-2</c:v>
                </c:pt>
                <c:pt idx="946">
                  <c:v>1.0060000000000001E-2</c:v>
                </c:pt>
                <c:pt idx="947">
                  <c:v>0.01</c:v>
                </c:pt>
                <c:pt idx="948">
                  <c:v>0.01</c:v>
                </c:pt>
                <c:pt idx="949">
                  <c:v>0.01</c:v>
                </c:pt>
                <c:pt idx="950">
                  <c:v>1.0070000000000001E-2</c:v>
                </c:pt>
                <c:pt idx="951">
                  <c:v>1.0060000000000001E-2</c:v>
                </c:pt>
                <c:pt idx="952">
                  <c:v>1.0060000000000001E-2</c:v>
                </c:pt>
                <c:pt idx="953">
                  <c:v>1.0060000000000001E-2</c:v>
                </c:pt>
                <c:pt idx="954">
                  <c:v>1.0209999999999999E-2</c:v>
                </c:pt>
                <c:pt idx="955">
                  <c:v>1.0160000000000001E-2</c:v>
                </c:pt>
                <c:pt idx="956">
                  <c:v>1.0330000000000001E-2</c:v>
                </c:pt>
                <c:pt idx="957">
                  <c:v>1.0199999999999999E-2</c:v>
                </c:pt>
                <c:pt idx="958">
                  <c:v>1.0189999999999999E-2</c:v>
                </c:pt>
                <c:pt idx="959">
                  <c:v>1.0189999999999999E-2</c:v>
                </c:pt>
                <c:pt idx="960">
                  <c:v>1.0189999999999999E-2</c:v>
                </c:pt>
                <c:pt idx="961">
                  <c:v>1.0209999999999999E-2</c:v>
                </c:pt>
                <c:pt idx="962">
                  <c:v>1.0310000000000001E-2</c:v>
                </c:pt>
                <c:pt idx="963">
                  <c:v>1.0289999999999999E-2</c:v>
                </c:pt>
                <c:pt idx="964">
                  <c:v>0.01</c:v>
                </c:pt>
                <c:pt idx="965">
                  <c:v>0.01</c:v>
                </c:pt>
                <c:pt idx="966">
                  <c:v>0.01</c:v>
                </c:pt>
                <c:pt idx="967">
                  <c:v>0.01</c:v>
                </c:pt>
                <c:pt idx="968">
                  <c:v>0.01</c:v>
                </c:pt>
                <c:pt idx="969">
                  <c:v>1.001E-2</c:v>
                </c:pt>
                <c:pt idx="970">
                  <c:v>0.01</c:v>
                </c:pt>
                <c:pt idx="971">
                  <c:v>1.001E-2</c:v>
                </c:pt>
                <c:pt idx="972">
                  <c:v>1.001E-2</c:v>
                </c:pt>
                <c:pt idx="973">
                  <c:v>1.001E-2</c:v>
                </c:pt>
                <c:pt idx="974">
                  <c:v>1.001E-2</c:v>
                </c:pt>
                <c:pt idx="975">
                  <c:v>0.01</c:v>
                </c:pt>
                <c:pt idx="976">
                  <c:v>0.01</c:v>
                </c:pt>
                <c:pt idx="977">
                  <c:v>0.01</c:v>
                </c:pt>
                <c:pt idx="978">
                  <c:v>0.01</c:v>
                </c:pt>
                <c:pt idx="979">
                  <c:v>0.01</c:v>
                </c:pt>
                <c:pt idx="980">
                  <c:v>0.01</c:v>
                </c:pt>
                <c:pt idx="981">
                  <c:v>0.01</c:v>
                </c:pt>
                <c:pt idx="982">
                  <c:v>0.01</c:v>
                </c:pt>
                <c:pt idx="983">
                  <c:v>0.01</c:v>
                </c:pt>
                <c:pt idx="984">
                  <c:v>1.001E-2</c:v>
                </c:pt>
                <c:pt idx="985">
                  <c:v>0.01</c:v>
                </c:pt>
                <c:pt idx="986">
                  <c:v>1.0029999999999999E-2</c:v>
                </c:pt>
                <c:pt idx="987">
                  <c:v>1.0029999999999999E-2</c:v>
                </c:pt>
                <c:pt idx="988">
                  <c:v>1.0029999999999999E-2</c:v>
                </c:pt>
                <c:pt idx="989">
                  <c:v>0.01</c:v>
                </c:pt>
                <c:pt idx="990">
                  <c:v>0.01</c:v>
                </c:pt>
                <c:pt idx="991">
                  <c:v>0.01</c:v>
                </c:pt>
                <c:pt idx="992">
                  <c:v>0.01</c:v>
                </c:pt>
                <c:pt idx="993">
                  <c:v>0.01</c:v>
                </c:pt>
                <c:pt idx="994">
                  <c:v>0.01</c:v>
                </c:pt>
                <c:pt idx="995">
                  <c:v>0.01</c:v>
                </c:pt>
                <c:pt idx="996">
                  <c:v>0.01</c:v>
                </c:pt>
                <c:pt idx="997">
                  <c:v>0.01</c:v>
                </c:pt>
                <c:pt idx="998">
                  <c:v>0.01</c:v>
                </c:pt>
                <c:pt idx="999">
                  <c:v>0.01</c:v>
                </c:pt>
              </c:numCache>
            </c:numRef>
          </c:val>
          <c:smooth val="0"/>
          <c:extLst>
            <c:ext xmlns:c16="http://schemas.microsoft.com/office/drawing/2014/chart" uri="{C3380CC4-5D6E-409C-BE32-E72D297353CC}">
              <c16:uniqueId val="{00000002-90BA-134F-A94D-4008F7326B36}"/>
            </c:ext>
          </c:extLst>
        </c:ser>
        <c:dLbls>
          <c:showLegendKey val="0"/>
          <c:showVal val="0"/>
          <c:showCatName val="0"/>
          <c:showSerName val="0"/>
          <c:showPercent val="0"/>
          <c:showBubbleSize val="0"/>
        </c:dLbls>
        <c:smooth val="0"/>
        <c:axId val="58325728"/>
        <c:axId val="1"/>
      </c:lineChart>
      <c:dateAx>
        <c:axId val="58325728"/>
        <c:scaling>
          <c:orientation val="minMax"/>
        </c:scaling>
        <c:delete val="0"/>
        <c:axPos val="b"/>
        <c:numFmt formatCode="m/d/yy"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Offset val="100"/>
        <c:baseTimeUnit val="days"/>
      </c:dateAx>
      <c:valAx>
        <c:axId val="1"/>
        <c:scaling>
          <c:orientation val="minMax"/>
        </c:scaling>
        <c:delete val="0"/>
        <c:axPos val="l"/>
        <c:numFmt formatCode="General" sourceLinked="0"/>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8325728"/>
        <c:crosses val="autoZero"/>
        <c:crossBetween val="between"/>
      </c:valAx>
      <c:spPr>
        <a:noFill/>
        <a:ln w="12700">
          <a:solidFill>
            <a:srgbClr val="808080"/>
          </a:solidFill>
          <a:prstDash val="solid"/>
        </a:ln>
      </c:spPr>
    </c:plotArea>
    <c:legend>
      <c:legendPos val="b"/>
      <c:overlay val="0"/>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217508A-1998-CE4C-8B90-B5BEAC068FE6}">
  <sheetPr>
    <tabColor theme="1" tint="0.14999847407452621"/>
  </sheetPr>
  <sheetViews>
    <sheetView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385DFFB-353D-2545-96C1-41455578FD8E}">
  <sheetPr>
    <tabColor theme="1" tint="0.14999847407452621"/>
  </sheetPr>
  <sheetViews>
    <sheetView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A9DA8B-8AA3-B541-9374-8E9F053B8DB2}">
  <sheetPr>
    <tabColor rgb="FF002060"/>
  </sheetPr>
  <sheetViews>
    <sheetView zoomScale="135"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hyperlink" Target="http://en.wikipedia.org/wiki/File:Bank_Al-Maghrib_(logo).jpg"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http://en.wikipedia.org/wiki/File:Bank_Al-Maghrib_(logo).jpg" TargetMode="External"/><Relationship Id="rId1" Type="http://schemas.openxmlformats.org/officeDocument/2006/relationships/image" Target="../media/image2.jpg"/><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hyperlink" Target="http://en.wikipedia.org/wiki/File:Bank_Al-Maghrib_(logo).jpg" TargetMode="External"/><Relationship Id="rId1" Type="http://schemas.openxmlformats.org/officeDocument/2006/relationships/image" Target="../media/image2.jpg"/><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image" Target="../media/image3.png"/><Relationship Id="rId6" Type="http://schemas.openxmlformats.org/officeDocument/2006/relationships/chart" Target="../charts/chart11.xml"/><Relationship Id="rId5" Type="http://schemas.openxmlformats.org/officeDocument/2006/relationships/chart" Target="../charts/chart10.xml"/><Relationship Id="rId10" Type="http://schemas.openxmlformats.org/officeDocument/2006/relationships/hyperlink" Target="http://en.wikipedia.org/wiki/File:Bank_Al-Maghrib_(logo).jpg" TargetMode="External"/><Relationship Id="rId4" Type="http://schemas.openxmlformats.org/officeDocument/2006/relationships/chart" Target="../charts/chart9.xml"/><Relationship Id="rId9" Type="http://schemas.openxmlformats.org/officeDocument/2006/relationships/image" Target="../media/image2.jpg"/></Relationships>
</file>

<file path=xl/drawings/_rels/drawing7.xml.rels><?xml version="1.0" encoding="UTF-8" standalone="yes"?>
<Relationships xmlns="http://schemas.openxmlformats.org/package/2006/relationships"><Relationship Id="rId2" Type="http://schemas.openxmlformats.org/officeDocument/2006/relationships/hyperlink" Target="http://en.wikipedia.org/wiki/File:Bank_Al-Maghrib_(logo).jpg" TargetMode="External"/><Relationship Id="rId1" Type="http://schemas.openxmlformats.org/officeDocument/2006/relationships/image" Target="../media/image2.jpg"/></Relationships>
</file>

<file path=xl/drawings/_rels/drawing8.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editAs="oneCell">
    <xdr:from>
      <xdr:col>18</xdr:col>
      <xdr:colOff>175521</xdr:colOff>
      <xdr:row>1</xdr:row>
      <xdr:rowOff>28289</xdr:rowOff>
    </xdr:from>
    <xdr:to>
      <xdr:col>21</xdr:col>
      <xdr:colOff>14855</xdr:colOff>
      <xdr:row>6</xdr:row>
      <xdr:rowOff>91807</xdr:rowOff>
    </xdr:to>
    <xdr:pic>
      <xdr:nvPicPr>
        <xdr:cNvPr id="5" name="Picture 4" descr="File:Bank Al-Maghrib (logo).jpg - Wikipedia">
          <a:extLst>
            <a:ext uri="{FF2B5EF4-FFF2-40B4-BE49-F238E27FC236}">
              <a16:creationId xmlns:a16="http://schemas.microsoft.com/office/drawing/2014/main" id="{84EAB75A-97E5-434B-B282-763544E8BAD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8016726" y="242506"/>
          <a:ext cx="2685358" cy="16242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27019</xdr:colOff>
      <xdr:row>27</xdr:row>
      <xdr:rowOff>1586</xdr:rowOff>
    </xdr:from>
    <xdr:to>
      <xdr:col>17</xdr:col>
      <xdr:colOff>1204881</xdr:colOff>
      <xdr:row>38</xdr:row>
      <xdr:rowOff>169642</xdr:rowOff>
    </xdr:to>
    <xdr:pic>
      <xdr:nvPicPr>
        <xdr:cNvPr id="15" name="Picture 14" descr="File:Bank Al-Maghrib (logo).jpg - Wikipedia">
          <a:extLst>
            <a:ext uri="{FF2B5EF4-FFF2-40B4-BE49-F238E27FC236}">
              <a16:creationId xmlns:a16="http://schemas.microsoft.com/office/drawing/2014/main" id="{C3007463-9A6E-0247-9669-40B61363B4B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22887019" y="5581480"/>
          <a:ext cx="3985641" cy="2397311"/>
        </a:xfrm>
        <a:prstGeom prst="rect">
          <a:avLst/>
        </a:prstGeom>
      </xdr:spPr>
    </xdr:pic>
    <xdr:clientData/>
  </xdr:twoCellAnchor>
  <xdr:twoCellAnchor>
    <xdr:from>
      <xdr:col>21</xdr:col>
      <xdr:colOff>477194</xdr:colOff>
      <xdr:row>1</xdr:row>
      <xdr:rowOff>88900</xdr:rowOff>
    </xdr:from>
    <xdr:to>
      <xdr:col>28</xdr:col>
      <xdr:colOff>635000</xdr:colOff>
      <xdr:row>19</xdr:row>
      <xdr:rowOff>8106</xdr:rowOff>
    </xdr:to>
    <xdr:graphicFrame macro="">
      <xdr:nvGraphicFramePr>
        <xdr:cNvPr id="5" name="Chart 4">
          <a:extLst>
            <a:ext uri="{FF2B5EF4-FFF2-40B4-BE49-F238E27FC236}">
              <a16:creationId xmlns:a16="http://schemas.microsoft.com/office/drawing/2014/main" id="{AF44E003-064F-C044-A49D-9D1E907F13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430628</xdr:colOff>
      <xdr:row>19</xdr:row>
      <xdr:rowOff>63500</xdr:rowOff>
    </xdr:from>
    <xdr:to>
      <xdr:col>28</xdr:col>
      <xdr:colOff>698500</xdr:colOff>
      <xdr:row>38</xdr:row>
      <xdr:rowOff>101600</xdr:rowOff>
    </xdr:to>
    <xdr:graphicFrame macro="">
      <xdr:nvGraphicFramePr>
        <xdr:cNvPr id="11" name="Chart 10">
          <a:extLst>
            <a:ext uri="{FF2B5EF4-FFF2-40B4-BE49-F238E27FC236}">
              <a16:creationId xmlns:a16="http://schemas.microsoft.com/office/drawing/2014/main" id="{85DC198C-5708-B448-93CA-ADBC29711A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27021</xdr:colOff>
      <xdr:row>18</xdr:row>
      <xdr:rowOff>96461</xdr:rowOff>
    </xdr:from>
    <xdr:to>
      <xdr:col>17</xdr:col>
      <xdr:colOff>3156300</xdr:colOff>
      <xdr:row>27</xdr:row>
      <xdr:rowOff>149739</xdr:rowOff>
    </xdr:to>
    <xdr:pic>
      <xdr:nvPicPr>
        <xdr:cNvPr id="2" name="Picture 1" descr="File:Bank Al-Maghrib (logo).jpg - Wikipedia">
          <a:extLst>
            <a:ext uri="{FF2B5EF4-FFF2-40B4-BE49-F238E27FC236}">
              <a16:creationId xmlns:a16="http://schemas.microsoft.com/office/drawing/2014/main" id="{C1317919-38C9-9A45-82EC-B990879DD18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6942340" y="3811887"/>
          <a:ext cx="3120957" cy="1877215"/>
        </a:xfrm>
        <a:prstGeom prst="rect">
          <a:avLst/>
        </a:prstGeom>
      </xdr:spPr>
    </xdr:pic>
    <xdr:clientData/>
  </xdr:twoCellAnchor>
  <xdr:twoCellAnchor>
    <xdr:from>
      <xdr:col>20</xdr:col>
      <xdr:colOff>1287455</xdr:colOff>
      <xdr:row>0</xdr:row>
      <xdr:rowOff>179097</xdr:rowOff>
    </xdr:from>
    <xdr:to>
      <xdr:col>24</xdr:col>
      <xdr:colOff>539885</xdr:colOff>
      <xdr:row>18</xdr:row>
      <xdr:rowOff>57501</xdr:rowOff>
    </xdr:to>
    <xdr:graphicFrame macro="">
      <xdr:nvGraphicFramePr>
        <xdr:cNvPr id="3" name="Chart 2">
          <a:extLst>
            <a:ext uri="{FF2B5EF4-FFF2-40B4-BE49-F238E27FC236}">
              <a16:creationId xmlns:a16="http://schemas.microsoft.com/office/drawing/2014/main" id="{1F8AEA44-F790-1640-81A4-976185A9B6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1404</xdr:colOff>
      <xdr:row>0</xdr:row>
      <xdr:rowOff>199308</xdr:rowOff>
    </xdr:from>
    <xdr:to>
      <xdr:col>30</xdr:col>
      <xdr:colOff>1166021</xdr:colOff>
      <xdr:row>18</xdr:row>
      <xdr:rowOff>23670</xdr:rowOff>
    </xdr:to>
    <xdr:graphicFrame macro="">
      <xdr:nvGraphicFramePr>
        <xdr:cNvPr id="4" name="Chart 3">
          <a:extLst>
            <a:ext uri="{FF2B5EF4-FFF2-40B4-BE49-F238E27FC236}">
              <a16:creationId xmlns:a16="http://schemas.microsoft.com/office/drawing/2014/main" id="{F91FA3A0-3CCD-0D44-9A63-D649FA9A3A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absoluteAnchor>
    <xdr:pos x="0" y="0"/>
    <xdr:ext cx="9309100" cy="6070600"/>
    <xdr:graphicFrame macro="">
      <xdr:nvGraphicFramePr>
        <xdr:cNvPr id="2" name="Chart 1">
          <a:extLst>
            <a:ext uri="{FF2B5EF4-FFF2-40B4-BE49-F238E27FC236}">
              <a16:creationId xmlns:a16="http://schemas.microsoft.com/office/drawing/2014/main" id="{6ACE7F0F-FC4B-5444-A55B-32E81F64B94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9309100" cy="6070600"/>
    <xdr:graphicFrame macro="">
      <xdr:nvGraphicFramePr>
        <xdr:cNvPr id="2" name="Chart 1">
          <a:extLst>
            <a:ext uri="{FF2B5EF4-FFF2-40B4-BE49-F238E27FC236}">
              <a16:creationId xmlns:a16="http://schemas.microsoft.com/office/drawing/2014/main" id="{119120BE-0CF6-4F41-A759-18489BF0CC3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twoCellAnchor editAs="oneCell">
    <xdr:from>
      <xdr:col>17</xdr:col>
      <xdr:colOff>31288</xdr:colOff>
      <xdr:row>26</xdr:row>
      <xdr:rowOff>36145</xdr:rowOff>
    </xdr:from>
    <xdr:to>
      <xdr:col>21</xdr:col>
      <xdr:colOff>1374821</xdr:colOff>
      <xdr:row>33</xdr:row>
      <xdr:rowOff>135024</xdr:rowOff>
    </xdr:to>
    <xdr:pic>
      <xdr:nvPicPr>
        <xdr:cNvPr id="2" name="Image 3">
          <a:extLst>
            <a:ext uri="{FF2B5EF4-FFF2-40B4-BE49-F238E27FC236}">
              <a16:creationId xmlns:a16="http://schemas.microsoft.com/office/drawing/2014/main" id="{C9AD6266-18B1-9C42-ABF8-DEE0C390BF1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04688" y="5573345"/>
          <a:ext cx="7078240" cy="1521279"/>
        </a:xfrm>
        <a:prstGeom prst="rect">
          <a:avLst/>
        </a:prstGeom>
      </xdr:spPr>
    </xdr:pic>
    <xdr:clientData/>
  </xdr:twoCellAnchor>
  <xdr:twoCellAnchor>
    <xdr:from>
      <xdr:col>26</xdr:col>
      <xdr:colOff>256650</xdr:colOff>
      <xdr:row>11</xdr:row>
      <xdr:rowOff>141259</xdr:rowOff>
    </xdr:from>
    <xdr:to>
      <xdr:col>33</xdr:col>
      <xdr:colOff>381000</xdr:colOff>
      <xdr:row>33</xdr:row>
      <xdr:rowOff>75547</xdr:rowOff>
    </xdr:to>
    <xdr:graphicFrame macro="">
      <xdr:nvGraphicFramePr>
        <xdr:cNvPr id="3" name="Graphique 8">
          <a:extLst>
            <a:ext uri="{FF2B5EF4-FFF2-40B4-BE49-F238E27FC236}">
              <a16:creationId xmlns:a16="http://schemas.microsoft.com/office/drawing/2014/main" id="{A3531EC4-C033-AA48-A5AE-C1E55ED5BE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525038</xdr:colOff>
      <xdr:row>34</xdr:row>
      <xdr:rowOff>61021</xdr:rowOff>
    </xdr:from>
    <xdr:to>
      <xdr:col>23</xdr:col>
      <xdr:colOff>265545</xdr:colOff>
      <xdr:row>63</xdr:row>
      <xdr:rowOff>77439</xdr:rowOff>
    </xdr:to>
    <xdr:graphicFrame macro="">
      <xdr:nvGraphicFramePr>
        <xdr:cNvPr id="4" name="Chart 3">
          <a:extLst>
            <a:ext uri="{FF2B5EF4-FFF2-40B4-BE49-F238E27FC236}">
              <a16:creationId xmlns:a16="http://schemas.microsoft.com/office/drawing/2014/main" id="{1A840186-673C-4547-ACA7-D27BE9C05D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165100</xdr:colOff>
      <xdr:row>72</xdr:row>
      <xdr:rowOff>8465</xdr:rowOff>
    </xdr:from>
    <xdr:to>
      <xdr:col>23</xdr:col>
      <xdr:colOff>1151467</xdr:colOff>
      <xdr:row>93</xdr:row>
      <xdr:rowOff>118534</xdr:rowOff>
    </xdr:to>
    <xdr:graphicFrame macro="">
      <xdr:nvGraphicFramePr>
        <xdr:cNvPr id="5" name="Chart 4">
          <a:extLst>
            <a:ext uri="{FF2B5EF4-FFF2-40B4-BE49-F238E27FC236}">
              <a16:creationId xmlns:a16="http://schemas.microsoft.com/office/drawing/2014/main" id="{23D8C662-575F-9A4F-832A-1DF42CCA20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592668</xdr:colOff>
      <xdr:row>95</xdr:row>
      <xdr:rowOff>84666</xdr:rowOff>
    </xdr:from>
    <xdr:to>
      <xdr:col>23</xdr:col>
      <xdr:colOff>1286934</xdr:colOff>
      <xdr:row>119</xdr:row>
      <xdr:rowOff>186267</xdr:rowOff>
    </xdr:to>
    <xdr:graphicFrame macro="">
      <xdr:nvGraphicFramePr>
        <xdr:cNvPr id="6" name="Chart 5">
          <a:extLst>
            <a:ext uri="{FF2B5EF4-FFF2-40B4-BE49-F238E27FC236}">
              <a16:creationId xmlns:a16="http://schemas.microsoft.com/office/drawing/2014/main" id="{B6ACEE7C-2008-6D44-B934-58BE7BA822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207432</xdr:colOff>
      <xdr:row>71</xdr:row>
      <xdr:rowOff>114301</xdr:rowOff>
    </xdr:from>
    <xdr:to>
      <xdr:col>34</xdr:col>
      <xdr:colOff>778933</xdr:colOff>
      <xdr:row>102</xdr:row>
      <xdr:rowOff>0</xdr:rowOff>
    </xdr:to>
    <xdr:graphicFrame macro="">
      <xdr:nvGraphicFramePr>
        <xdr:cNvPr id="7" name="Chart 6">
          <a:extLst>
            <a:ext uri="{FF2B5EF4-FFF2-40B4-BE49-F238E27FC236}">
              <a16:creationId xmlns:a16="http://schemas.microsoft.com/office/drawing/2014/main" id="{B9F4EA42-ADC0-1E44-B780-99A7FF9679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211666</xdr:colOff>
      <xdr:row>107</xdr:row>
      <xdr:rowOff>0</xdr:rowOff>
    </xdr:from>
    <xdr:to>
      <xdr:col>32</xdr:col>
      <xdr:colOff>761999</xdr:colOff>
      <xdr:row>127</xdr:row>
      <xdr:rowOff>50800</xdr:rowOff>
    </xdr:to>
    <xdr:graphicFrame macro="">
      <xdr:nvGraphicFramePr>
        <xdr:cNvPr id="8" name="Chart 7">
          <a:extLst>
            <a:ext uri="{FF2B5EF4-FFF2-40B4-BE49-F238E27FC236}">
              <a16:creationId xmlns:a16="http://schemas.microsoft.com/office/drawing/2014/main" id="{C98993C0-C207-3249-B7C4-BC4C628103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682101</xdr:colOff>
      <xdr:row>44</xdr:row>
      <xdr:rowOff>123831</xdr:rowOff>
    </xdr:from>
    <xdr:to>
      <xdr:col>30</xdr:col>
      <xdr:colOff>465667</xdr:colOff>
      <xdr:row>63</xdr:row>
      <xdr:rowOff>160867</xdr:rowOff>
    </xdr:to>
    <xdr:graphicFrame macro="">
      <xdr:nvGraphicFramePr>
        <xdr:cNvPr id="9" name="Chart 8">
          <a:extLst>
            <a:ext uri="{FF2B5EF4-FFF2-40B4-BE49-F238E27FC236}">
              <a16:creationId xmlns:a16="http://schemas.microsoft.com/office/drawing/2014/main" id="{A8A3A4DC-06F7-2C42-8711-2FA80FF7D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87588</xdr:colOff>
      <xdr:row>0</xdr:row>
      <xdr:rowOff>216358</xdr:rowOff>
    </xdr:from>
    <xdr:to>
      <xdr:col>1</xdr:col>
      <xdr:colOff>427792</xdr:colOff>
      <xdr:row>4</xdr:row>
      <xdr:rowOff>175172</xdr:rowOff>
    </xdr:to>
    <xdr:pic>
      <xdr:nvPicPr>
        <xdr:cNvPr id="10" name="Picture 9" descr="File:Bank Al-Maghrib (logo).jpg - Wikipedia">
          <a:extLst>
            <a:ext uri="{FF2B5EF4-FFF2-40B4-BE49-F238E27FC236}">
              <a16:creationId xmlns:a16="http://schemas.microsoft.com/office/drawing/2014/main" id="{F3C0BA2D-E212-F646-9591-389E2FE1C6B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837473B0-CC2E-450A-ABE3-18F120FF3D39}">
              <a1611:picAttrSrcUrl xmlns:a1611="http://schemas.microsoft.com/office/drawing/2016/11/main" r:id="rId10"/>
            </a:ext>
          </a:extLst>
        </a:blip>
        <a:stretch>
          <a:fillRect/>
        </a:stretch>
      </xdr:blipFill>
      <xdr:spPr>
        <a:xfrm>
          <a:off x="87588" y="216358"/>
          <a:ext cx="1303652" cy="79088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343408</xdr:colOff>
      <xdr:row>3</xdr:row>
      <xdr:rowOff>171371</xdr:rowOff>
    </xdr:to>
    <xdr:pic>
      <xdr:nvPicPr>
        <xdr:cNvPr id="2" name="Picture 1" descr="File:Bank Al-Maghrib (logo).jpg - Wikipedia">
          <a:extLst>
            <a:ext uri="{FF2B5EF4-FFF2-40B4-BE49-F238E27FC236}">
              <a16:creationId xmlns:a16="http://schemas.microsoft.com/office/drawing/2014/main" id="{3C3EED87-997F-AF44-9BC8-B6FD156575C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0"/>
          <a:ext cx="1303652" cy="79088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565150</xdr:colOff>
      <xdr:row>630</xdr:row>
      <xdr:rowOff>69850</xdr:rowOff>
    </xdr:from>
    <xdr:to>
      <xdr:col>13</xdr:col>
      <xdr:colOff>184150</xdr:colOff>
      <xdr:row>643</xdr:row>
      <xdr:rowOff>171450</xdr:rowOff>
    </xdr:to>
    <xdr:graphicFrame macro="">
      <xdr:nvGraphicFramePr>
        <xdr:cNvPr id="2" name="Chart 1">
          <a:extLst>
            <a:ext uri="{FF2B5EF4-FFF2-40B4-BE49-F238E27FC236}">
              <a16:creationId xmlns:a16="http://schemas.microsoft.com/office/drawing/2014/main" id="{AAC0C7D4-D9F4-C549-B22F-4A04F2D30D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565150</xdr:colOff>
      <xdr:row>577</xdr:row>
      <xdr:rowOff>69850</xdr:rowOff>
    </xdr:from>
    <xdr:to>
      <xdr:col>13</xdr:col>
      <xdr:colOff>184150</xdr:colOff>
      <xdr:row>590</xdr:row>
      <xdr:rowOff>171450</xdr:rowOff>
    </xdr:to>
    <xdr:graphicFrame macro="">
      <xdr:nvGraphicFramePr>
        <xdr:cNvPr id="3" name="Chart 2">
          <a:extLst>
            <a:ext uri="{FF2B5EF4-FFF2-40B4-BE49-F238E27FC236}">
              <a16:creationId xmlns:a16="http://schemas.microsoft.com/office/drawing/2014/main" id="{60D1510D-7C7A-8146-A669-49D1F87171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247650</xdr:colOff>
      <xdr:row>908</xdr:row>
      <xdr:rowOff>44450</xdr:rowOff>
    </xdr:from>
    <xdr:to>
      <xdr:col>9</xdr:col>
      <xdr:colOff>692150</xdr:colOff>
      <xdr:row>921</xdr:row>
      <xdr:rowOff>146050</xdr:rowOff>
    </xdr:to>
    <xdr:graphicFrame macro="">
      <xdr:nvGraphicFramePr>
        <xdr:cNvPr id="4" name="Chart 3">
          <a:extLst>
            <a:ext uri="{FF2B5EF4-FFF2-40B4-BE49-F238E27FC236}">
              <a16:creationId xmlns:a16="http://schemas.microsoft.com/office/drawing/2014/main" id="{D6F8A9E5-5DCE-D74F-9885-B0ACD105F8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absoluteAnchor>
    <xdr:pos x="0" y="0"/>
    <xdr:ext cx="9310077" cy="6076462"/>
    <xdr:graphicFrame macro="">
      <xdr:nvGraphicFramePr>
        <xdr:cNvPr id="2" name="Chart 1">
          <a:extLst>
            <a:ext uri="{FF2B5EF4-FFF2-40B4-BE49-F238E27FC236}">
              <a16:creationId xmlns:a16="http://schemas.microsoft.com/office/drawing/2014/main" id="{A2DD0218-B7EB-2D4C-BFED-7793C5DA2FE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oussef.Louraoui/Desktop/BAM/Construction%20courbe%20de%20taux%20pour%20indice%20mone&#769;taire%20-%20MONIA/Dernie&#768;res%20versions%20/MONIA%20automated%20forward%20methodology%20model%20duplicated%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IA automated calculation"/>
      <sheetName val="TMIB calculation"/>
      <sheetName val="Données courbe"/>
      <sheetName val="Risque de la transition"/>
      <sheetName val="Courbe MONIA"/>
      <sheetName val="Courbe MONIA forward"/>
      <sheetName val="Courbe MONIA superposée"/>
      <sheetName val="Courbe MONIA fusionnée"/>
    </sheetNames>
    <sheetDataSet>
      <sheetData sheetId="0"/>
      <sheetData sheetId="1">
        <row r="4">
          <cell r="A4">
            <v>43979</v>
          </cell>
          <cell r="B4">
            <v>0.02</v>
          </cell>
        </row>
        <row r="5">
          <cell r="A5">
            <v>43978</v>
          </cell>
          <cell r="B5">
            <v>0.02</v>
          </cell>
        </row>
        <row r="6">
          <cell r="A6">
            <v>43977</v>
          </cell>
          <cell r="B6">
            <v>0.02</v>
          </cell>
        </row>
        <row r="7">
          <cell r="A7">
            <v>43976</v>
          </cell>
          <cell r="B7">
            <v>0.02</v>
          </cell>
        </row>
        <row r="8">
          <cell r="A8">
            <v>43975</v>
          </cell>
          <cell r="B8">
            <v>0.02</v>
          </cell>
        </row>
        <row r="9">
          <cell r="A9">
            <v>43974</v>
          </cell>
          <cell r="B9">
            <v>0.02</v>
          </cell>
        </row>
        <row r="10">
          <cell r="A10">
            <v>43973</v>
          </cell>
          <cell r="B10">
            <v>0.02</v>
          </cell>
        </row>
        <row r="11">
          <cell r="A11">
            <v>43972</v>
          </cell>
          <cell r="B11">
            <v>0.02</v>
          </cell>
        </row>
        <row r="12">
          <cell r="A12">
            <v>43971</v>
          </cell>
          <cell r="B12">
            <v>0.02</v>
          </cell>
        </row>
        <row r="13">
          <cell r="A13">
            <v>43970</v>
          </cell>
          <cell r="B13">
            <v>0.02</v>
          </cell>
        </row>
        <row r="14">
          <cell r="A14">
            <v>43969</v>
          </cell>
          <cell r="B14">
            <v>0.02</v>
          </cell>
        </row>
        <row r="15">
          <cell r="A15">
            <v>43968</v>
          </cell>
          <cell r="B15">
            <v>2.0029999999999999E-2</v>
          </cell>
        </row>
        <row r="16">
          <cell r="A16">
            <v>43967</v>
          </cell>
          <cell r="B16">
            <v>2.0029999999999999E-2</v>
          </cell>
        </row>
        <row r="17">
          <cell r="A17">
            <v>43966</v>
          </cell>
          <cell r="B17">
            <v>2.0029999999999999E-2</v>
          </cell>
        </row>
        <row r="18">
          <cell r="A18">
            <v>43965</v>
          </cell>
          <cell r="B18">
            <v>0.02</v>
          </cell>
        </row>
        <row r="19">
          <cell r="A19">
            <v>43964</v>
          </cell>
          <cell r="B19">
            <v>2.001E-2</v>
          </cell>
        </row>
        <row r="20">
          <cell r="A20">
            <v>43963</v>
          </cell>
          <cell r="B20">
            <v>0.02</v>
          </cell>
        </row>
        <row r="21">
          <cell r="A21">
            <v>43962</v>
          </cell>
          <cell r="B21">
            <v>0.02</v>
          </cell>
        </row>
        <row r="22">
          <cell r="A22">
            <v>43961</v>
          </cell>
          <cell r="B22">
            <v>0.02</v>
          </cell>
        </row>
        <row r="23">
          <cell r="A23">
            <v>43960</v>
          </cell>
          <cell r="B23">
            <v>0.02</v>
          </cell>
        </row>
        <row r="24">
          <cell r="A24">
            <v>43959</v>
          </cell>
          <cell r="B24">
            <v>0.02</v>
          </cell>
        </row>
        <row r="25">
          <cell r="A25">
            <v>43958</v>
          </cell>
          <cell r="B25">
            <v>0.02</v>
          </cell>
        </row>
        <row r="26">
          <cell r="A26">
            <v>43957</v>
          </cell>
          <cell r="B26">
            <v>0.02</v>
          </cell>
        </row>
        <row r="27">
          <cell r="A27">
            <v>43956</v>
          </cell>
          <cell r="B27">
            <v>0.02</v>
          </cell>
        </row>
        <row r="28">
          <cell r="A28">
            <v>43955</v>
          </cell>
          <cell r="B28">
            <v>0.02</v>
          </cell>
        </row>
        <row r="29">
          <cell r="A29">
            <v>43954</v>
          </cell>
          <cell r="B29">
            <v>2.001E-2</v>
          </cell>
        </row>
        <row r="30">
          <cell r="A30">
            <v>43953</v>
          </cell>
          <cell r="B30">
            <v>2.001E-2</v>
          </cell>
        </row>
        <row r="31">
          <cell r="A31">
            <v>43952</v>
          </cell>
          <cell r="B31">
            <v>2.001E-2</v>
          </cell>
        </row>
        <row r="32">
          <cell r="A32">
            <v>43951</v>
          </cell>
          <cell r="B32">
            <v>2.001E-2</v>
          </cell>
        </row>
        <row r="33">
          <cell r="A33">
            <v>43950</v>
          </cell>
          <cell r="B33">
            <v>0.02</v>
          </cell>
        </row>
        <row r="34">
          <cell r="A34">
            <v>43949</v>
          </cell>
          <cell r="B34">
            <v>2.001E-2</v>
          </cell>
        </row>
        <row r="35">
          <cell r="A35">
            <v>43948</v>
          </cell>
          <cell r="B35">
            <v>0.02</v>
          </cell>
        </row>
        <row r="36">
          <cell r="A36">
            <v>43947</v>
          </cell>
          <cell r="B36">
            <v>0.02</v>
          </cell>
        </row>
        <row r="37">
          <cell r="A37">
            <v>43946</v>
          </cell>
          <cell r="B37">
            <v>0.02</v>
          </cell>
        </row>
        <row r="38">
          <cell r="A38">
            <v>43945</v>
          </cell>
          <cell r="B38">
            <v>0.02</v>
          </cell>
        </row>
        <row r="39">
          <cell r="A39">
            <v>43944</v>
          </cell>
          <cell r="B39">
            <v>0.02</v>
          </cell>
        </row>
        <row r="40">
          <cell r="A40">
            <v>43943</v>
          </cell>
          <cell r="B40">
            <v>2.0289999999999999E-2</v>
          </cell>
        </row>
        <row r="41">
          <cell r="A41">
            <v>43942</v>
          </cell>
          <cell r="B41">
            <v>2.0310000000000002E-2</v>
          </cell>
        </row>
        <row r="42">
          <cell r="A42">
            <v>43941</v>
          </cell>
          <cell r="B42">
            <v>2.0209999999999999E-2</v>
          </cell>
        </row>
        <row r="43">
          <cell r="A43">
            <v>43940</v>
          </cell>
          <cell r="B43">
            <v>2.019E-2</v>
          </cell>
        </row>
        <row r="44">
          <cell r="A44">
            <v>43939</v>
          </cell>
          <cell r="B44">
            <v>2.019E-2</v>
          </cell>
        </row>
        <row r="45">
          <cell r="A45">
            <v>43938</v>
          </cell>
          <cell r="B45">
            <v>2.019E-2</v>
          </cell>
        </row>
        <row r="46">
          <cell r="A46">
            <v>43937</v>
          </cell>
          <cell r="B46">
            <v>2.0199999999999999E-2</v>
          </cell>
        </row>
        <row r="47">
          <cell r="A47">
            <v>43936</v>
          </cell>
          <cell r="B47">
            <v>2.0330000000000001E-2</v>
          </cell>
        </row>
        <row r="48">
          <cell r="A48">
            <v>43935</v>
          </cell>
          <cell r="B48">
            <v>2.0160000000000001E-2</v>
          </cell>
        </row>
        <row r="49">
          <cell r="A49">
            <v>43934</v>
          </cell>
          <cell r="B49">
            <v>2.0209999999999999E-2</v>
          </cell>
        </row>
        <row r="50">
          <cell r="A50">
            <v>43933</v>
          </cell>
          <cell r="B50">
            <v>2.0060000000000001E-2</v>
          </cell>
        </row>
        <row r="51">
          <cell r="A51">
            <v>43932</v>
          </cell>
          <cell r="B51">
            <v>2.0060000000000001E-2</v>
          </cell>
        </row>
        <row r="52">
          <cell r="A52">
            <v>43931</v>
          </cell>
          <cell r="B52">
            <v>2.0060000000000001E-2</v>
          </cell>
        </row>
        <row r="53">
          <cell r="A53">
            <v>43930</v>
          </cell>
          <cell r="B53">
            <v>2.0070000000000001E-2</v>
          </cell>
        </row>
        <row r="54">
          <cell r="A54">
            <v>43929</v>
          </cell>
          <cell r="B54">
            <v>0.02</v>
          </cell>
        </row>
        <row r="55">
          <cell r="A55">
            <v>43928</v>
          </cell>
          <cell r="B55">
            <v>0.02</v>
          </cell>
        </row>
        <row r="56">
          <cell r="A56">
            <v>43927</v>
          </cell>
          <cell r="B56">
            <v>0.02</v>
          </cell>
        </row>
        <row r="57">
          <cell r="A57">
            <v>43926</v>
          </cell>
          <cell r="B57">
            <v>2.0060000000000001E-2</v>
          </cell>
        </row>
        <row r="58">
          <cell r="A58">
            <v>43925</v>
          </cell>
          <cell r="B58">
            <v>2.0060000000000001E-2</v>
          </cell>
        </row>
        <row r="59">
          <cell r="A59">
            <v>43924</v>
          </cell>
          <cell r="B59">
            <v>2.0060000000000001E-2</v>
          </cell>
        </row>
        <row r="60">
          <cell r="A60">
            <v>43923</v>
          </cell>
          <cell r="B60">
            <v>0.02</v>
          </cell>
        </row>
        <row r="61">
          <cell r="A61">
            <v>43922</v>
          </cell>
          <cell r="B61">
            <v>0.02</v>
          </cell>
        </row>
        <row r="62">
          <cell r="A62">
            <v>43921</v>
          </cell>
          <cell r="B62">
            <v>0.02</v>
          </cell>
        </row>
        <row r="63">
          <cell r="A63">
            <v>43920</v>
          </cell>
          <cell r="B63">
            <v>0.02</v>
          </cell>
        </row>
        <row r="64">
          <cell r="A64">
            <v>43919</v>
          </cell>
          <cell r="B64">
            <v>0.02</v>
          </cell>
        </row>
        <row r="65">
          <cell r="A65">
            <v>43918</v>
          </cell>
          <cell r="B65">
            <v>0.02</v>
          </cell>
        </row>
        <row r="66">
          <cell r="A66">
            <v>43917</v>
          </cell>
          <cell r="B66">
            <v>0.02</v>
          </cell>
        </row>
        <row r="67">
          <cell r="A67">
            <v>43916</v>
          </cell>
          <cell r="B67">
            <v>0.02</v>
          </cell>
        </row>
        <row r="68">
          <cell r="A68">
            <v>43915</v>
          </cell>
          <cell r="B68">
            <v>0.02</v>
          </cell>
        </row>
        <row r="69">
          <cell r="A69">
            <v>43914</v>
          </cell>
          <cell r="B69">
            <v>0.02</v>
          </cell>
        </row>
        <row r="70">
          <cell r="A70">
            <v>43913</v>
          </cell>
          <cell r="B70">
            <v>0.02</v>
          </cell>
        </row>
        <row r="71">
          <cell r="A71">
            <v>43912</v>
          </cell>
          <cell r="B71">
            <v>2.0039999999999999E-2</v>
          </cell>
        </row>
        <row r="72">
          <cell r="A72">
            <v>43911</v>
          </cell>
          <cell r="B72">
            <v>2.0039999999999999E-2</v>
          </cell>
        </row>
        <row r="73">
          <cell r="A73">
            <v>43910</v>
          </cell>
          <cell r="B73">
            <v>2.0039999999999999E-2</v>
          </cell>
        </row>
        <row r="74">
          <cell r="A74">
            <v>43909</v>
          </cell>
          <cell r="B74">
            <v>2.0039999999999999E-2</v>
          </cell>
        </row>
        <row r="75">
          <cell r="A75">
            <v>43908</v>
          </cell>
          <cell r="B75">
            <v>2.027E-2</v>
          </cell>
        </row>
        <row r="76">
          <cell r="A76">
            <v>43907</v>
          </cell>
          <cell r="B76">
            <v>2.2599999999999999E-2</v>
          </cell>
        </row>
        <row r="77">
          <cell r="A77">
            <v>43906</v>
          </cell>
          <cell r="B77">
            <v>2.2790000000000001E-2</v>
          </cell>
        </row>
        <row r="78">
          <cell r="A78">
            <v>43905</v>
          </cell>
          <cell r="B78">
            <v>2.264E-2</v>
          </cell>
        </row>
        <row r="79">
          <cell r="A79">
            <v>43904</v>
          </cell>
          <cell r="B79">
            <v>2.264E-2</v>
          </cell>
        </row>
        <row r="80">
          <cell r="A80">
            <v>43903</v>
          </cell>
          <cell r="B80">
            <v>2.264E-2</v>
          </cell>
        </row>
        <row r="81">
          <cell r="A81">
            <v>43902</v>
          </cell>
          <cell r="B81">
            <v>2.2530000000000001E-2</v>
          </cell>
        </row>
        <row r="82">
          <cell r="A82">
            <v>43901</v>
          </cell>
          <cell r="B82">
            <v>2.2499999999999999E-2</v>
          </cell>
        </row>
        <row r="83">
          <cell r="A83">
            <v>43900</v>
          </cell>
          <cell r="B83">
            <v>2.2530000000000001E-2</v>
          </cell>
        </row>
        <row r="84">
          <cell r="A84">
            <v>43899</v>
          </cell>
          <cell r="B84">
            <v>2.2499999999999999E-2</v>
          </cell>
        </row>
        <row r="85">
          <cell r="A85">
            <v>43898</v>
          </cell>
          <cell r="B85">
            <v>2.2579999999999999E-2</v>
          </cell>
        </row>
        <row r="86">
          <cell r="A86">
            <v>43897</v>
          </cell>
          <cell r="B86">
            <v>2.2579999999999999E-2</v>
          </cell>
        </row>
        <row r="87">
          <cell r="A87">
            <v>43896</v>
          </cell>
          <cell r="B87">
            <v>2.2579999999999999E-2</v>
          </cell>
        </row>
        <row r="88">
          <cell r="A88">
            <v>43895</v>
          </cell>
          <cell r="B88">
            <v>2.2610000000000002E-2</v>
          </cell>
        </row>
        <row r="89">
          <cell r="A89">
            <v>43894</v>
          </cell>
          <cell r="B89">
            <v>2.2589999999999999E-2</v>
          </cell>
        </row>
        <row r="90">
          <cell r="A90">
            <v>43893</v>
          </cell>
          <cell r="B90">
            <v>2.2499999999999999E-2</v>
          </cell>
        </row>
        <row r="91">
          <cell r="A91">
            <v>43892</v>
          </cell>
          <cell r="B91">
            <v>2.2499999999999999E-2</v>
          </cell>
        </row>
        <row r="92">
          <cell r="A92">
            <v>43891</v>
          </cell>
          <cell r="B92">
            <v>2.2499999999999999E-2</v>
          </cell>
        </row>
        <row r="93">
          <cell r="A93">
            <v>43890</v>
          </cell>
          <cell r="B93">
            <v>2.2499999999999999E-2</v>
          </cell>
        </row>
        <row r="94">
          <cell r="A94">
            <v>43889</v>
          </cell>
          <cell r="B94">
            <v>2.2499999999999999E-2</v>
          </cell>
        </row>
        <row r="95">
          <cell r="A95">
            <v>43888</v>
          </cell>
          <cell r="B95">
            <v>2.2499999999999999E-2</v>
          </cell>
        </row>
        <row r="96">
          <cell r="A96">
            <v>43887</v>
          </cell>
          <cell r="B96">
            <v>2.2499999999999999E-2</v>
          </cell>
        </row>
        <row r="97">
          <cell r="A97">
            <v>43886</v>
          </cell>
          <cell r="B97">
            <v>2.2499999999999999E-2</v>
          </cell>
        </row>
        <row r="98">
          <cell r="A98">
            <v>43885</v>
          </cell>
          <cell r="B98">
            <v>2.2499999999999999E-2</v>
          </cell>
        </row>
        <row r="99">
          <cell r="A99">
            <v>43884</v>
          </cell>
          <cell r="B99">
            <v>2.2540000000000001E-2</v>
          </cell>
        </row>
        <row r="100">
          <cell r="A100">
            <v>43883</v>
          </cell>
          <cell r="B100">
            <v>2.2540000000000001E-2</v>
          </cell>
        </row>
        <row r="101">
          <cell r="A101">
            <v>43882</v>
          </cell>
          <cell r="B101">
            <v>2.2540000000000001E-2</v>
          </cell>
        </row>
        <row r="102">
          <cell r="A102">
            <v>43881</v>
          </cell>
          <cell r="B102">
            <v>2.2499999999999999E-2</v>
          </cell>
        </row>
        <row r="103">
          <cell r="A103">
            <v>43880</v>
          </cell>
          <cell r="B103">
            <v>2.2499999999999999E-2</v>
          </cell>
        </row>
        <row r="104">
          <cell r="A104">
            <v>43879</v>
          </cell>
          <cell r="B104">
            <v>2.2499999999999999E-2</v>
          </cell>
        </row>
        <row r="105">
          <cell r="A105">
            <v>43878</v>
          </cell>
          <cell r="B105">
            <v>2.257E-2</v>
          </cell>
        </row>
        <row r="106">
          <cell r="A106">
            <v>43877</v>
          </cell>
          <cell r="B106">
            <v>2.2499999999999999E-2</v>
          </cell>
        </row>
        <row r="107">
          <cell r="A107">
            <v>43876</v>
          </cell>
          <cell r="B107">
            <v>2.2499999999999999E-2</v>
          </cell>
        </row>
        <row r="108">
          <cell r="A108">
            <v>43875</v>
          </cell>
          <cell r="B108">
            <v>2.2499999999999999E-2</v>
          </cell>
        </row>
        <row r="109">
          <cell r="A109">
            <v>43874</v>
          </cell>
          <cell r="B109">
            <v>2.2499999999999999E-2</v>
          </cell>
        </row>
        <row r="110">
          <cell r="A110">
            <v>43873</v>
          </cell>
          <cell r="B110">
            <v>2.2530000000000001E-2</v>
          </cell>
        </row>
        <row r="111">
          <cell r="A111">
            <v>43872</v>
          </cell>
          <cell r="B111">
            <v>2.2499999999999999E-2</v>
          </cell>
        </row>
        <row r="112">
          <cell r="A112">
            <v>43871</v>
          </cell>
          <cell r="B112">
            <v>2.2499999999999999E-2</v>
          </cell>
        </row>
        <row r="113">
          <cell r="A113">
            <v>43870</v>
          </cell>
          <cell r="B113">
            <v>2.2499999999999999E-2</v>
          </cell>
        </row>
        <row r="114">
          <cell r="A114">
            <v>43869</v>
          </cell>
          <cell r="B114">
            <v>2.2499999999999999E-2</v>
          </cell>
        </row>
        <row r="115">
          <cell r="A115">
            <v>43868</v>
          </cell>
          <cell r="B115">
            <v>2.2499999999999999E-2</v>
          </cell>
        </row>
        <row r="116">
          <cell r="A116">
            <v>43867</v>
          </cell>
          <cell r="B116">
            <v>2.2499999999999999E-2</v>
          </cell>
        </row>
        <row r="117">
          <cell r="A117">
            <v>43866</v>
          </cell>
          <cell r="B117">
            <v>2.2499999999999999E-2</v>
          </cell>
        </row>
        <row r="118">
          <cell r="A118">
            <v>43865</v>
          </cell>
          <cell r="B118">
            <v>2.2499999999999999E-2</v>
          </cell>
        </row>
        <row r="119">
          <cell r="A119">
            <v>43864</v>
          </cell>
          <cell r="B119">
            <v>2.2499999999999999E-2</v>
          </cell>
        </row>
        <row r="120">
          <cell r="A120">
            <v>43863</v>
          </cell>
          <cell r="B120">
            <v>2.2499999999999999E-2</v>
          </cell>
        </row>
        <row r="121">
          <cell r="A121">
            <v>43862</v>
          </cell>
          <cell r="B121">
            <v>2.2499999999999999E-2</v>
          </cell>
        </row>
        <row r="122">
          <cell r="A122">
            <v>43861</v>
          </cell>
          <cell r="B122">
            <v>2.2499999999999999E-2</v>
          </cell>
        </row>
        <row r="123">
          <cell r="A123">
            <v>43860</v>
          </cell>
          <cell r="B123">
            <v>2.2509999999999999E-2</v>
          </cell>
        </row>
        <row r="124">
          <cell r="A124">
            <v>43859</v>
          </cell>
          <cell r="B124">
            <v>2.2919999999999999E-2</v>
          </cell>
        </row>
        <row r="125">
          <cell r="A125">
            <v>43858</v>
          </cell>
          <cell r="B125">
            <v>2.2800000000000001E-2</v>
          </cell>
        </row>
        <row r="126">
          <cell r="A126">
            <v>43857</v>
          </cell>
          <cell r="B126">
            <v>2.2780000000000002E-2</v>
          </cell>
        </row>
        <row r="127">
          <cell r="A127">
            <v>43856</v>
          </cell>
          <cell r="B127">
            <v>2.3019999999999999E-2</v>
          </cell>
        </row>
        <row r="128">
          <cell r="A128">
            <v>43855</v>
          </cell>
          <cell r="B128">
            <v>2.3019999999999999E-2</v>
          </cell>
        </row>
        <row r="129">
          <cell r="A129">
            <v>43854</v>
          </cell>
          <cell r="B129">
            <v>2.3019999999999999E-2</v>
          </cell>
        </row>
        <row r="130">
          <cell r="A130">
            <v>43853</v>
          </cell>
          <cell r="B130">
            <v>2.2579999999999999E-2</v>
          </cell>
        </row>
        <row r="131">
          <cell r="A131">
            <v>43852</v>
          </cell>
          <cell r="B131">
            <v>2.2589999999999999E-2</v>
          </cell>
        </row>
        <row r="132">
          <cell r="A132">
            <v>43851</v>
          </cell>
          <cell r="B132">
            <v>2.2499999999999999E-2</v>
          </cell>
        </row>
        <row r="133">
          <cell r="A133">
            <v>43850</v>
          </cell>
          <cell r="B133">
            <v>2.2499999999999999E-2</v>
          </cell>
        </row>
        <row r="134">
          <cell r="A134">
            <v>43849</v>
          </cell>
          <cell r="B134">
            <v>2.2550000000000001E-2</v>
          </cell>
        </row>
        <row r="135">
          <cell r="A135">
            <v>43848</v>
          </cell>
          <cell r="B135">
            <v>2.2550000000000001E-2</v>
          </cell>
        </row>
        <row r="136">
          <cell r="A136">
            <v>43847</v>
          </cell>
          <cell r="B136">
            <v>2.2550000000000001E-2</v>
          </cell>
        </row>
        <row r="137">
          <cell r="A137">
            <v>43846</v>
          </cell>
          <cell r="B137">
            <v>2.2499999999999999E-2</v>
          </cell>
        </row>
        <row r="138">
          <cell r="A138">
            <v>43845</v>
          </cell>
          <cell r="B138">
            <v>2.2499999999999999E-2</v>
          </cell>
        </row>
        <row r="139">
          <cell r="A139">
            <v>43844</v>
          </cell>
          <cell r="B139">
            <v>2.2499999999999999E-2</v>
          </cell>
        </row>
        <row r="140">
          <cell r="A140">
            <v>43843</v>
          </cell>
          <cell r="B140">
            <v>2.2499999999999999E-2</v>
          </cell>
        </row>
        <row r="141">
          <cell r="A141">
            <v>43842</v>
          </cell>
          <cell r="B141">
            <v>2.2499999999999999E-2</v>
          </cell>
        </row>
        <row r="142">
          <cell r="A142">
            <v>43841</v>
          </cell>
          <cell r="B142">
            <v>2.2499999999999999E-2</v>
          </cell>
        </row>
        <row r="143">
          <cell r="A143">
            <v>43840</v>
          </cell>
          <cell r="B143">
            <v>2.2499999999999999E-2</v>
          </cell>
        </row>
        <row r="144">
          <cell r="A144">
            <v>43839</v>
          </cell>
          <cell r="B144">
            <v>2.2499999999999999E-2</v>
          </cell>
        </row>
        <row r="145">
          <cell r="A145">
            <v>43838</v>
          </cell>
          <cell r="B145">
            <v>2.2499999999999999E-2</v>
          </cell>
        </row>
        <row r="146">
          <cell r="A146">
            <v>43837</v>
          </cell>
          <cell r="B146">
            <v>2.2499999999999999E-2</v>
          </cell>
        </row>
        <row r="147">
          <cell r="A147">
            <v>43836</v>
          </cell>
          <cell r="B147">
            <v>2.2499999999999999E-2</v>
          </cell>
        </row>
        <row r="148">
          <cell r="A148">
            <v>43835</v>
          </cell>
          <cell r="B148">
            <v>2.2509999999999999E-2</v>
          </cell>
        </row>
        <row r="149">
          <cell r="A149">
            <v>43834</v>
          </cell>
          <cell r="B149">
            <v>2.2509999999999999E-2</v>
          </cell>
        </row>
        <row r="150">
          <cell r="A150">
            <v>43833</v>
          </cell>
          <cell r="B150">
            <v>2.2509999999999999E-2</v>
          </cell>
        </row>
        <row r="151">
          <cell r="A151">
            <v>43832</v>
          </cell>
          <cell r="B151">
            <v>2.2499999999999999E-2</v>
          </cell>
        </row>
      </sheetData>
      <sheetData sheetId="2">
        <row r="5">
          <cell r="T5">
            <v>2.2499999999999999E-2</v>
          </cell>
        </row>
        <row r="6">
          <cell r="T6">
            <v>2.2509999999999999E-2</v>
          </cell>
        </row>
        <row r="7">
          <cell r="T7">
            <v>2.2509999999999999E-2</v>
          </cell>
        </row>
        <row r="8">
          <cell r="T8">
            <v>2.2509999999999999E-2</v>
          </cell>
        </row>
        <row r="9">
          <cell r="T9">
            <v>2.2499999999999999E-2</v>
          </cell>
        </row>
        <row r="10">
          <cell r="T10">
            <v>2.2499999999999999E-2</v>
          </cell>
        </row>
        <row r="11">
          <cell r="T11">
            <v>2.2499999999999999E-2</v>
          </cell>
        </row>
        <row r="12">
          <cell r="T12">
            <v>2.2499999999999999E-2</v>
          </cell>
        </row>
        <row r="13">
          <cell r="T13">
            <v>2.2499999999999999E-2</v>
          </cell>
        </row>
        <row r="14">
          <cell r="T14">
            <v>2.2499999999999999E-2</v>
          </cell>
        </row>
        <row r="15">
          <cell r="T15">
            <v>2.2499999999999999E-2</v>
          </cell>
        </row>
        <row r="16">
          <cell r="T16">
            <v>2.2499999999999999E-2</v>
          </cell>
        </row>
        <row r="17">
          <cell r="T17">
            <v>2.2499999999999999E-2</v>
          </cell>
        </row>
        <row r="18">
          <cell r="T18">
            <v>2.2499999999999999E-2</v>
          </cell>
        </row>
        <row r="19">
          <cell r="T19">
            <v>2.2499999999999999E-2</v>
          </cell>
        </row>
        <row r="20">
          <cell r="T20">
            <v>2.2550000000000001E-2</v>
          </cell>
        </row>
        <row r="21">
          <cell r="T21">
            <v>2.2550000000000001E-2</v>
          </cell>
        </row>
        <row r="22">
          <cell r="T22">
            <v>2.2550000000000001E-2</v>
          </cell>
        </row>
        <row r="23">
          <cell r="T23">
            <v>2.2499999999999999E-2</v>
          </cell>
        </row>
        <row r="24">
          <cell r="T24">
            <v>2.2499999999999999E-2</v>
          </cell>
        </row>
        <row r="25">
          <cell r="T25">
            <v>2.2589999999999999E-2</v>
          </cell>
        </row>
        <row r="26">
          <cell r="T26">
            <v>2.2579999999999999E-2</v>
          </cell>
        </row>
        <row r="27">
          <cell r="T27">
            <v>2.3019999999999999E-2</v>
          </cell>
        </row>
        <row r="28">
          <cell r="T28">
            <v>2.3019999999999999E-2</v>
          </cell>
        </row>
        <row r="29">
          <cell r="T29">
            <v>2.3019999999999999E-2</v>
          </cell>
        </row>
        <row r="30">
          <cell r="T30">
            <v>2.2780000000000002E-2</v>
          </cell>
        </row>
        <row r="31">
          <cell r="T31">
            <v>2.2800000000000001E-2</v>
          </cell>
        </row>
        <row r="32">
          <cell r="T32">
            <v>2.2919999999999999E-2</v>
          </cell>
        </row>
        <row r="33">
          <cell r="T33">
            <v>2.2509999999999999E-2</v>
          </cell>
        </row>
        <row r="34">
          <cell r="T34">
            <v>2.2499999999999999E-2</v>
          </cell>
        </row>
        <row r="35">
          <cell r="T35">
            <v>2.2499999999999999E-2</v>
          </cell>
        </row>
        <row r="36">
          <cell r="T36">
            <v>2.2499999999999999E-2</v>
          </cell>
        </row>
        <row r="37">
          <cell r="T37">
            <v>2.2499999999999999E-2</v>
          </cell>
        </row>
        <row r="38">
          <cell r="T38">
            <v>2.2499999999999999E-2</v>
          </cell>
        </row>
        <row r="39">
          <cell r="T39">
            <v>2.2499999999999999E-2</v>
          </cell>
        </row>
        <row r="40">
          <cell r="T40">
            <v>2.2499999999999999E-2</v>
          </cell>
        </row>
        <row r="41">
          <cell r="T41">
            <v>2.2499999999999999E-2</v>
          </cell>
        </row>
        <row r="42">
          <cell r="T42">
            <v>2.2499999999999999E-2</v>
          </cell>
        </row>
        <row r="43">
          <cell r="T43">
            <v>2.2499999999999999E-2</v>
          </cell>
        </row>
        <row r="44">
          <cell r="T44">
            <v>2.2499999999999999E-2</v>
          </cell>
        </row>
        <row r="45">
          <cell r="T45">
            <v>2.2499999999999999E-2</v>
          </cell>
        </row>
        <row r="46">
          <cell r="T46">
            <v>2.2530000000000001E-2</v>
          </cell>
        </row>
        <row r="47">
          <cell r="T47">
            <v>2.2499999999999999E-2</v>
          </cell>
        </row>
        <row r="48">
          <cell r="T48">
            <v>2.2499999999999999E-2</v>
          </cell>
        </row>
        <row r="49">
          <cell r="T49">
            <v>2.2499999999999999E-2</v>
          </cell>
        </row>
        <row r="50">
          <cell r="T50">
            <v>2.2499999999999999E-2</v>
          </cell>
        </row>
        <row r="51">
          <cell r="T51">
            <v>2.257E-2</v>
          </cell>
        </row>
        <row r="52">
          <cell r="T52">
            <v>2.2499999999999999E-2</v>
          </cell>
        </row>
        <row r="53">
          <cell r="T53">
            <v>2.2499999999999999E-2</v>
          </cell>
        </row>
        <row r="54">
          <cell r="T54">
            <v>2.2499999999999999E-2</v>
          </cell>
        </row>
        <row r="55">
          <cell r="T55">
            <v>2.2540000000000001E-2</v>
          </cell>
        </row>
        <row r="56">
          <cell r="T56">
            <v>2.2540000000000001E-2</v>
          </cell>
        </row>
        <row r="57">
          <cell r="T57">
            <v>2.2540000000000001E-2</v>
          </cell>
        </row>
        <row r="58">
          <cell r="T58">
            <v>2.2499999999999999E-2</v>
          </cell>
        </row>
        <row r="59">
          <cell r="T59">
            <v>2.2499999999999999E-2</v>
          </cell>
        </row>
        <row r="60">
          <cell r="T60">
            <v>2.2499999999999999E-2</v>
          </cell>
        </row>
        <row r="61">
          <cell r="T61">
            <v>2.2499999999999999E-2</v>
          </cell>
        </row>
        <row r="62">
          <cell r="T62">
            <v>2.2499999999999999E-2</v>
          </cell>
        </row>
        <row r="63">
          <cell r="T63">
            <v>2.2499999999999999E-2</v>
          </cell>
        </row>
        <row r="64">
          <cell r="T64">
            <v>2.2499999999999999E-2</v>
          </cell>
        </row>
        <row r="65">
          <cell r="T65">
            <v>2.2499999999999999E-2</v>
          </cell>
        </row>
        <row r="66">
          <cell r="T66">
            <v>2.2499999999999999E-2</v>
          </cell>
        </row>
        <row r="67">
          <cell r="T67">
            <v>2.2589999999999999E-2</v>
          </cell>
        </row>
        <row r="68">
          <cell r="T68">
            <v>2.2610000000000002E-2</v>
          </cell>
        </row>
        <row r="69">
          <cell r="T69">
            <v>2.2579999999999999E-2</v>
          </cell>
        </row>
        <row r="70">
          <cell r="T70">
            <v>2.2579999999999999E-2</v>
          </cell>
        </row>
        <row r="71">
          <cell r="T71">
            <v>2.2579999999999999E-2</v>
          </cell>
        </row>
        <row r="72">
          <cell r="T72">
            <v>2.2499999999999999E-2</v>
          </cell>
        </row>
        <row r="73">
          <cell r="T73">
            <v>2.2530000000000001E-2</v>
          </cell>
        </row>
        <row r="74">
          <cell r="T74">
            <v>2.2499999999999999E-2</v>
          </cell>
        </row>
        <row r="75">
          <cell r="T75">
            <v>2.2530000000000001E-2</v>
          </cell>
        </row>
        <row r="76">
          <cell r="T76">
            <v>2.264E-2</v>
          </cell>
        </row>
        <row r="77">
          <cell r="T77">
            <v>2.264E-2</v>
          </cell>
        </row>
        <row r="78">
          <cell r="T78">
            <v>2.264E-2</v>
          </cell>
        </row>
        <row r="79">
          <cell r="T79">
            <v>2.2790000000000001E-2</v>
          </cell>
        </row>
        <row r="80">
          <cell r="T80">
            <v>2.2599999999999999E-2</v>
          </cell>
        </row>
        <row r="81">
          <cell r="T81">
            <v>2.027E-2</v>
          </cell>
        </row>
        <row r="82">
          <cell r="T82">
            <v>2.0039999999999999E-2</v>
          </cell>
        </row>
        <row r="83">
          <cell r="T83">
            <v>2.0039999999999999E-2</v>
          </cell>
        </row>
        <row r="84">
          <cell r="T84">
            <v>2.0039999999999999E-2</v>
          </cell>
        </row>
        <row r="85">
          <cell r="T85">
            <v>2.0039999999999999E-2</v>
          </cell>
        </row>
        <row r="86">
          <cell r="T86">
            <v>0.02</v>
          </cell>
        </row>
        <row r="87">
          <cell r="T87">
            <v>0.02</v>
          </cell>
        </row>
        <row r="88">
          <cell r="T88">
            <v>0.02</v>
          </cell>
        </row>
        <row r="89">
          <cell r="T89">
            <v>0.02</v>
          </cell>
        </row>
        <row r="90">
          <cell r="T90">
            <v>0.02</v>
          </cell>
        </row>
        <row r="91">
          <cell r="T91">
            <v>0.02</v>
          </cell>
        </row>
        <row r="92">
          <cell r="T92">
            <v>0.02</v>
          </cell>
        </row>
        <row r="93">
          <cell r="T93">
            <v>0.02</v>
          </cell>
        </row>
        <row r="94">
          <cell r="T94">
            <v>0.02</v>
          </cell>
        </row>
        <row r="95">
          <cell r="T95">
            <v>0.02</v>
          </cell>
        </row>
        <row r="96">
          <cell r="T96">
            <v>0.02</v>
          </cell>
        </row>
        <row r="97">
          <cell r="T97">
            <v>2.0060000000000001E-2</v>
          </cell>
        </row>
        <row r="98">
          <cell r="T98">
            <v>2.0060000000000001E-2</v>
          </cell>
        </row>
        <row r="99">
          <cell r="T99">
            <v>2.0060000000000001E-2</v>
          </cell>
        </row>
        <row r="100">
          <cell r="T100">
            <v>0.02</v>
          </cell>
        </row>
        <row r="101">
          <cell r="T101">
            <v>0.02</v>
          </cell>
        </row>
        <row r="102">
          <cell r="T102">
            <v>0.02</v>
          </cell>
        </row>
        <row r="103">
          <cell r="T103">
            <v>2.0070000000000001E-2</v>
          </cell>
        </row>
        <row r="104">
          <cell r="T104">
            <v>2.0060000000000001E-2</v>
          </cell>
        </row>
        <row r="105">
          <cell r="T105">
            <v>2.0060000000000001E-2</v>
          </cell>
        </row>
        <row r="106">
          <cell r="T106">
            <v>2.0060000000000001E-2</v>
          </cell>
        </row>
        <row r="107">
          <cell r="T107">
            <v>2.0209999999999999E-2</v>
          </cell>
        </row>
        <row r="108">
          <cell r="T108">
            <v>2.0160000000000001E-2</v>
          </cell>
        </row>
        <row r="109">
          <cell r="T109">
            <v>2.0330000000000001E-2</v>
          </cell>
        </row>
        <row r="110">
          <cell r="T110">
            <v>2.0199999999999999E-2</v>
          </cell>
        </row>
        <row r="111">
          <cell r="T111">
            <v>2.019E-2</v>
          </cell>
        </row>
        <row r="112">
          <cell r="T112">
            <v>2.019E-2</v>
          </cell>
        </row>
        <row r="113">
          <cell r="T113">
            <v>2.019E-2</v>
          </cell>
        </row>
        <row r="114">
          <cell r="T114">
            <v>2.0209999999999999E-2</v>
          </cell>
        </row>
        <row r="115">
          <cell r="T115">
            <v>2.0310000000000002E-2</v>
          </cell>
        </row>
        <row r="116">
          <cell r="T116">
            <v>2.0289999999999999E-2</v>
          </cell>
        </row>
        <row r="117">
          <cell r="T117">
            <v>0.02</v>
          </cell>
        </row>
        <row r="118">
          <cell r="T118">
            <v>0.02</v>
          </cell>
        </row>
        <row r="119">
          <cell r="T119">
            <v>0.02</v>
          </cell>
        </row>
        <row r="120">
          <cell r="T120">
            <v>0.02</v>
          </cell>
        </row>
        <row r="121">
          <cell r="T121">
            <v>0.02</v>
          </cell>
        </row>
        <row r="122">
          <cell r="T122">
            <v>2.001E-2</v>
          </cell>
        </row>
        <row r="123">
          <cell r="T123">
            <v>0.02</v>
          </cell>
        </row>
        <row r="124">
          <cell r="T124">
            <v>2.001E-2</v>
          </cell>
        </row>
        <row r="125">
          <cell r="T125">
            <v>2.001E-2</v>
          </cell>
        </row>
        <row r="126">
          <cell r="T126">
            <v>2.001E-2</v>
          </cell>
        </row>
        <row r="127">
          <cell r="T127">
            <v>2.001E-2</v>
          </cell>
        </row>
        <row r="128">
          <cell r="T128">
            <v>0.02</v>
          </cell>
        </row>
        <row r="129">
          <cell r="T129">
            <v>0.02</v>
          </cell>
        </row>
        <row r="130">
          <cell r="T130">
            <v>0.02</v>
          </cell>
        </row>
        <row r="131">
          <cell r="T131">
            <v>0.02</v>
          </cell>
        </row>
        <row r="132">
          <cell r="T132">
            <v>0.02</v>
          </cell>
        </row>
        <row r="133">
          <cell r="T133">
            <v>0.02</v>
          </cell>
        </row>
        <row r="134">
          <cell r="T134">
            <v>0.02</v>
          </cell>
        </row>
        <row r="135">
          <cell r="T135">
            <v>0.02</v>
          </cell>
        </row>
        <row r="136">
          <cell r="T136">
            <v>0.02</v>
          </cell>
        </row>
        <row r="137">
          <cell r="T137">
            <v>2.001E-2</v>
          </cell>
        </row>
        <row r="138">
          <cell r="T138">
            <v>0.02</v>
          </cell>
        </row>
        <row r="139">
          <cell r="T139">
            <v>2.0029999999999999E-2</v>
          </cell>
        </row>
        <row r="140">
          <cell r="T140">
            <v>2.0029999999999999E-2</v>
          </cell>
        </row>
        <row r="141">
          <cell r="T141">
            <v>2.0029999999999999E-2</v>
          </cell>
        </row>
        <row r="142">
          <cell r="T142">
            <v>0.02</v>
          </cell>
        </row>
        <row r="143">
          <cell r="T143">
            <v>0.02</v>
          </cell>
        </row>
        <row r="144">
          <cell r="T144">
            <v>0.02</v>
          </cell>
        </row>
        <row r="145">
          <cell r="T145">
            <v>0.02</v>
          </cell>
        </row>
        <row r="146">
          <cell r="T146">
            <v>0.02</v>
          </cell>
        </row>
        <row r="147">
          <cell r="T147">
            <v>0.02</v>
          </cell>
        </row>
        <row r="148">
          <cell r="T148">
            <v>0.02</v>
          </cell>
        </row>
        <row r="149">
          <cell r="T149">
            <v>0.02</v>
          </cell>
        </row>
        <row r="150">
          <cell r="T150">
            <v>0.02</v>
          </cell>
        </row>
        <row r="151">
          <cell r="T151">
            <v>0.02</v>
          </cell>
        </row>
        <row r="152">
          <cell r="T152">
            <v>0.02</v>
          </cell>
        </row>
      </sheetData>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LOURAOUI Youssef" id="{4AEC9582-E37A-5840-8518-4CE3C782F279}" userId="S::b00726728@myessec.onmicrosoft.com::9a261618-18e9-467b-bcb1-20b856ec06c1"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aux interbancaire" firstBackgroundRefresh="1" preserveFormatting="0" connectionId="1" xr16:uid="{65AEB6A1-0980-1144-8F8C-69FF3DCB7654}"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MONIA dataset" growShrinkType="insertClear" preserveFormatting="0" connectionId="2" xr16:uid="{209EE643-F5AD-9A41-9857-214817DEA479}"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MONIA dataset" growShrinkType="insertClear" preserveFormatting="0" connectionId="4" xr16:uid="{AD2432F8-C018-F248-87D7-E85D2BDF5D61}"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MONIA dataset" growShrinkType="insertClear" preserveFormatting="0" connectionId="5" xr16:uid="{B386450A-35FE-7245-87AE-F240ABF2CF7A}"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MONIA dataset" growShrinkType="insertClear" preserveFormatting="0" connectionId="3" xr16:uid="{B049B30A-3A4F-0E46-B45F-16B32E46577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A1" dT="2020-12-28T12:16:13.74" personId="{4AEC9582-E37A-5840-8518-4CE3C782F279}" id="{30AA88A3-A29C-0F40-AD80-2D387AD8375D}">
    <text>Données importées manuellement du site BKAM.ma 
https://www.bkam.ma/Marches/Principaux-indicateurs/Marche-monetaire/Indice-monia-moroccan-overnight-index-average</text>
  </threadedComment>
  <threadedComment ref="E1" dT="2020-12-28T13:49:20.51" personId="{4AEC9582-E37A-5840-8518-4CE3C782F279}" id="{BE872437-9D85-3643-8700-056C05B6001E}">
    <text>Dérouler le groupe pour afficher les données utilisées (MONIA,  source BKAM.ma)</text>
  </threadedComment>
  <threadedComment ref="G1" dT="2020-04-14T00:55:41.95" personId="{4AEC9582-E37A-5840-8518-4CE3C782F279}" id="{D0D78333-1825-944F-94A2-A7DA2913EA63}">
    <text xml:space="preserve">Ce paramètre sert à calculer le nombre de jours ouvrables entre la date de référence et celle de publication. 
Analytiquement :
Calendar days = Jour publication - Jour référence 
= (Dn - Cn)
</text>
  </threadedComment>
  <threadedComment ref="H1" dT="2020-04-14T00:56:09.51" personId="{4AEC9582-E37A-5840-8518-4CE3C782F279}" id="{B27ECE59-091E-444B-BA25-683628310186}">
    <text xml:space="preserve">Paramètre essentiel pour le calcul de l’indice forward, calculé comme le taux actualisé pondéré par le nombre de jours ouvrable (cologne F) divisé par la convention de jours (dans le cas du MONIA on parle de 360 jours)
Analytiquement :         Multiplicateur (compounded MONIA ) = (1+T%MONIARECENT*CALENDARDAYS/360)
= (1+A3*F3/360)
</text>
  </threadedComment>
  <threadedComment ref="J1" dT="2020-04-14T01:09:44.62" personId="{4AEC9582-E37A-5840-8518-4CE3C782F279}" id="{D22DCC1A-ABC3-E44C-88D8-4611C51AC25C}">
    <text xml:space="preserve">
Pour le calcul de l’indice forward, on prend le multiplicateur le plus recent divisé par le multiplicateur le plus ancien -1 * la notation de décompte (soit 360 pour le MONIA) * (la date projetée - la date initiale (n0)
Analytiquement :
Taux forward journalier = (Taux multiplicateur initial/ Taux multiplicateur final)-1 * 360 / (N+1-n0) </text>
  </threadedComment>
  <threadedComment ref="M1" dT="2020-04-14T01:03:12.50" personId="{4AEC9582-E37A-5840-8518-4CE3C782F279}" id="{0690EBAC-E736-1441-9453-BE8FB19CE56E}">
    <text>Projection du taux publié pour une échéance future 
NB:  j’ai relié la date de publication en ajoutant +1 jour par soucis d’automatisation</text>
  </threadedComment>
  <threadedComment ref="N1" dT="2020-04-14T01:06:14.30" personId="{4AEC9582-E37A-5840-8518-4CE3C782F279}" id="{70EAA3CD-22E4-4248-8ED4-13EFB71B7D46}">
    <text>À fin de calculer l’indice MONIA à maturité forward, on prend le dernier taux publié et on rajoute un indice forward (Cologne J)
Analytiquement :
MONIARECENT+MONIAINDICE
NB: Pour rendre ce modèle robuste, j’ai relié la case M6 au dernier taux publié par soucis d’automatisation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0-12-28T12:16:13.74" personId="{4AEC9582-E37A-5840-8518-4CE3C782F279}" id="{9DBA2B10-F437-F542-95C0-A238DEFEA0CC}">
    <text>Données importées manuellement du site BKAM.ma 
https://www.bkam.ma/Marches/Principaux-indicateurs/Marche-monetaire/Indice-monia-moroccan-overnight-index-average</text>
  </threadedComment>
  <threadedComment ref="E1" dT="2020-12-28T15:13:38.33" personId="{4AEC9582-E37A-5840-8518-4CE3C782F279}" id="{EC5BE3A6-6671-0D4E-B250-683AAB58C1B0}">
    <text>Dérouler le groupe pour afficher les données utilisées (MONIA,  source BKAM.ma)</text>
  </threadedComment>
  <threadedComment ref="F1" dT="2020-12-28T13:49:20.51" personId="{4AEC9582-E37A-5840-8518-4CE3C782F279}" id="{68454F63-1336-AE40-B60F-F1989255C237}">
    <text>Sensitivité de la courbe MONIA à terme a - 50 bps (-0.5%)</text>
  </threadedComment>
  <threadedComment ref="H1" dT="2020-04-14T00:55:41.95" personId="{4AEC9582-E37A-5840-8518-4CE3C782F279}" id="{A756FFD4-DBE0-5B4D-B28C-72E601B6E9AB}">
    <text xml:space="preserve">Ce paramètre sert à calculer le nombre de jours ouvrables entre la date de référence et celle de publication. 
Analytiquement :
Calendar days = Jour publication - Jour référence 
= (Dn - Cn)
</text>
  </threadedComment>
  <threadedComment ref="I1" dT="2020-04-14T00:56:09.51" personId="{4AEC9582-E37A-5840-8518-4CE3C782F279}" id="{CD14A4BC-0532-1E41-A943-67E6D013FD56}">
    <text xml:space="preserve">Paramètre essentiel pour le calcul de l’indice forward, calculé comme le taux actualisé pondéré par le nombre de jours ouvrable (cologne F) divisé par la convention de jours (dans le cas du MONIA on parle de 360 jours)
Analytiquement :         Multiplicateur (compounded MONIA ) = (1+T%MONIARECENT*CALENDARDAYS/360)
= (1+A3*F3/360)
</text>
  </threadedComment>
  <threadedComment ref="K1" dT="2020-04-14T01:09:44.62" personId="{4AEC9582-E37A-5840-8518-4CE3C782F279}" id="{34977CE0-6772-7A44-9E99-B2053064C425}">
    <text xml:space="preserve">
Pour le calcul de l’indice forward, on prend le multiplicateur le plus recent divisé par le multiplicateur le plus ancien -1 * la notation de décompte (soit 360 pour le MONIA) * (la date projetée - la date initiale (n0)
Analytiquement :
Taux forward journalier = (Taux multiplicateur initial/ Taux multiplicateur final)-1 * 360 / (N+1-n0) </text>
  </threadedComment>
  <threadedComment ref="N1" dT="2020-04-14T01:03:12.50" personId="{4AEC9582-E37A-5840-8518-4CE3C782F279}" id="{21BF8ABF-05B7-6C4A-8100-0E33D1E23E90}">
    <text>Projection du taux publié pour une échéance future 
NB:  j’ai relié la date de publication en ajoutant +1 jour par soucis d’automatisation</text>
  </threadedComment>
  <threadedComment ref="O1" dT="2020-04-14T01:06:14.30" personId="{4AEC9582-E37A-5840-8518-4CE3C782F279}" id="{B230F131-AA36-A447-9687-9DBB15C14C45}">
    <text>À fin de calculer l’indice MONIA à maturité forward, on prend le dernier taux publié et on rajoute un indice forward (Cologne J)
Analytiquement :
MONIARECENT+MONIAINDICE
NB: Pour rendre ce modèle robuste, j’ai relié la case M6 au dernier taux publié par soucis d’automatisation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F1" dT="2020-06-04T13:03:38.60" personId="{4AEC9582-E37A-5840-8518-4CE3C782F279}" id="{6DE75E3D-8CF1-E749-AD7D-38CD770D1CC8}">
    <text>Soit la différence entre la date publication et la date référence
Analytiquement: DO = DP -DR 
Date publication -Date référence</text>
  </threadedComment>
  <threadedComment ref="W1" dT="2020-06-04T13:47:57.80" personId="{4AEC9582-E37A-5840-8518-4CE3C782F279}" id="{634BF9CE-70F2-684E-9C2B-8E1A30190556}">
    <text>Spread (soit la différence de taux)
Analytiquement 
Spread Taux = MONIA composé - MONIA simple</text>
  </threadedComment>
</ThreadedComments>
</file>

<file path=xl/threadedComments/threadedComment4.xml><?xml version="1.0" encoding="utf-8"?>
<ThreadedComments xmlns="http://schemas.microsoft.com/office/spreadsheetml/2018/threadedcomments" xmlns:x="http://schemas.openxmlformats.org/spreadsheetml/2006/main">
  <threadedComment ref="A1" dT="2020-12-28T12:16:13.74" personId="{4AEC9582-E37A-5840-8518-4CE3C782F279}" id="{7B080E13-0382-7340-8BB8-4CDCDDDA7A1D}">
    <text>Données importées manuellement du site BKAM.ma 
https://www.bkam.ma/Marches/Principaux-indicateurs/Marche-monetaire/Indice-monia-moroccan-overnight-index-average</text>
  </threadedComment>
</ThreadedComments>
</file>

<file path=xl/threadedComments/threadedComment5.xml><?xml version="1.0" encoding="utf-8"?>
<ThreadedComments xmlns="http://schemas.microsoft.com/office/spreadsheetml/2018/threadedcomments" xmlns:x="http://schemas.openxmlformats.org/spreadsheetml/2006/main">
  <threadedComment ref="O1" dT="2020-04-14T01:03:12.50" personId="{4AEC9582-E37A-5840-8518-4CE3C782F279}" id="{630DD079-5FFB-7E48-BA6D-81D6351B10CD}">
    <text>Projection du taux publié pour une échéance future 
NB:  j’ai relié la date de publication en ajoutant +1 jour par soucis d’automatisation</text>
  </threadedComment>
  <threadedComment ref="P1" dT="2020-04-14T01:06:14.30" personId="{4AEC9582-E37A-5840-8518-4CE3C782F279}" id="{D6DB67F4-A619-944A-A6B5-79C578DD25D5}">
    <text>À fin de calculer l’indice MONIA à maturité forward, on prend le dernier taux publié et on rajoute un indice forward (Cologne J)
Analytiquement :
MONIARECENT+MONIAINDICE
NB: Pour rendre ce modèle robuste, j’ai relié la case M6 au dernier taux publié par soucis d’automatisation</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bkam.ma/Marches/Principaux-indicateurs/Marche-monetaire/Taux-de-reference-du-marche-interbancaire" TargetMode="External"/><Relationship Id="rId7" Type="http://schemas.openxmlformats.org/officeDocument/2006/relationships/queryTable" Target="../queryTables/queryTable2.xml"/><Relationship Id="rId2" Type="http://schemas.openxmlformats.org/officeDocument/2006/relationships/hyperlink" Target="https://www.bankofengland.co.uk/-/media/boe/files/paper/2020/supporting-rfr-transition-by-providing-compounded-sonia.pdf?la=en&amp;hash=2ED72FBB529C17999D3F948A55BD7C6D5F839E62" TargetMode="External"/><Relationship Id="rId1" Type="http://schemas.openxmlformats.org/officeDocument/2006/relationships/hyperlink" Target="https://www.six-group.com/exchanges/download/indices/saron_compound_methodology_short.pdf" TargetMode="External"/><Relationship Id="rId6" Type="http://schemas.openxmlformats.org/officeDocument/2006/relationships/queryTable" Target="../queryTables/queryTable1.xml"/><Relationship Id="rId5" Type="http://schemas.openxmlformats.org/officeDocument/2006/relationships/vmlDrawing" Target="../drawings/vmlDrawing1.vml"/><Relationship Id="rId4" Type="http://schemas.openxmlformats.org/officeDocument/2006/relationships/drawing" Target="../drawings/drawing2.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microsoft.com/office/2017/10/relationships/threadedComment" Target="../threadedComments/threadedComment2.xml"/><Relationship Id="rId2" Type="http://schemas.openxmlformats.org/officeDocument/2006/relationships/hyperlink" Target="https://www.bankofengland.co.uk/-/media/boe/files/paper/2020/supporting-rfr-transition-by-providing-compounded-sonia.pdf?la=en&amp;hash=2ED72FBB529C17999D3F948A55BD7C6D5F839E62" TargetMode="External"/><Relationship Id="rId1" Type="http://schemas.openxmlformats.org/officeDocument/2006/relationships/hyperlink" Target="https://www.six-group.com/exchanges/download/indices/saron_compound_methodology_short.pdf" TargetMode="External"/><Relationship Id="rId6" Type="http://schemas.openxmlformats.org/officeDocument/2006/relationships/comments" Target="../comments2.xml"/><Relationship Id="rId5" Type="http://schemas.openxmlformats.org/officeDocument/2006/relationships/queryTable" Target="../queryTables/queryTable3.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queryTable" Target="../queryTables/queryTable4.xml"/><Relationship Id="rId1" Type="http://schemas.openxmlformats.org/officeDocument/2006/relationships/vmlDrawing" Target="../drawings/vmlDrawing4.vml"/><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queryTable" Target="../queryTables/query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45493-C973-0648-A7B3-1085AD5DD5F8}">
  <sheetPr>
    <tabColor theme="1" tint="0.14999847407452621"/>
  </sheetPr>
  <dimension ref="B1:U20"/>
  <sheetViews>
    <sheetView showGridLines="0" tabSelected="1" zoomScale="83" workbookViewId="0">
      <selection activeCell="C16" sqref="C16"/>
    </sheetView>
  </sheetViews>
  <sheetFormatPr baseColWidth="10" defaultRowHeight="16"/>
  <cols>
    <col min="4" max="4" width="19.28515625" customWidth="1"/>
    <col min="5" max="5" width="9.42578125" bestFit="1" customWidth="1"/>
    <col min="6" max="6" width="11.28515625" customWidth="1"/>
    <col min="9" max="9" width="10.42578125" customWidth="1"/>
    <col min="11" max="11" width="11.28515625" customWidth="1"/>
  </cols>
  <sheetData>
    <row r="1" spans="2:21" ht="17" thickBot="1">
      <c r="B1" s="212"/>
      <c r="C1" s="212"/>
      <c r="D1" s="212"/>
      <c r="E1" s="212"/>
      <c r="F1" s="212"/>
      <c r="G1" s="212"/>
      <c r="H1" s="212"/>
      <c r="I1" s="212"/>
      <c r="J1" s="212"/>
      <c r="K1" s="212"/>
      <c r="L1" s="212"/>
      <c r="M1" s="212"/>
      <c r="N1" s="212"/>
      <c r="O1" s="212"/>
      <c r="P1" s="212"/>
      <c r="Q1" s="212"/>
      <c r="R1" s="212"/>
      <c r="S1" s="212"/>
      <c r="T1" s="212"/>
      <c r="U1" s="212"/>
    </row>
    <row r="2" spans="2:21" ht="60" customHeight="1">
      <c r="B2" s="373" t="s">
        <v>126</v>
      </c>
      <c r="C2" s="373"/>
      <c r="D2" s="373"/>
      <c r="E2" s="373"/>
      <c r="F2" s="373"/>
      <c r="G2" s="373"/>
      <c r="H2" s="373"/>
      <c r="I2" s="373"/>
      <c r="J2" s="373"/>
      <c r="K2" s="373"/>
      <c r="L2" s="373"/>
      <c r="M2" s="373"/>
      <c r="N2" s="373"/>
      <c r="O2" s="373"/>
      <c r="P2" s="373"/>
      <c r="Q2" s="373"/>
      <c r="R2" s="373"/>
      <c r="S2" s="373"/>
      <c r="T2" s="373"/>
      <c r="U2" s="373"/>
    </row>
    <row r="3" spans="2:21">
      <c r="B3" s="374" t="s">
        <v>127</v>
      </c>
      <c r="D3" s="374"/>
      <c r="E3" s="374"/>
      <c r="F3" s="374"/>
      <c r="G3" s="374"/>
      <c r="H3" s="374"/>
      <c r="I3" s="374"/>
      <c r="J3" s="374"/>
      <c r="K3" s="374"/>
      <c r="L3" s="374"/>
      <c r="M3" s="374"/>
      <c r="N3" s="374"/>
      <c r="O3" s="374"/>
      <c r="P3" s="374"/>
      <c r="Q3" s="374"/>
      <c r="R3" s="374"/>
      <c r="S3" s="374"/>
      <c r="T3" s="374"/>
      <c r="U3" s="374"/>
    </row>
    <row r="4" spans="2:21">
      <c r="B4" s="380" t="s">
        <v>128</v>
      </c>
      <c r="C4" s="381"/>
      <c r="D4" s="381"/>
      <c r="E4" s="381"/>
      <c r="F4" s="381"/>
      <c r="G4" s="381"/>
      <c r="H4" s="375"/>
      <c r="I4" s="375"/>
      <c r="J4" s="375"/>
      <c r="K4" s="375"/>
      <c r="L4" s="375"/>
      <c r="M4" s="375"/>
      <c r="N4" s="375"/>
      <c r="O4" s="375"/>
      <c r="P4" s="375"/>
      <c r="Q4" s="375"/>
      <c r="R4" s="375"/>
      <c r="S4" s="375"/>
      <c r="T4" s="375"/>
      <c r="U4" s="375"/>
    </row>
    <row r="5" spans="2:21">
      <c r="B5" s="380" t="s">
        <v>129</v>
      </c>
      <c r="C5" s="381"/>
      <c r="D5" s="382"/>
      <c r="E5" s="382"/>
      <c r="F5" s="382"/>
      <c r="G5" s="382"/>
      <c r="H5" s="375"/>
      <c r="I5" s="375"/>
      <c r="J5" s="375"/>
      <c r="K5" s="375"/>
      <c r="L5" s="375"/>
      <c r="M5" s="375"/>
      <c r="N5" s="375"/>
      <c r="O5" s="375"/>
      <c r="P5" s="375"/>
      <c r="Q5" s="375"/>
      <c r="R5" s="375"/>
      <c r="S5" s="375"/>
      <c r="T5" s="375"/>
      <c r="U5" s="375"/>
    </row>
    <row r="6" spans="2:21">
      <c r="B6" s="380" t="s">
        <v>130</v>
      </c>
      <c r="C6" s="382"/>
      <c r="D6" s="376"/>
      <c r="E6" s="376"/>
      <c r="F6" s="376"/>
      <c r="G6" s="376"/>
      <c r="H6" s="376"/>
      <c r="I6" s="376"/>
      <c r="J6" s="376"/>
      <c r="K6" s="376"/>
      <c r="L6" s="376"/>
      <c r="M6" s="376"/>
      <c r="N6" s="376"/>
      <c r="O6" s="376"/>
      <c r="P6" s="375"/>
      <c r="Q6" s="375"/>
      <c r="R6" s="375"/>
      <c r="S6" s="375"/>
      <c r="T6" s="375"/>
      <c r="U6" s="375"/>
    </row>
    <row r="7" spans="2:21">
      <c r="B7" s="380" t="s">
        <v>131</v>
      </c>
      <c r="C7" s="382"/>
      <c r="D7" s="376"/>
      <c r="E7" s="376"/>
      <c r="F7" s="376"/>
      <c r="G7" s="376"/>
      <c r="H7" s="376"/>
      <c r="I7" s="376"/>
      <c r="J7" s="376"/>
      <c r="K7" s="376"/>
      <c r="L7" s="376"/>
      <c r="M7" s="376"/>
      <c r="N7" s="376"/>
      <c r="O7" s="376"/>
      <c r="P7" s="375"/>
      <c r="Q7" s="375"/>
      <c r="R7" s="375"/>
      <c r="S7" s="375"/>
      <c r="T7" s="375"/>
      <c r="U7" s="375"/>
    </row>
    <row r="8" spans="2:21">
      <c r="B8" s="380" t="s">
        <v>132</v>
      </c>
      <c r="C8" s="383"/>
      <c r="D8" s="384"/>
      <c r="E8" s="384"/>
      <c r="F8" s="382"/>
      <c r="G8" s="382"/>
      <c r="H8" s="375"/>
      <c r="I8" s="375"/>
      <c r="J8" s="375"/>
      <c r="K8" s="375"/>
      <c r="L8" s="375"/>
      <c r="M8" s="375"/>
      <c r="N8" s="375"/>
      <c r="O8" s="375"/>
      <c r="P8" s="375"/>
      <c r="Q8" s="375"/>
      <c r="R8" s="375"/>
      <c r="S8" s="375"/>
      <c r="T8" s="375"/>
      <c r="U8" s="375"/>
    </row>
    <row r="9" spans="2:21">
      <c r="B9" s="380" t="s">
        <v>133</v>
      </c>
      <c r="C9" s="383"/>
      <c r="D9" s="384"/>
      <c r="E9" s="384"/>
      <c r="F9" s="382"/>
      <c r="G9" s="382"/>
      <c r="H9" s="375"/>
      <c r="I9" s="375"/>
      <c r="J9" s="375"/>
      <c r="K9" s="375"/>
      <c r="L9" s="375"/>
      <c r="M9" s="375"/>
      <c r="N9" s="375"/>
      <c r="O9" s="375"/>
      <c r="P9" s="375"/>
      <c r="Q9" s="375"/>
      <c r="R9" s="375"/>
      <c r="S9" s="375"/>
      <c r="T9" s="375"/>
      <c r="U9" s="375"/>
    </row>
    <row r="10" spans="2:21">
      <c r="B10" s="380" t="s">
        <v>138</v>
      </c>
      <c r="C10" s="385"/>
      <c r="D10" s="382"/>
      <c r="E10" s="382"/>
      <c r="F10" s="382"/>
      <c r="G10" s="382"/>
      <c r="H10" s="375"/>
      <c r="I10" s="377"/>
      <c r="J10" s="377"/>
      <c r="K10" s="377"/>
      <c r="L10" s="377"/>
      <c r="M10" s="375"/>
      <c r="N10" s="375"/>
      <c r="O10" s="375"/>
      <c r="P10" s="375"/>
      <c r="Q10" s="375"/>
      <c r="R10" s="375"/>
      <c r="S10" s="375"/>
      <c r="T10" s="375"/>
      <c r="U10" s="375"/>
    </row>
    <row r="11" spans="2:21">
      <c r="B11" s="380" t="s">
        <v>139</v>
      </c>
      <c r="C11" s="386"/>
      <c r="D11" s="386"/>
      <c r="E11" s="386"/>
      <c r="F11" s="386"/>
      <c r="G11" s="386"/>
      <c r="H11" s="377"/>
      <c r="I11" s="375"/>
      <c r="J11" s="375"/>
      <c r="K11" s="375"/>
      <c r="L11" s="375"/>
      <c r="M11" s="375"/>
      <c r="N11" s="375"/>
      <c r="O11" s="375"/>
      <c r="P11" s="375"/>
      <c r="Q11" s="375"/>
      <c r="R11" s="375"/>
      <c r="S11" s="375"/>
      <c r="T11" s="375"/>
      <c r="U11" s="375"/>
    </row>
    <row r="12" spans="2:21">
      <c r="B12" s="380" t="s">
        <v>140</v>
      </c>
      <c r="C12" s="387"/>
      <c r="D12" s="386"/>
      <c r="E12" s="386"/>
      <c r="F12" s="386"/>
      <c r="G12" s="386"/>
      <c r="H12" s="377"/>
      <c r="I12" s="375"/>
      <c r="J12" s="375"/>
      <c r="K12" s="375"/>
      <c r="L12" s="375"/>
      <c r="M12" s="375"/>
      <c r="N12" s="375"/>
      <c r="O12" s="375"/>
      <c r="P12" s="375"/>
      <c r="Q12" s="375"/>
      <c r="R12" s="375"/>
      <c r="S12" s="375"/>
      <c r="T12" s="375"/>
      <c r="U12" s="375"/>
    </row>
    <row r="13" spans="2:21">
      <c r="C13" s="387"/>
      <c r="D13" s="386"/>
      <c r="E13" s="386"/>
      <c r="F13" s="386"/>
      <c r="G13" s="386"/>
      <c r="H13" s="377"/>
      <c r="I13" s="375"/>
      <c r="J13" s="375"/>
      <c r="K13" s="375"/>
      <c r="L13" s="375"/>
      <c r="M13" s="375"/>
      <c r="N13" s="375"/>
      <c r="O13" s="375"/>
      <c r="P13" s="375"/>
      <c r="Q13" s="375"/>
      <c r="R13" s="375"/>
      <c r="S13" s="375"/>
      <c r="T13" s="375"/>
      <c r="U13" s="375"/>
    </row>
    <row r="14" spans="2:21">
      <c r="B14" s="378" t="s">
        <v>134</v>
      </c>
      <c r="D14" s="173"/>
      <c r="E14" s="379"/>
      <c r="F14" s="173"/>
      <c r="G14" s="173"/>
      <c r="H14" s="173"/>
      <c r="I14" s="173"/>
      <c r="J14" s="173"/>
      <c r="K14" s="173"/>
      <c r="L14" s="173"/>
      <c r="M14" s="173"/>
      <c r="N14" s="173"/>
      <c r="O14" s="173"/>
      <c r="P14" s="173"/>
      <c r="Q14" s="173"/>
      <c r="R14" s="173"/>
      <c r="S14" s="173"/>
      <c r="T14" s="173"/>
      <c r="U14" s="173"/>
    </row>
    <row r="19" spans="5:9">
      <c r="I19" s="18"/>
    </row>
    <row r="20" spans="5:9">
      <c r="E20" s="18"/>
    </row>
  </sheetData>
  <sheetProtection formatCells="0" formatColumns="0" formatRows="0" insertColumns="0" insertRows="0" insertHyperlinks="0" deleteColumns="0" deleteRows="0" sort="0" autoFilter="0" pivotTables="0"/>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3EC36-4488-444D-8404-645249051F6A}">
  <sheetPr>
    <tabColor theme="1" tint="0.14999847407452621"/>
  </sheetPr>
  <dimension ref="A1:BJ263"/>
  <sheetViews>
    <sheetView showGridLines="0" zoomScale="82" workbookViewId="0">
      <pane ySplit="1" topLeftCell="A2" activePane="bottomLeft" state="frozen"/>
      <selection activeCell="D31" sqref="D31"/>
      <selection pane="bottomLeft" activeCell="G31" sqref="G31"/>
    </sheetView>
  </sheetViews>
  <sheetFormatPr baseColWidth="10" defaultRowHeight="16" outlineLevelCol="1"/>
  <cols>
    <col min="1" max="1" width="17.28515625" style="196" customWidth="1" outlineLevel="1"/>
    <col min="2" max="2" width="26" style="196" customWidth="1" outlineLevel="1"/>
    <col min="3" max="3" width="20.42578125" style="196" customWidth="1" outlineLevel="1"/>
    <col min="4" max="4" width="22.28515625" style="196" customWidth="1" outlineLevel="1"/>
    <col min="5" max="5" width="17.28515625" style="196" customWidth="1"/>
    <col min="6" max="6" width="4" style="196" customWidth="1"/>
    <col min="7" max="7" width="17.85546875" style="196" customWidth="1"/>
    <col min="8" max="8" width="23.5703125" style="164" customWidth="1"/>
    <col min="9" max="9" width="16.7109375" style="164" customWidth="1" outlineLevel="1"/>
    <col min="10" max="10" width="23.7109375" style="164" customWidth="1" outlineLevel="1"/>
    <col min="11" max="11" width="20.42578125" style="164" customWidth="1"/>
    <col min="12" max="12" width="20.28515625" style="164" customWidth="1"/>
    <col min="13" max="13" width="11.5703125" style="164" customWidth="1" outlineLevel="1"/>
    <col min="14" max="14" width="16.85546875" style="164" customWidth="1" outlineLevel="1"/>
    <col min="15" max="15" width="20.28515625" style="164" customWidth="1"/>
    <col min="16" max="16" width="2" style="196" customWidth="1"/>
    <col min="17" max="17" width="31.5703125" style="196" customWidth="1"/>
    <col min="18" max="18" width="25.7109375" style="196" customWidth="1"/>
    <col min="19" max="19" width="26" style="196" customWidth="1"/>
    <col min="20" max="20" width="18.85546875" style="196" customWidth="1"/>
    <col min="21" max="21" width="25.42578125" style="196" customWidth="1"/>
    <col min="22" max="22" width="14.85546875" style="196" customWidth="1"/>
    <col min="23" max="23" width="20.7109375" style="196" customWidth="1"/>
    <col min="24" max="25" width="7.28515625" style="196" customWidth="1"/>
    <col min="26" max="26" width="9" style="196" customWidth="1"/>
    <col min="27" max="27" width="15.7109375" style="196" customWidth="1"/>
    <col min="28" max="28" width="14.28515625" style="196" customWidth="1"/>
    <col min="29" max="29" width="15.42578125" style="196" customWidth="1"/>
    <col min="30" max="30" width="18.85546875" style="196" customWidth="1"/>
    <col min="31" max="31" width="19.85546875" style="196" customWidth="1"/>
    <col min="32" max="32" width="40.42578125" style="196" customWidth="1"/>
    <col min="33" max="16384" width="10.7109375" style="196"/>
  </cols>
  <sheetData>
    <row r="1" spans="1:34">
      <c r="A1" s="339" t="s">
        <v>84</v>
      </c>
      <c r="B1" s="339" t="s">
        <v>97</v>
      </c>
      <c r="C1" s="339" t="s">
        <v>85</v>
      </c>
      <c r="D1" s="339" t="s">
        <v>17</v>
      </c>
      <c r="E1" s="340"/>
      <c r="F1" s="341"/>
      <c r="G1" s="342" t="s">
        <v>90</v>
      </c>
      <c r="H1" s="342" t="s">
        <v>86</v>
      </c>
      <c r="I1" s="343" t="s">
        <v>87</v>
      </c>
      <c r="J1" s="342" t="s">
        <v>1</v>
      </c>
      <c r="K1" s="246"/>
      <c r="L1" s="346"/>
      <c r="M1" s="257" t="s">
        <v>0</v>
      </c>
      <c r="N1" s="257" t="s">
        <v>2</v>
      </c>
      <c r="O1" s="257"/>
      <c r="P1" s="267"/>
      <c r="Q1" s="266"/>
      <c r="R1" s="266"/>
      <c r="S1" s="74"/>
      <c r="T1" s="74"/>
      <c r="U1" s="74"/>
      <c r="V1" s="74"/>
      <c r="W1" s="74"/>
      <c r="X1" s="74"/>
      <c r="Y1" s="74"/>
      <c r="Z1" s="74"/>
      <c r="AA1" s="74"/>
      <c r="AB1" s="74"/>
      <c r="AC1" s="74"/>
      <c r="AD1" s="74"/>
      <c r="AE1" s="74"/>
    </row>
    <row r="2" spans="1:34" s="350" customFormat="1">
      <c r="A2" s="234">
        <v>2.223E-2</v>
      </c>
      <c r="B2" s="203">
        <v>10343</v>
      </c>
      <c r="C2" s="236">
        <v>43830</v>
      </c>
      <c r="D2" s="236">
        <v>43832</v>
      </c>
      <c r="E2" s="348"/>
      <c r="F2" s="348"/>
      <c r="G2" s="332">
        <f t="shared" ref="G2:G65" si="0">D2-C2</f>
        <v>2</v>
      </c>
      <c r="H2" s="333">
        <f t="shared" ref="H2:H65" si="1">(1+A2*(D2-C2)/360)</f>
        <v>1.0001234999999999</v>
      </c>
      <c r="I2" s="349">
        <v>1</v>
      </c>
      <c r="J2" s="326">
        <f t="shared" ref="J2:J33" si="2">((H3/H2-1)*360/(M2-D2))</f>
        <v>-6.3884155761326973E-5</v>
      </c>
      <c r="K2" s="244"/>
      <c r="L2" s="243"/>
      <c r="M2" s="78">
        <f>D242+1</f>
        <v>44184</v>
      </c>
      <c r="N2" s="73">
        <f t="shared" ref="N2:N33" si="3">A2+J2</f>
        <v>2.2166115844238672E-2</v>
      </c>
      <c r="O2" s="70"/>
      <c r="P2" s="71"/>
      <c r="Q2" s="81"/>
      <c r="R2" s="91"/>
      <c r="S2" s="74"/>
      <c r="T2" s="71"/>
      <c r="U2" s="71"/>
      <c r="V2" s="71"/>
      <c r="W2" s="71"/>
      <c r="X2" s="71"/>
      <c r="Y2" s="71"/>
      <c r="Z2" s="71"/>
      <c r="AA2" s="71"/>
      <c r="AB2" s="71"/>
      <c r="AC2" s="71"/>
      <c r="AD2" s="71"/>
      <c r="AE2" s="71"/>
    </row>
    <row r="3" spans="1:34" s="350" customFormat="1">
      <c r="A3" s="233">
        <v>2.197E-2</v>
      </c>
      <c r="B3" s="203">
        <v>7770</v>
      </c>
      <c r="C3" s="232">
        <v>43832</v>
      </c>
      <c r="D3" s="232">
        <v>43833</v>
      </c>
      <c r="E3" s="196"/>
      <c r="F3" s="196"/>
      <c r="G3" s="332">
        <f t="shared" si="0"/>
        <v>1</v>
      </c>
      <c r="H3" s="333">
        <f t="shared" si="1"/>
        <v>1.0000610277777777</v>
      </c>
      <c r="I3" s="349">
        <f>I2*H2</f>
        <v>1.0001234999999999</v>
      </c>
      <c r="J3" s="326">
        <f t="shared" si="2"/>
        <v>1.2362881884424683E-4</v>
      </c>
      <c r="K3" s="244"/>
      <c r="L3" s="70"/>
      <c r="M3" s="78">
        <f>M2+1</f>
        <v>44185</v>
      </c>
      <c r="N3" s="73">
        <f t="shared" si="3"/>
        <v>2.2093628818844246E-2</v>
      </c>
      <c r="O3" s="70"/>
      <c r="P3" s="75"/>
      <c r="Q3" s="305" t="s">
        <v>96</v>
      </c>
      <c r="R3" s="306">
        <f>(PRODUCT(H2:H242)-1)*(360/R4)</f>
        <v>1.7417469241988878E-2</v>
      </c>
      <c r="S3" s="71"/>
      <c r="X3" s="257"/>
      <c r="Y3" s="257"/>
      <c r="Z3" s="257"/>
      <c r="AA3" s="257"/>
      <c r="AB3" s="257"/>
      <c r="AC3" s="67"/>
      <c r="AD3" s="67"/>
      <c r="AE3" s="67"/>
    </row>
    <row r="4" spans="1:34" s="350" customFormat="1">
      <c r="A4" s="233">
        <v>2.1829999999999999E-2</v>
      </c>
      <c r="B4" s="203">
        <v>8632</v>
      </c>
      <c r="C4" s="232">
        <v>43833</v>
      </c>
      <c r="D4" s="232">
        <v>43836</v>
      </c>
      <c r="E4" s="196"/>
      <c r="F4" s="196"/>
      <c r="G4" s="332">
        <f t="shared" si="0"/>
        <v>3</v>
      </c>
      <c r="H4" s="333">
        <f t="shared" si="1"/>
        <v>1.0001819166666666</v>
      </c>
      <c r="I4" s="349">
        <f t="shared" ref="I4:I67" si="4">I3*H3</f>
        <v>1.0001845353147083</v>
      </c>
      <c r="J4" s="326">
        <f t="shared" si="2"/>
        <v>-1.2443450614639014E-4</v>
      </c>
      <c r="K4" s="244"/>
      <c r="L4" s="70"/>
      <c r="M4" s="78">
        <f t="shared" ref="M4:M66" si="5">M3+1</f>
        <v>44186</v>
      </c>
      <c r="N4" s="73">
        <f t="shared" si="3"/>
        <v>2.1705565493853607E-2</v>
      </c>
      <c r="O4" s="70"/>
      <c r="P4" s="71"/>
      <c r="Q4" s="300" t="s">
        <v>5</v>
      </c>
      <c r="R4" s="301">
        <f>G243</f>
        <v>352</v>
      </c>
      <c r="S4" s="71"/>
      <c r="X4" s="351"/>
      <c r="Y4" s="351"/>
      <c r="Z4" s="259"/>
      <c r="AA4" s="251"/>
      <c r="AB4" s="251"/>
      <c r="AC4" s="71"/>
      <c r="AD4" s="71"/>
      <c r="AE4" s="71"/>
    </row>
    <row r="5" spans="1:34" s="350" customFormat="1">
      <c r="A5" s="233">
        <v>2.1930000000000002E-2</v>
      </c>
      <c r="B5" s="203">
        <v>9050</v>
      </c>
      <c r="C5" s="232">
        <v>43836</v>
      </c>
      <c r="D5" s="232">
        <v>43837</v>
      </c>
      <c r="E5" s="196"/>
      <c r="F5" s="196"/>
      <c r="G5" s="332">
        <f t="shared" si="0"/>
        <v>1</v>
      </c>
      <c r="H5" s="333">
        <f t="shared" si="1"/>
        <v>1.0000609166666667</v>
      </c>
      <c r="I5" s="349">
        <f t="shared" si="4"/>
        <v>1.0003664855514243</v>
      </c>
      <c r="J5" s="326">
        <f t="shared" si="2"/>
        <v>-5.9996345229050367E-7</v>
      </c>
      <c r="K5" s="244"/>
      <c r="L5" s="70"/>
      <c r="M5" s="78">
        <f t="shared" si="5"/>
        <v>44187</v>
      </c>
      <c r="N5" s="73">
        <f t="shared" si="3"/>
        <v>2.1929400036547711E-2</v>
      </c>
      <c r="O5" s="70"/>
      <c r="P5" s="71"/>
      <c r="Q5" s="300" t="s">
        <v>6</v>
      </c>
      <c r="R5" s="302">
        <f>A242</f>
        <v>1.418E-2</v>
      </c>
      <c r="S5" s="71"/>
      <c r="X5" s="351"/>
      <c r="Y5" s="351"/>
      <c r="Z5" s="259"/>
      <c r="AA5" s="251"/>
      <c r="AB5" s="251"/>
      <c r="AC5" s="71"/>
      <c r="AD5" s="71"/>
      <c r="AE5" s="71"/>
    </row>
    <row r="6" spans="1:34" s="350" customFormat="1">
      <c r="A6" s="233">
        <v>2.172E-2</v>
      </c>
      <c r="B6" s="203">
        <v>6809</v>
      </c>
      <c r="C6" s="232">
        <v>43837</v>
      </c>
      <c r="D6" s="232">
        <v>43838</v>
      </c>
      <c r="E6" s="196"/>
      <c r="F6" s="196"/>
      <c r="G6" s="332">
        <f t="shared" si="0"/>
        <v>1</v>
      </c>
      <c r="H6" s="333">
        <f t="shared" si="1"/>
        <v>1.0000603333333333</v>
      </c>
      <c r="I6" s="349">
        <f t="shared" si="4"/>
        <v>1.0004274245431692</v>
      </c>
      <c r="J6" s="326">
        <f t="shared" si="2"/>
        <v>1.1427881955025246E-7</v>
      </c>
      <c r="K6" s="244"/>
      <c r="L6" s="70"/>
      <c r="M6" s="78">
        <f t="shared" si="5"/>
        <v>44188</v>
      </c>
      <c r="N6" s="73">
        <f t="shared" si="3"/>
        <v>2.1720114278819549E-2</v>
      </c>
      <c r="O6" s="70"/>
      <c r="P6" s="71"/>
      <c r="Q6" s="300" t="s">
        <v>7</v>
      </c>
      <c r="R6" s="302">
        <f>R3-R5</f>
        <v>3.2374692419888784E-3</v>
      </c>
      <c r="S6" s="71"/>
      <c r="X6" s="351"/>
      <c r="Y6" s="351"/>
      <c r="Z6" s="259"/>
      <c r="AA6" s="251"/>
      <c r="AB6" s="251"/>
      <c r="AC6" s="71"/>
      <c r="AD6" s="71"/>
      <c r="AE6" s="71"/>
    </row>
    <row r="7" spans="1:34" s="350" customFormat="1">
      <c r="A7" s="233">
        <v>2.1760000000000002E-2</v>
      </c>
      <c r="B7" s="203">
        <v>8600</v>
      </c>
      <c r="C7" s="232">
        <v>43838</v>
      </c>
      <c r="D7" s="232">
        <v>43839</v>
      </c>
      <c r="E7" s="196"/>
      <c r="F7" s="196"/>
      <c r="G7" s="332">
        <f t="shared" si="0"/>
        <v>1</v>
      </c>
      <c r="H7" s="333">
        <f t="shared" si="1"/>
        <v>1.0000604444444445</v>
      </c>
      <c r="I7" s="349">
        <f t="shared" si="4"/>
        <v>1.0004877836644499</v>
      </c>
      <c r="J7" s="326">
        <f t="shared" si="2"/>
        <v>-1.1427880687467759E-7</v>
      </c>
      <c r="K7" s="244"/>
      <c r="L7" s="70"/>
      <c r="M7" s="78">
        <f t="shared" si="5"/>
        <v>44189</v>
      </c>
      <c r="N7" s="73">
        <f t="shared" si="3"/>
        <v>2.1759885721193126E-2</v>
      </c>
      <c r="O7" s="70"/>
      <c r="P7" s="71"/>
      <c r="Q7" s="314" t="s">
        <v>88</v>
      </c>
      <c r="R7" s="315">
        <f>N242</f>
        <v>1.418E-2</v>
      </c>
      <c r="S7" s="71"/>
      <c r="X7" s="351"/>
      <c r="Y7" s="351"/>
      <c r="Z7" s="259"/>
      <c r="AA7" s="251"/>
      <c r="AB7" s="251"/>
      <c r="AC7" s="71"/>
      <c r="AD7" s="71"/>
      <c r="AE7" s="71"/>
    </row>
    <row r="8" spans="1:34" s="350" customFormat="1">
      <c r="A8" s="233">
        <v>2.172E-2</v>
      </c>
      <c r="B8" s="203">
        <v>7606</v>
      </c>
      <c r="C8" s="232">
        <v>43839</v>
      </c>
      <c r="D8" s="232">
        <v>43840</v>
      </c>
      <c r="E8" s="196"/>
      <c r="F8" s="196"/>
      <c r="G8" s="332">
        <f t="shared" si="0"/>
        <v>1</v>
      </c>
      <c r="H8" s="333">
        <f t="shared" si="1"/>
        <v>1.0000603333333333</v>
      </c>
      <c r="I8" s="349">
        <f t="shared" si="4"/>
        <v>1.0005482575927069</v>
      </c>
      <c r="J8" s="326">
        <f t="shared" si="2"/>
        <v>1.2479247085432274E-4</v>
      </c>
      <c r="K8" s="244"/>
      <c r="L8" s="70"/>
      <c r="M8" s="78">
        <f t="shared" si="5"/>
        <v>44190</v>
      </c>
      <c r="N8" s="73">
        <f t="shared" si="3"/>
        <v>2.1844792470854323E-2</v>
      </c>
      <c r="O8" s="70"/>
      <c r="P8" s="71"/>
      <c r="Q8" s="352"/>
      <c r="R8" s="352"/>
      <c r="S8" s="71"/>
      <c r="X8" s="351"/>
      <c r="Y8" s="351"/>
      <c r="Z8" s="259"/>
      <c r="AA8" s="251"/>
      <c r="AB8" s="251"/>
      <c r="AC8" s="67"/>
      <c r="AD8" s="67"/>
      <c r="AE8" s="67"/>
    </row>
    <row r="9" spans="1:34" s="350" customFormat="1">
      <c r="A9" s="233">
        <v>2.18E-2</v>
      </c>
      <c r="B9" s="203">
        <v>8606</v>
      </c>
      <c r="C9" s="232">
        <v>43840</v>
      </c>
      <c r="D9" s="232">
        <v>43843</v>
      </c>
      <c r="E9" s="196"/>
      <c r="F9" s="196"/>
      <c r="G9" s="332">
        <f t="shared" si="0"/>
        <v>3</v>
      </c>
      <c r="H9" s="333">
        <f t="shared" si="1"/>
        <v>1.0001816666666667</v>
      </c>
      <c r="I9" s="349">
        <f t="shared" si="4"/>
        <v>1.0006086240042484</v>
      </c>
      <c r="J9" s="326">
        <f t="shared" si="2"/>
        <v>-1.2468999166308274E-4</v>
      </c>
      <c r="K9" s="244"/>
      <c r="L9" s="70"/>
      <c r="M9" s="78">
        <f t="shared" si="5"/>
        <v>44191</v>
      </c>
      <c r="N9" s="73">
        <f t="shared" si="3"/>
        <v>2.1675310008336918E-2</v>
      </c>
      <c r="O9" s="70"/>
      <c r="P9" s="71"/>
      <c r="Q9" s="255"/>
      <c r="R9" s="256"/>
      <c r="S9" s="71"/>
      <c r="AC9" s="67"/>
      <c r="AD9" s="67"/>
      <c r="AE9" s="67"/>
    </row>
    <row r="10" spans="1:34" s="350" customFormat="1">
      <c r="A10" s="233">
        <v>2.1999999999999999E-2</v>
      </c>
      <c r="B10" s="203">
        <v>7872</v>
      </c>
      <c r="C10" s="232">
        <v>43843</v>
      </c>
      <c r="D10" s="232">
        <v>43844</v>
      </c>
      <c r="E10" s="196"/>
      <c r="F10" s="196"/>
      <c r="G10" s="332">
        <f t="shared" si="0"/>
        <v>1</v>
      </c>
      <c r="H10" s="333">
        <f t="shared" si="1"/>
        <v>1.0000611111111111</v>
      </c>
      <c r="I10" s="349">
        <f t="shared" si="4"/>
        <v>1.0007904012376092</v>
      </c>
      <c r="J10" s="326">
        <f t="shared" si="2"/>
        <v>-6.8961302920984793E-7</v>
      </c>
      <c r="K10" s="244"/>
      <c r="L10" s="70"/>
      <c r="M10" s="78">
        <f t="shared" si="5"/>
        <v>44192</v>
      </c>
      <c r="N10" s="73">
        <f t="shared" si="3"/>
        <v>2.199931038697079E-2</v>
      </c>
      <c r="O10" s="70"/>
      <c r="P10" s="91"/>
      <c r="Q10" s="81"/>
      <c r="R10" s="81"/>
      <c r="S10" s="71"/>
      <c r="U10" s="79"/>
      <c r="X10" s="71"/>
      <c r="Y10" s="71"/>
      <c r="Z10" s="71"/>
      <c r="AA10" s="71"/>
      <c r="AB10" s="71"/>
      <c r="AC10" s="71"/>
      <c r="AD10" s="71"/>
      <c r="AE10" s="71"/>
      <c r="AF10" s="353"/>
      <c r="AG10" s="353"/>
      <c r="AH10" s="353"/>
    </row>
    <row r="11" spans="1:34" s="350" customFormat="1">
      <c r="A11" s="233">
        <v>2.1760000000000002E-2</v>
      </c>
      <c r="B11" s="203">
        <v>6975</v>
      </c>
      <c r="C11" s="232">
        <v>43844</v>
      </c>
      <c r="D11" s="232">
        <v>43845</v>
      </c>
      <c r="E11" s="196"/>
      <c r="F11" s="196"/>
      <c r="G11" s="332">
        <f t="shared" si="0"/>
        <v>1</v>
      </c>
      <c r="H11" s="333">
        <f t="shared" si="1"/>
        <v>1.0000604444444445</v>
      </c>
      <c r="I11" s="349">
        <f t="shared" si="4"/>
        <v>1.0008515606510182</v>
      </c>
      <c r="J11" s="326">
        <f t="shared" si="2"/>
        <v>-3.4480674465079142E-7</v>
      </c>
      <c r="K11" s="244"/>
      <c r="L11" s="70"/>
      <c r="M11" s="78">
        <f t="shared" si="5"/>
        <v>44193</v>
      </c>
      <c r="N11" s="73">
        <f t="shared" si="3"/>
        <v>2.1759655193255352E-2</v>
      </c>
      <c r="O11" s="70"/>
      <c r="P11" s="309"/>
      <c r="Q11" s="354" t="s">
        <v>101</v>
      </c>
      <c r="R11" s="355"/>
      <c r="U11" s="265"/>
      <c r="V11" s="81"/>
      <c r="W11" s="81"/>
      <c r="X11" s="71"/>
      <c r="Y11" s="71"/>
      <c r="Z11" s="71"/>
      <c r="AA11" s="71"/>
      <c r="AB11" s="71"/>
      <c r="AC11" s="71"/>
      <c r="AD11" s="71"/>
      <c r="AE11" s="71"/>
    </row>
    <row r="12" spans="1:34" s="350" customFormat="1">
      <c r="A12" s="233">
        <v>2.164E-2</v>
      </c>
      <c r="B12" s="203">
        <v>7883</v>
      </c>
      <c r="C12" s="232">
        <v>43845</v>
      </c>
      <c r="D12" s="232">
        <v>43846</v>
      </c>
      <c r="E12" s="196"/>
      <c r="F12" s="196"/>
      <c r="G12" s="332">
        <f t="shared" si="0"/>
        <v>1</v>
      </c>
      <c r="H12" s="333">
        <f t="shared" si="1"/>
        <v>1.0000601111111111</v>
      </c>
      <c r="I12" s="349">
        <f t="shared" si="4"/>
        <v>1.0009120565675731</v>
      </c>
      <c r="J12" s="326">
        <f t="shared" si="2"/>
        <v>-8.6201714846649613E-8</v>
      </c>
      <c r="K12" s="244"/>
      <c r="L12" s="70"/>
      <c r="M12" s="78">
        <f t="shared" si="5"/>
        <v>44194</v>
      </c>
      <c r="N12" s="73">
        <f t="shared" si="3"/>
        <v>2.1639913798285153E-2</v>
      </c>
      <c r="O12" s="70"/>
      <c r="P12" s="299">
        <v>1</v>
      </c>
      <c r="Q12" s="323" t="s">
        <v>103</v>
      </c>
      <c r="R12" s="264">
        <f>A242</f>
        <v>1.418E-2</v>
      </c>
      <c r="S12" s="303" t="str" cm="1">
        <f t="array" aca="1" ref="S12:S18" ca="1">_xlfn.FORMULATEXT(R12:R18)</f>
        <v>=A242</v>
      </c>
      <c r="U12" s="76"/>
      <c r="V12" s="230"/>
      <c r="W12" s="230"/>
      <c r="X12" s="71"/>
      <c r="Y12" s="71"/>
      <c r="Z12" s="71"/>
      <c r="AA12" s="71"/>
      <c r="AB12" s="71"/>
      <c r="AC12" s="71"/>
      <c r="AD12" s="71"/>
      <c r="AE12" s="71"/>
    </row>
    <row r="13" spans="1:34" s="350" customFormat="1">
      <c r="A13" s="233">
        <v>2.1610000000000001E-2</v>
      </c>
      <c r="B13" s="203">
        <v>7139</v>
      </c>
      <c r="C13" s="232">
        <v>43846</v>
      </c>
      <c r="D13" s="232">
        <v>43847</v>
      </c>
      <c r="E13" s="196"/>
      <c r="F13" s="196"/>
      <c r="G13" s="332">
        <f t="shared" si="0"/>
        <v>1</v>
      </c>
      <c r="H13" s="333">
        <f t="shared" si="1"/>
        <v>1.0000600277777778</v>
      </c>
      <c r="I13" s="349">
        <f t="shared" si="4"/>
        <v>1.0009722225034179</v>
      </c>
      <c r="J13" s="326">
        <f t="shared" si="2"/>
        <v>1.2754981473247381E-4</v>
      </c>
      <c r="K13" s="244"/>
      <c r="L13" s="70"/>
      <c r="M13" s="78">
        <f t="shared" si="5"/>
        <v>44195</v>
      </c>
      <c r="N13" s="73">
        <f t="shared" si="3"/>
        <v>2.1737549814732474E-2</v>
      </c>
      <c r="O13" s="70"/>
      <c r="P13" s="299">
        <v>2</v>
      </c>
      <c r="Q13" s="323" t="s">
        <v>104</v>
      </c>
      <c r="R13" s="200">
        <f>(PRODUCT(H238:H242)-1)*(360/7)</f>
        <v>1.4201438315833823E-2</v>
      </c>
      <c r="S13" s="350" t="str">
        <f ca="1"/>
        <v>=(PRODUCT(H238:H242)-1)*(360/7)</v>
      </c>
      <c r="U13" s="76"/>
      <c r="V13" s="81"/>
      <c r="W13" s="81"/>
      <c r="X13" s="71"/>
      <c r="Y13" s="71"/>
      <c r="Z13" s="71"/>
      <c r="AA13" s="82"/>
      <c r="AB13" s="71"/>
      <c r="AC13" s="71"/>
      <c r="AD13" s="71"/>
      <c r="AE13" s="71"/>
    </row>
    <row r="14" spans="1:34" s="350" customFormat="1">
      <c r="A14" s="233">
        <v>2.1999999999999999E-2</v>
      </c>
      <c r="B14" s="203">
        <v>6876</v>
      </c>
      <c r="C14" s="232">
        <v>43847</v>
      </c>
      <c r="D14" s="232">
        <v>43850</v>
      </c>
      <c r="E14" s="196"/>
      <c r="F14" s="196"/>
      <c r="G14" s="332">
        <f t="shared" si="0"/>
        <v>3</v>
      </c>
      <c r="H14" s="333">
        <f t="shared" si="1"/>
        <v>1.0001833333333334</v>
      </c>
      <c r="I14" s="349">
        <f t="shared" si="4"/>
        <v>1.001032308641552</v>
      </c>
      <c r="J14" s="326">
        <f t="shared" si="2"/>
        <v>-1.278089383036422E-4</v>
      </c>
      <c r="K14" s="244"/>
      <c r="L14" s="70"/>
      <c r="M14" s="78">
        <f t="shared" si="5"/>
        <v>44196</v>
      </c>
      <c r="N14" s="73">
        <f t="shared" si="3"/>
        <v>2.1872191061696356E-2</v>
      </c>
      <c r="O14" s="70"/>
      <c r="P14" s="299">
        <v>3</v>
      </c>
      <c r="Q14" s="324" t="s">
        <v>105</v>
      </c>
      <c r="R14" s="200">
        <f>(PRODUCT(H233:H242)-1)*(360/14)</f>
        <v>1.4236272947704291E-2</v>
      </c>
      <c r="S14" s="350" t="str">
        <f ca="1"/>
        <v>=(PRODUCT(H233:H242)-1)*(360/14)</v>
      </c>
      <c r="U14" s="76"/>
      <c r="V14" s="81"/>
      <c r="W14" s="81"/>
      <c r="X14" s="71"/>
      <c r="Y14" s="71"/>
      <c r="Z14" s="71"/>
      <c r="AA14" s="71"/>
      <c r="AB14" s="71"/>
      <c r="AC14" s="71"/>
      <c r="AD14" s="71"/>
      <c r="AE14" s="71"/>
    </row>
    <row r="15" spans="1:34" s="350" customFormat="1">
      <c r="A15" s="233">
        <v>2.1770000000000001E-2</v>
      </c>
      <c r="B15" s="203">
        <v>7920</v>
      </c>
      <c r="C15" s="232">
        <v>43850</v>
      </c>
      <c r="D15" s="232">
        <v>43851</v>
      </c>
      <c r="E15" s="196"/>
      <c r="F15" s="196"/>
      <c r="G15" s="332">
        <f t="shared" si="0"/>
        <v>1</v>
      </c>
      <c r="H15" s="333">
        <f t="shared" si="1"/>
        <v>1.0000604722222222</v>
      </c>
      <c r="I15" s="349">
        <f t="shared" si="4"/>
        <v>1.0012158312314696</v>
      </c>
      <c r="J15" s="326">
        <f t="shared" si="2"/>
        <v>-5.4909974266914319E-7</v>
      </c>
      <c r="K15" s="244"/>
      <c r="L15" s="70"/>
      <c r="M15" s="78">
        <f t="shared" si="5"/>
        <v>44197</v>
      </c>
      <c r="N15" s="73">
        <f t="shared" si="3"/>
        <v>2.1769450900257333E-2</v>
      </c>
      <c r="O15" s="70"/>
      <c r="P15" s="299">
        <v>4</v>
      </c>
      <c r="Q15" s="324" t="s">
        <v>106</v>
      </c>
      <c r="R15" s="200">
        <f>(PRODUCT(H221:H242)-1)*(360/30)</f>
        <v>1.4697459383163469E-2</v>
      </c>
      <c r="S15" s="350" t="str">
        <f ca="1"/>
        <v>=(PRODUCT(H221:H242)-1)*(360/30)</v>
      </c>
      <c r="U15" s="76"/>
      <c r="V15" s="71"/>
      <c r="W15" s="71"/>
      <c r="X15" s="71"/>
      <c r="Y15" s="71"/>
      <c r="Z15" s="71"/>
      <c r="AA15" s="71"/>
      <c r="AB15" s="71"/>
      <c r="AC15" s="71"/>
      <c r="AD15" s="71"/>
      <c r="AE15" s="71"/>
    </row>
    <row r="16" spans="1:34" s="350" customFormat="1">
      <c r="A16" s="233">
        <v>2.1579999999999998E-2</v>
      </c>
      <c r="B16" s="203">
        <v>7903</v>
      </c>
      <c r="C16" s="232">
        <v>43851</v>
      </c>
      <c r="D16" s="232">
        <v>43852</v>
      </c>
      <c r="E16" s="196"/>
      <c r="F16" s="196"/>
      <c r="G16" s="332">
        <f t="shared" si="0"/>
        <v>1</v>
      </c>
      <c r="H16" s="333">
        <f t="shared" si="1"/>
        <v>1.0000599444444445</v>
      </c>
      <c r="I16" s="349">
        <f t="shared" si="4"/>
        <v>1.0012763769777082</v>
      </c>
      <c r="J16" s="326">
        <f t="shared" si="2"/>
        <v>-4.0460002388904778E-7</v>
      </c>
      <c r="K16" s="244"/>
      <c r="L16" s="70"/>
      <c r="M16" s="78">
        <f t="shared" si="5"/>
        <v>44198</v>
      </c>
      <c r="N16" s="73">
        <f t="shared" si="3"/>
        <v>2.1579595399976108E-2</v>
      </c>
      <c r="O16" s="70"/>
      <c r="P16" s="299">
        <v>5</v>
      </c>
      <c r="Q16" s="324" t="s">
        <v>107</v>
      </c>
      <c r="R16" s="200">
        <f>(PRODUCT(H182:H242)-1)*(360/90)</f>
        <v>1.4404609599509399E-2</v>
      </c>
      <c r="S16" s="350" t="str">
        <f ca="1"/>
        <v>=(PRODUCT(H182:H242)-1)*(360/90)</v>
      </c>
      <c r="U16" s="76"/>
      <c r="V16" s="71"/>
      <c r="W16" s="71"/>
      <c r="X16" s="71"/>
      <c r="Y16" s="71"/>
      <c r="Z16" s="71"/>
      <c r="AA16" s="71"/>
      <c r="AB16" s="71"/>
      <c r="AC16" s="71"/>
      <c r="AD16" s="71"/>
      <c r="AE16" s="71"/>
    </row>
    <row r="17" spans="1:31" s="350" customFormat="1">
      <c r="A17" s="233">
        <v>2.1440000000000001E-2</v>
      </c>
      <c r="B17" s="203">
        <v>8167</v>
      </c>
      <c r="C17" s="232">
        <v>43852</v>
      </c>
      <c r="D17" s="232">
        <v>43853</v>
      </c>
      <c r="E17" s="196"/>
      <c r="F17" s="196"/>
      <c r="G17" s="332">
        <f t="shared" si="0"/>
        <v>1</v>
      </c>
      <c r="H17" s="333">
        <f t="shared" si="1"/>
        <v>1.0000595555555556</v>
      </c>
      <c r="I17" s="349">
        <f t="shared" si="4"/>
        <v>1.0013363979338614</v>
      </c>
      <c r="J17" s="326">
        <f t="shared" si="2"/>
        <v>9.5370042707029827E-7</v>
      </c>
      <c r="K17" s="244"/>
      <c r="L17" s="70"/>
      <c r="M17" s="78">
        <f t="shared" si="5"/>
        <v>44199</v>
      </c>
      <c r="N17" s="73">
        <f t="shared" si="3"/>
        <v>2.1440953700427073E-2</v>
      </c>
      <c r="O17" s="70"/>
      <c r="P17" s="299">
        <v>6</v>
      </c>
      <c r="Q17" s="77" t="s">
        <v>108</v>
      </c>
      <c r="R17" s="200">
        <f>(PRODUCT(H122:H242)-1)*(360/180)</f>
        <v>1.4329259540568184E-2</v>
      </c>
      <c r="S17" s="350" t="str">
        <f ca="1"/>
        <v>=(PRODUCT(H122:H242)-1)*(360/180)</v>
      </c>
      <c r="V17" s="71"/>
      <c r="W17" s="71"/>
      <c r="X17" s="71"/>
      <c r="Y17" s="71"/>
      <c r="Z17" s="71"/>
      <c r="AA17" s="71"/>
      <c r="AB17" s="71"/>
      <c r="AC17" s="71"/>
      <c r="AD17" s="71"/>
      <c r="AE17" s="71"/>
    </row>
    <row r="18" spans="1:31" s="350" customFormat="1">
      <c r="A18" s="233">
        <v>2.1770000000000001E-2</v>
      </c>
      <c r="B18" s="203">
        <v>8716</v>
      </c>
      <c r="C18" s="232">
        <v>43853</v>
      </c>
      <c r="D18" s="232">
        <v>43854</v>
      </c>
      <c r="E18" s="196"/>
      <c r="F18" s="196"/>
      <c r="G18" s="332">
        <f t="shared" si="0"/>
        <v>1</v>
      </c>
      <c r="H18" s="333">
        <f t="shared" si="1"/>
        <v>1.0000604722222222</v>
      </c>
      <c r="I18" s="349">
        <f t="shared" si="4"/>
        <v>1.0013960330793383</v>
      </c>
      <c r="J18" s="326">
        <f t="shared" si="2"/>
        <v>1.2999213908645825E-4</v>
      </c>
      <c r="K18" s="244"/>
      <c r="L18" s="70"/>
      <c r="M18" s="78">
        <f t="shared" si="5"/>
        <v>44200</v>
      </c>
      <c r="N18" s="73">
        <f t="shared" si="3"/>
        <v>2.1899992139086458E-2</v>
      </c>
      <c r="O18" s="70"/>
      <c r="P18" s="312">
        <v>7</v>
      </c>
      <c r="Q18" s="309" t="s">
        <v>109</v>
      </c>
      <c r="R18" s="313">
        <f>(PRODUCT(H2:H244)-1)*(360/352)</f>
        <v>1.7417469241988878E-2</v>
      </c>
      <c r="S18" s="350" t="str">
        <f ca="1"/>
        <v>=(PRODUCT(H2:H244)-1)*(360/352)</v>
      </c>
      <c r="U18" s="71"/>
      <c r="V18" s="71"/>
      <c r="W18" s="71"/>
      <c r="X18" s="71"/>
      <c r="Y18" s="71"/>
      <c r="Z18" s="71"/>
      <c r="AA18" s="71"/>
      <c r="AB18" s="71"/>
      <c r="AC18" s="71"/>
      <c r="AD18" s="71"/>
      <c r="AE18" s="71"/>
    </row>
    <row r="19" spans="1:31" s="350" customFormat="1">
      <c r="A19" s="233">
        <v>2.2249999999999999E-2</v>
      </c>
      <c r="B19" s="203">
        <v>7691</v>
      </c>
      <c r="C19" s="232">
        <v>43854</v>
      </c>
      <c r="D19" s="232">
        <v>43857</v>
      </c>
      <c r="E19" s="196"/>
      <c r="F19" s="196"/>
      <c r="G19" s="332">
        <f t="shared" si="0"/>
        <v>3</v>
      </c>
      <c r="H19" s="333">
        <f t="shared" si="1"/>
        <v>1.0001854166666666</v>
      </c>
      <c r="I19" s="349">
        <f t="shared" si="4"/>
        <v>1.0014565897227832</v>
      </c>
      <c r="J19" s="326">
        <f t="shared" si="2"/>
        <v>-1.2924929084129474E-4</v>
      </c>
      <c r="K19" s="244"/>
      <c r="L19" s="70"/>
      <c r="M19" s="78">
        <f t="shared" si="5"/>
        <v>44201</v>
      </c>
      <c r="N19" s="73">
        <f t="shared" si="3"/>
        <v>2.2120750709158706E-2</v>
      </c>
      <c r="O19" s="70"/>
      <c r="P19" s="299"/>
      <c r="Q19" s="352"/>
      <c r="R19" s="352"/>
      <c r="S19" s="71"/>
      <c r="T19" s="71"/>
      <c r="U19" s="71"/>
      <c r="V19" s="71"/>
      <c r="W19" s="71"/>
      <c r="X19" s="71"/>
      <c r="Y19" s="71"/>
      <c r="Z19" s="71"/>
      <c r="AA19" s="71"/>
      <c r="AC19" s="71"/>
      <c r="AD19" s="71"/>
      <c r="AE19" s="71"/>
    </row>
    <row r="20" spans="1:31" s="350" customFormat="1">
      <c r="A20" s="233">
        <v>2.2280000000000001E-2</v>
      </c>
      <c r="B20" s="203">
        <v>7770</v>
      </c>
      <c r="C20" s="232">
        <v>43857</v>
      </c>
      <c r="D20" s="232">
        <v>43858</v>
      </c>
      <c r="E20" s="196"/>
      <c r="F20" s="196"/>
      <c r="G20" s="332">
        <f t="shared" si="0"/>
        <v>1</v>
      </c>
      <c r="H20" s="333">
        <f t="shared" si="1"/>
        <v>1.0000618888888888</v>
      </c>
      <c r="I20" s="349">
        <f t="shared" si="4"/>
        <v>1.0016422764654609</v>
      </c>
      <c r="J20" s="326">
        <f t="shared" si="2"/>
        <v>5.5229140075228207E-7</v>
      </c>
      <c r="K20" s="244"/>
      <c r="L20" s="70"/>
      <c r="M20" s="78">
        <f t="shared" si="5"/>
        <v>44202</v>
      </c>
      <c r="N20" s="73">
        <f t="shared" si="3"/>
        <v>2.2280552291400753E-2</v>
      </c>
      <c r="O20" s="70"/>
      <c r="P20" s="312"/>
      <c r="Q20" s="356" t="s">
        <v>94</v>
      </c>
      <c r="R20" s="316"/>
      <c r="S20" s="316"/>
      <c r="T20" s="309"/>
      <c r="U20" s="71"/>
      <c r="V20" s="71"/>
      <c r="W20" s="71"/>
      <c r="X20" s="71"/>
      <c r="Y20" s="71"/>
      <c r="Z20" s="71"/>
      <c r="AA20" s="71"/>
      <c r="AB20" s="71"/>
      <c r="AC20" s="71"/>
      <c r="AD20" s="71"/>
      <c r="AE20" s="71"/>
    </row>
    <row r="21" spans="1:31" s="350" customFormat="1" ht="28">
      <c r="A21" s="233">
        <v>2.247E-2</v>
      </c>
      <c r="B21" s="203">
        <v>7383</v>
      </c>
      <c r="C21" s="232">
        <v>43858</v>
      </c>
      <c r="D21" s="232">
        <v>43859</v>
      </c>
      <c r="E21" s="196"/>
      <c r="F21" s="196"/>
      <c r="G21" s="332">
        <f t="shared" si="0"/>
        <v>1</v>
      </c>
      <c r="H21" s="333">
        <f t="shared" si="1"/>
        <v>1.0000624166666667</v>
      </c>
      <c r="I21" s="349">
        <f t="shared" si="4"/>
        <v>1.0017042669930154</v>
      </c>
      <c r="J21" s="326">
        <f t="shared" si="2"/>
        <v>-8.6635874752745176E-9</v>
      </c>
      <c r="K21" s="244"/>
      <c r="L21" s="70"/>
      <c r="M21" s="78"/>
      <c r="N21" s="73">
        <f t="shared" si="3"/>
        <v>2.2469991336412524E-2</v>
      </c>
      <c r="O21" s="70"/>
      <c r="P21" s="319"/>
      <c r="Q21" s="318" t="s">
        <v>93</v>
      </c>
      <c r="R21" s="318" t="s">
        <v>91</v>
      </c>
      <c r="S21" s="318" t="s">
        <v>92</v>
      </c>
      <c r="T21" s="318" t="s">
        <v>102</v>
      </c>
      <c r="U21" s="71"/>
      <c r="V21" s="71"/>
      <c r="W21" s="71"/>
      <c r="X21" s="71"/>
      <c r="Y21" s="71"/>
      <c r="Z21" s="71"/>
      <c r="AA21" s="71"/>
      <c r="AB21" s="71"/>
      <c r="AC21" s="71"/>
      <c r="AD21" s="71"/>
      <c r="AE21" s="71"/>
    </row>
    <row r="22" spans="1:31" s="350" customFormat="1">
      <c r="A22" s="233">
        <v>2.2849999999999999E-2</v>
      </c>
      <c r="B22" s="203">
        <v>7574</v>
      </c>
      <c r="C22" s="232">
        <v>43859</v>
      </c>
      <c r="D22" s="232">
        <v>43860</v>
      </c>
      <c r="E22" s="196"/>
      <c r="F22" s="196"/>
      <c r="G22" s="332">
        <f t="shared" si="0"/>
        <v>1</v>
      </c>
      <c r="H22" s="333">
        <f t="shared" si="1"/>
        <v>1.0000634722222221</v>
      </c>
      <c r="I22" s="349">
        <f t="shared" si="4"/>
        <v>1.001766790034347</v>
      </c>
      <c r="J22" s="326">
        <f t="shared" si="2"/>
        <v>1.5275256532430443E-8</v>
      </c>
      <c r="K22" s="244"/>
      <c r="L22" s="70"/>
      <c r="M22" s="78">
        <f t="shared" si="5"/>
        <v>1</v>
      </c>
      <c r="N22" s="73">
        <f t="shared" si="3"/>
        <v>2.2850015275256531E-2</v>
      </c>
      <c r="O22" s="70"/>
      <c r="P22" s="299">
        <v>1</v>
      </c>
      <c r="Q22" s="323" t="s">
        <v>103</v>
      </c>
      <c r="R22" s="320">
        <v>1.4999999999999999E-2</v>
      </c>
      <c r="S22" s="320">
        <v>1.6E-2</v>
      </c>
      <c r="T22" s="320">
        <f>AVERAGE(R22:S22)</f>
        <v>1.55E-2</v>
      </c>
      <c r="U22" s="71" t="str" cm="1">
        <f t="array" aca="1" ref="U22:U26" ca="1">_xlfn.FORMULATEXT(T22:T26)</f>
        <v>=AVERAGE(R22:S22)</v>
      </c>
      <c r="V22" s="71"/>
      <c r="W22" s="71"/>
      <c r="X22" s="71"/>
      <c r="Y22" s="71"/>
      <c r="Z22" s="71"/>
      <c r="AA22" s="71"/>
      <c r="AB22" s="71"/>
      <c r="AC22" s="71"/>
      <c r="AD22" s="71"/>
      <c r="AE22" s="71"/>
    </row>
    <row r="23" spans="1:31" s="350" customFormat="1">
      <c r="A23" s="233">
        <v>2.2179999999999998E-2</v>
      </c>
      <c r="B23" s="203">
        <v>4892</v>
      </c>
      <c r="C23" s="232">
        <v>43860</v>
      </c>
      <c r="D23" s="232">
        <v>43861</v>
      </c>
      <c r="E23" s="196"/>
      <c r="F23" s="196"/>
      <c r="G23" s="332">
        <f t="shared" si="0"/>
        <v>1</v>
      </c>
      <c r="H23" s="333">
        <f t="shared" si="1"/>
        <v>1.0000616111111111</v>
      </c>
      <c r="I23" s="349">
        <f t="shared" si="4"/>
        <v>1.0018303743986587</v>
      </c>
      <c r="J23" s="326">
        <f t="shared" si="2"/>
        <v>-1.0311957295220802E-6</v>
      </c>
      <c r="K23" s="244"/>
      <c r="L23" s="70"/>
      <c r="M23" s="78">
        <f t="shared" si="5"/>
        <v>2</v>
      </c>
      <c r="N23" s="73">
        <f t="shared" si="3"/>
        <v>2.2178968804270477E-2</v>
      </c>
      <c r="O23" s="70"/>
      <c r="P23" s="299">
        <v>2</v>
      </c>
      <c r="Q23" s="323" t="s">
        <v>104</v>
      </c>
      <c r="R23" s="320">
        <v>1.52E-2</v>
      </c>
      <c r="S23" s="320">
        <v>1.6199999999999999E-2</v>
      </c>
      <c r="T23" s="320">
        <f t="shared" ref="T23:T26" si="6">AVERAGE(R23:S23)</f>
        <v>1.5699999999999999E-2</v>
      </c>
      <c r="U23" s="71" t="str">
        <f ca="1"/>
        <v>=AVERAGE(R23:S23)</v>
      </c>
      <c r="V23" s="71"/>
      <c r="W23" s="71"/>
      <c r="X23" s="71"/>
      <c r="Y23" s="71"/>
      <c r="Z23" s="71"/>
      <c r="AA23" s="71"/>
      <c r="AB23" s="71"/>
      <c r="AC23" s="71"/>
      <c r="AD23" s="71"/>
      <c r="AE23" s="71"/>
    </row>
    <row r="24" spans="1:31" s="350" customFormat="1">
      <c r="A24" s="233">
        <v>2.247E-2</v>
      </c>
      <c r="B24" s="203">
        <v>6231</v>
      </c>
      <c r="C24" s="232">
        <v>43861</v>
      </c>
      <c r="D24" s="232">
        <v>43864</v>
      </c>
      <c r="E24" s="196"/>
      <c r="F24" s="196"/>
      <c r="G24" s="332">
        <f t="shared" si="0"/>
        <v>3</v>
      </c>
      <c r="H24" s="333">
        <f t="shared" si="1"/>
        <v>1.00018725</v>
      </c>
      <c r="I24" s="349">
        <f t="shared" si="4"/>
        <v>1.0018920982811703</v>
      </c>
      <c r="J24" s="326">
        <f t="shared" si="2"/>
        <v>1.0326148323810283E-6</v>
      </c>
      <c r="K24" s="244"/>
      <c r="L24" s="70"/>
      <c r="M24" s="78">
        <f t="shared" si="5"/>
        <v>3</v>
      </c>
      <c r="N24" s="73">
        <f t="shared" si="3"/>
        <v>2.2471032614832381E-2</v>
      </c>
      <c r="O24" s="70"/>
      <c r="P24" s="299">
        <v>3</v>
      </c>
      <c r="Q24" s="324" t="s">
        <v>105</v>
      </c>
      <c r="R24" s="321">
        <v>1.55E-2</v>
      </c>
      <c r="S24" s="321">
        <v>1.6500000000000001E-2</v>
      </c>
      <c r="T24" s="320">
        <f t="shared" si="6"/>
        <v>1.6E-2</v>
      </c>
      <c r="U24" s="71" t="str">
        <f ca="1"/>
        <v>=AVERAGE(R24:S24)</v>
      </c>
      <c r="V24" s="71"/>
      <c r="W24" s="71"/>
      <c r="X24" s="71"/>
      <c r="Y24" s="71"/>
      <c r="Z24" s="71"/>
      <c r="AA24" s="71"/>
      <c r="AB24" s="71"/>
      <c r="AC24" s="71"/>
      <c r="AD24" s="71"/>
      <c r="AE24" s="71"/>
    </row>
    <row r="25" spans="1:31" s="350" customFormat="1">
      <c r="A25" s="233">
        <v>2.2110000000000001E-2</v>
      </c>
      <c r="B25" s="203">
        <v>7044</v>
      </c>
      <c r="C25" s="232">
        <v>43864</v>
      </c>
      <c r="D25" s="232">
        <v>43865</v>
      </c>
      <c r="E25" s="196"/>
      <c r="F25" s="196"/>
      <c r="G25" s="332">
        <f t="shared" si="0"/>
        <v>1</v>
      </c>
      <c r="H25" s="333">
        <f t="shared" si="1"/>
        <v>1.0000614166666666</v>
      </c>
      <c r="I25" s="349">
        <f t="shared" si="4"/>
        <v>1.0020797025765735</v>
      </c>
      <c r="J25" s="326">
        <f t="shared" si="2"/>
        <v>7.5233062104723421E-9</v>
      </c>
      <c r="K25" s="244"/>
      <c r="L25" s="70"/>
      <c r="M25" s="78">
        <f t="shared" si="5"/>
        <v>4</v>
      </c>
      <c r="N25" s="73">
        <f t="shared" si="3"/>
        <v>2.2110007523306212E-2</v>
      </c>
      <c r="O25" s="83"/>
      <c r="P25" s="265">
        <v>4</v>
      </c>
      <c r="Q25" s="324" t="s">
        <v>106</v>
      </c>
      <c r="R25" s="321">
        <v>1.5699999999999999E-2</v>
      </c>
      <c r="S25" s="321">
        <v>1.67E-2</v>
      </c>
      <c r="T25" s="320">
        <f t="shared" si="6"/>
        <v>1.6199999999999999E-2</v>
      </c>
      <c r="U25" s="71" t="str">
        <f ca="1"/>
        <v>=AVERAGE(R25:S25)</v>
      </c>
      <c r="V25" s="71"/>
      <c r="W25" s="71"/>
      <c r="X25" s="71"/>
      <c r="Y25" s="71"/>
      <c r="Z25" s="71"/>
      <c r="AA25" s="71"/>
      <c r="AB25" s="71"/>
      <c r="AC25" s="71"/>
      <c r="AD25" s="71"/>
      <c r="AE25" s="71"/>
    </row>
    <row r="26" spans="1:31" s="350" customFormat="1">
      <c r="A26" s="233">
        <v>2.1780000000000001E-2</v>
      </c>
      <c r="B26" s="203">
        <v>10191</v>
      </c>
      <c r="C26" s="232">
        <v>43865</v>
      </c>
      <c r="D26" s="232">
        <v>43866</v>
      </c>
      <c r="E26" s="196"/>
      <c r="F26" s="196"/>
      <c r="G26" s="332">
        <f t="shared" si="0"/>
        <v>1</v>
      </c>
      <c r="H26" s="333">
        <f t="shared" si="1"/>
        <v>1.0000605</v>
      </c>
      <c r="I26" s="349">
        <f t="shared" si="4"/>
        <v>1.00214124697164</v>
      </c>
      <c r="J26" s="326">
        <f t="shared" si="2"/>
        <v>8.6632090334341556E-9</v>
      </c>
      <c r="K26" s="244"/>
      <c r="L26" s="70"/>
      <c r="M26" s="78">
        <f t="shared" si="5"/>
        <v>5</v>
      </c>
      <c r="N26" s="73">
        <f t="shared" si="3"/>
        <v>2.1780008663209033E-2</v>
      </c>
      <c r="O26" s="83"/>
      <c r="P26" s="317">
        <v>5</v>
      </c>
      <c r="Q26" s="325" t="s">
        <v>107</v>
      </c>
      <c r="R26" s="322">
        <v>1.61E-2</v>
      </c>
      <c r="S26" s="322">
        <v>1.7100000000000001E-2</v>
      </c>
      <c r="T26" s="322">
        <f t="shared" si="6"/>
        <v>1.66E-2</v>
      </c>
      <c r="U26" s="71" t="str">
        <f ca="1"/>
        <v>=AVERAGE(R26:S26)</v>
      </c>
      <c r="V26" s="71"/>
      <c r="W26" s="71"/>
      <c r="X26" s="71"/>
      <c r="Y26" s="71"/>
      <c r="Z26" s="71"/>
      <c r="AA26" s="71"/>
      <c r="AB26" s="71"/>
      <c r="AC26" s="71"/>
      <c r="AD26" s="71"/>
      <c r="AE26" s="71"/>
    </row>
    <row r="27" spans="1:31" s="350" customFormat="1">
      <c r="A27" s="233">
        <v>2.1399999999999999E-2</v>
      </c>
      <c r="B27" s="203">
        <v>8614</v>
      </c>
      <c r="C27" s="232">
        <v>43866</v>
      </c>
      <c r="D27" s="232">
        <v>43867</v>
      </c>
      <c r="E27" s="196"/>
      <c r="F27" s="196"/>
      <c r="G27" s="332">
        <f t="shared" si="0"/>
        <v>1</v>
      </c>
      <c r="H27" s="333">
        <f t="shared" si="1"/>
        <v>1.0000594444444444</v>
      </c>
      <c r="I27" s="349">
        <f t="shared" si="4"/>
        <v>1.0022018765170817</v>
      </c>
      <c r="J27" s="326">
        <f t="shared" si="2"/>
        <v>-6.8393827716261206E-9</v>
      </c>
      <c r="K27" s="244"/>
      <c r="L27" s="70"/>
      <c r="M27" s="78">
        <f t="shared" si="5"/>
        <v>6</v>
      </c>
      <c r="N27" s="73">
        <f t="shared" si="3"/>
        <v>2.1399993160617227E-2</v>
      </c>
      <c r="O27" s="83"/>
      <c r="P27" s="81"/>
      <c r="Q27" s="71"/>
      <c r="R27" s="71"/>
      <c r="S27" s="71"/>
      <c r="T27" s="71"/>
      <c r="U27" s="71"/>
      <c r="V27" s="71"/>
      <c r="W27" s="71"/>
      <c r="X27" s="71"/>
      <c r="Y27" s="71"/>
      <c r="Z27" s="71"/>
      <c r="AA27" s="71"/>
      <c r="AB27" s="71"/>
      <c r="AC27" s="71"/>
      <c r="AD27" s="71"/>
      <c r="AE27" s="71"/>
    </row>
    <row r="28" spans="1:31" s="350" customFormat="1">
      <c r="A28" s="233">
        <v>2.1700000000000001E-2</v>
      </c>
      <c r="B28" s="203">
        <v>7525</v>
      </c>
      <c r="C28" s="232">
        <v>43867</v>
      </c>
      <c r="D28" s="232">
        <v>43868</v>
      </c>
      <c r="E28" s="196"/>
      <c r="F28" s="196"/>
      <c r="G28" s="332">
        <f t="shared" si="0"/>
        <v>1</v>
      </c>
      <c r="H28" s="333">
        <f t="shared" si="1"/>
        <v>1.0000602777777778</v>
      </c>
      <c r="I28" s="349">
        <f t="shared" si="4"/>
        <v>1.0022614518508524</v>
      </c>
      <c r="J28" s="326">
        <f t="shared" si="2"/>
        <v>-9.9148169620980164E-7</v>
      </c>
      <c r="K28" s="244"/>
      <c r="L28" s="70"/>
      <c r="M28" s="78">
        <f t="shared" si="5"/>
        <v>7</v>
      </c>
      <c r="N28" s="73">
        <f t="shared" si="3"/>
        <v>2.1699008518303791E-2</v>
      </c>
      <c r="O28" s="83"/>
      <c r="P28" s="81"/>
      <c r="Q28" s="71"/>
      <c r="R28" s="71"/>
      <c r="S28" s="71"/>
      <c r="T28" s="71"/>
      <c r="U28" s="71"/>
      <c r="V28" s="71"/>
      <c r="W28" s="71"/>
      <c r="X28" s="71"/>
      <c r="Y28" s="71"/>
      <c r="Z28" s="71"/>
      <c r="AA28" s="71"/>
      <c r="AB28" s="71"/>
      <c r="AC28" s="71"/>
      <c r="AD28" s="71"/>
      <c r="AE28" s="71"/>
    </row>
    <row r="29" spans="1:31" s="350" customFormat="1">
      <c r="A29" s="233">
        <v>2.1729999999999999E-2</v>
      </c>
      <c r="B29" s="203">
        <v>7631</v>
      </c>
      <c r="C29" s="232">
        <v>43868</v>
      </c>
      <c r="D29" s="232">
        <v>43871</v>
      </c>
      <c r="E29" s="196"/>
      <c r="F29" s="196"/>
      <c r="G29" s="332">
        <f t="shared" si="0"/>
        <v>3</v>
      </c>
      <c r="H29" s="333">
        <f t="shared" si="1"/>
        <v>1.0001810833333333</v>
      </c>
      <c r="I29" s="349">
        <f t="shared" si="4"/>
        <v>1.0023218659439224</v>
      </c>
      <c r="J29" s="326">
        <f t="shared" si="2"/>
        <v>9.9108879744202292E-7</v>
      </c>
      <c r="K29" s="244"/>
      <c r="L29" s="70"/>
      <c r="M29" s="78">
        <f t="shared" si="5"/>
        <v>8</v>
      </c>
      <c r="N29" s="73">
        <f t="shared" si="3"/>
        <v>2.173099108879744E-2</v>
      </c>
      <c r="O29" s="84"/>
      <c r="P29" s="81"/>
      <c r="R29" s="71"/>
      <c r="S29" s="71"/>
      <c r="T29" s="71"/>
      <c r="U29" s="71"/>
      <c r="V29" s="71"/>
      <c r="W29" s="71"/>
      <c r="X29" s="71"/>
      <c r="Y29" s="71"/>
      <c r="Z29" s="71"/>
      <c r="AA29" s="71"/>
      <c r="AB29" s="71"/>
      <c r="AC29" s="71"/>
      <c r="AD29" s="71"/>
      <c r="AE29" s="71"/>
    </row>
    <row r="30" spans="1:31" s="350" customFormat="1">
      <c r="A30" s="233">
        <v>2.171E-2</v>
      </c>
      <c r="B30" s="203">
        <v>6812</v>
      </c>
      <c r="C30" s="232">
        <v>43871</v>
      </c>
      <c r="D30" s="232">
        <v>43872</v>
      </c>
      <c r="E30" s="196"/>
      <c r="F30" s="196"/>
      <c r="G30" s="332">
        <f t="shared" si="0"/>
        <v>1</v>
      </c>
      <c r="H30" s="333">
        <f t="shared" si="1"/>
        <v>1.0000603055555555</v>
      </c>
      <c r="I30" s="349">
        <f t="shared" si="4"/>
        <v>1.0025033697284804</v>
      </c>
      <c r="J30" s="326">
        <f t="shared" si="2"/>
        <v>2.2796883428933004E-9</v>
      </c>
      <c r="K30" s="244"/>
      <c r="L30" s="70"/>
      <c r="M30" s="78">
        <f t="shared" si="5"/>
        <v>9</v>
      </c>
      <c r="N30" s="73">
        <f t="shared" si="3"/>
        <v>2.1710002279688344E-2</v>
      </c>
      <c r="O30" s="84"/>
      <c r="P30" s="81"/>
      <c r="R30" s="71"/>
      <c r="S30" s="71"/>
      <c r="T30" s="71"/>
      <c r="U30" s="71"/>
      <c r="V30" s="71"/>
      <c r="W30" s="71"/>
      <c r="X30" s="71"/>
      <c r="Y30" s="71"/>
      <c r="Z30" s="71"/>
      <c r="AA30" s="71"/>
      <c r="AB30" s="71"/>
      <c r="AC30" s="71"/>
      <c r="AD30" s="71"/>
      <c r="AE30" s="71"/>
    </row>
    <row r="31" spans="1:31" s="350" customFormat="1">
      <c r="A31" s="233">
        <v>2.1610000000000001E-2</v>
      </c>
      <c r="B31" s="203">
        <v>7372</v>
      </c>
      <c r="C31" s="232">
        <v>43872</v>
      </c>
      <c r="D31" s="232">
        <v>43873</v>
      </c>
      <c r="E31" s="196"/>
      <c r="F31" s="196"/>
      <c r="G31" s="332">
        <f t="shared" si="0"/>
        <v>1</v>
      </c>
      <c r="H31" s="333">
        <f>(1+A31*(D31-C31)/360)</f>
        <v>1.0000600277777778</v>
      </c>
      <c r="I31" s="349">
        <f t="shared" si="4"/>
        <v>1.002563826251138</v>
      </c>
      <c r="J31" s="326">
        <f t="shared" si="2"/>
        <v>-3.8754712609610378E-9</v>
      </c>
      <c r="K31" s="244"/>
      <c r="L31" s="70"/>
      <c r="M31" s="78">
        <f t="shared" si="5"/>
        <v>10</v>
      </c>
      <c r="N31" s="73">
        <f t="shared" si="3"/>
        <v>2.1609996124528741E-2</v>
      </c>
      <c r="O31" s="84"/>
      <c r="P31" s="81"/>
      <c r="Q31" s="71"/>
      <c r="R31" s="71"/>
      <c r="S31" s="71"/>
      <c r="T31" s="71"/>
      <c r="U31" s="71"/>
      <c r="V31" s="71"/>
      <c r="W31" s="71"/>
      <c r="X31" s="71"/>
      <c r="Y31" s="71"/>
      <c r="Z31" s="71"/>
      <c r="AA31" s="71"/>
      <c r="AB31" s="71"/>
      <c r="AC31" s="71"/>
      <c r="AD31" s="71"/>
      <c r="AE31" s="71"/>
    </row>
    <row r="32" spans="1:31" s="350" customFormat="1">
      <c r="A32" s="233">
        <v>2.1780000000000001E-2</v>
      </c>
      <c r="B32" s="203">
        <v>6804</v>
      </c>
      <c r="C32" s="232">
        <v>43873</v>
      </c>
      <c r="D32" s="232">
        <v>43874</v>
      </c>
      <c r="F32" s="196"/>
      <c r="G32" s="332">
        <f t="shared" si="0"/>
        <v>1</v>
      </c>
      <c r="H32" s="333">
        <f t="shared" si="1"/>
        <v>1.0000605</v>
      </c>
      <c r="I32" s="349">
        <f t="shared" si="4"/>
        <v>1.0026240079297084</v>
      </c>
      <c r="J32" s="326">
        <f t="shared" si="2"/>
        <v>-2.2796878991381979E-9</v>
      </c>
      <c r="K32" s="244"/>
      <c r="L32" s="70"/>
      <c r="M32" s="78">
        <f t="shared" si="5"/>
        <v>11</v>
      </c>
      <c r="N32" s="73">
        <f t="shared" si="3"/>
        <v>2.17799977203121E-2</v>
      </c>
      <c r="O32" s="70"/>
      <c r="P32" s="71"/>
      <c r="Q32" s="71"/>
      <c r="R32" s="71"/>
      <c r="S32" s="71"/>
      <c r="T32" s="71"/>
      <c r="U32" s="71"/>
      <c r="V32" s="71"/>
      <c r="W32" s="71"/>
      <c r="X32" s="71"/>
      <c r="Y32" s="71"/>
      <c r="Z32" s="71"/>
      <c r="AA32" s="71"/>
      <c r="AB32" s="71"/>
      <c r="AC32" s="71"/>
      <c r="AD32" s="71"/>
      <c r="AE32" s="71"/>
    </row>
    <row r="33" spans="1:31" s="350" customFormat="1">
      <c r="A33" s="233">
        <v>2.188E-2</v>
      </c>
      <c r="B33" s="203">
        <v>6939</v>
      </c>
      <c r="C33" s="232">
        <v>43874</v>
      </c>
      <c r="D33" s="232">
        <v>43875</v>
      </c>
      <c r="E33" s="196"/>
      <c r="F33" s="196"/>
      <c r="G33" s="332">
        <f t="shared" si="0"/>
        <v>1</v>
      </c>
      <c r="H33" s="333">
        <f t="shared" si="1"/>
        <v>1.0000607777777777</v>
      </c>
      <c r="I33" s="349">
        <f t="shared" si="4"/>
        <v>1.0026846666821883</v>
      </c>
      <c r="J33" s="326">
        <f t="shared" si="2"/>
        <v>-9.9280380477248206E-7</v>
      </c>
      <c r="K33" s="244"/>
      <c r="L33" s="70"/>
      <c r="M33" s="78">
        <f t="shared" si="5"/>
        <v>12</v>
      </c>
      <c r="N33" s="73">
        <f t="shared" si="3"/>
        <v>2.1879007196195229E-2</v>
      </c>
      <c r="O33" s="70"/>
      <c r="P33" s="71"/>
      <c r="Q33" s="71"/>
      <c r="R33" s="71"/>
      <c r="S33" s="71"/>
      <c r="T33" s="71"/>
      <c r="U33" s="71"/>
      <c r="V33" s="71"/>
      <c r="W33" s="71"/>
      <c r="X33" s="71"/>
      <c r="Y33" s="71"/>
      <c r="Z33" s="71"/>
      <c r="AA33" s="71"/>
      <c r="AB33" s="71"/>
      <c r="AC33" s="71"/>
      <c r="AD33" s="71"/>
      <c r="AE33" s="71"/>
    </row>
    <row r="34" spans="1:31" s="350" customFormat="1">
      <c r="A34" s="233">
        <v>2.181E-2</v>
      </c>
      <c r="B34" s="203">
        <v>6351</v>
      </c>
      <c r="C34" s="232">
        <v>43875</v>
      </c>
      <c r="D34" s="232">
        <v>43878</v>
      </c>
      <c r="E34" s="196"/>
      <c r="F34" s="196"/>
      <c r="G34" s="332">
        <f t="shared" si="0"/>
        <v>3</v>
      </c>
      <c r="H34" s="333">
        <f t="shared" si="1"/>
        <v>1.0001817500000001</v>
      </c>
      <c r="I34" s="349">
        <f t="shared" si="4"/>
        <v>1.002745607628041</v>
      </c>
      <c r="J34" s="326">
        <f t="shared" ref="J34:J65" si="7">((H35/H34-1)*360/(M34-D34))</f>
        <v>9.9788087156018415E-7</v>
      </c>
      <c r="K34" s="244"/>
      <c r="L34" s="70"/>
      <c r="M34" s="68">
        <f t="shared" si="5"/>
        <v>13</v>
      </c>
      <c r="N34" s="73">
        <f t="shared" ref="N34:N65" si="8">A34+J34</f>
        <v>2.1810997880871558E-2</v>
      </c>
      <c r="O34" s="70"/>
      <c r="P34" s="71"/>
      <c r="Q34" s="71"/>
      <c r="R34" s="71"/>
      <c r="S34" s="71"/>
      <c r="T34" s="71"/>
      <c r="U34" s="71"/>
      <c r="V34" s="71"/>
      <c r="W34" s="71"/>
      <c r="X34" s="71"/>
      <c r="Y34" s="71"/>
      <c r="Z34" s="71"/>
      <c r="AA34" s="71"/>
      <c r="AB34" s="71"/>
      <c r="AC34" s="71"/>
      <c r="AD34" s="71"/>
      <c r="AE34" s="71"/>
    </row>
    <row r="35" spans="1:31" s="350" customFormat="1">
      <c r="A35" s="233">
        <v>2.1649999999999999E-2</v>
      </c>
      <c r="B35" s="203">
        <v>11091</v>
      </c>
      <c r="C35" s="232">
        <v>43878</v>
      </c>
      <c r="D35" s="232">
        <v>43879</v>
      </c>
      <c r="E35" s="196"/>
      <c r="F35" s="196"/>
      <c r="G35" s="332">
        <f t="shared" si="0"/>
        <v>1</v>
      </c>
      <c r="H35" s="333">
        <f t="shared" si="1"/>
        <v>1.0000601388888888</v>
      </c>
      <c r="I35" s="349">
        <f t="shared" si="4"/>
        <v>1.0029278566422275</v>
      </c>
      <c r="J35" s="326">
        <f t="shared" si="7"/>
        <v>-9.1183391287797475E-9</v>
      </c>
      <c r="K35" s="244"/>
      <c r="L35" s="70"/>
      <c r="M35" s="68">
        <f t="shared" si="5"/>
        <v>14</v>
      </c>
      <c r="N35" s="73">
        <f t="shared" si="8"/>
        <v>2.164999088166087E-2</v>
      </c>
      <c r="O35" s="70"/>
      <c r="P35" s="71"/>
      <c r="Q35" s="71"/>
      <c r="R35" s="71"/>
      <c r="S35" s="71"/>
      <c r="T35" s="71"/>
      <c r="U35" s="71"/>
      <c r="V35" s="71"/>
      <c r="W35" s="71"/>
      <c r="X35" s="71"/>
      <c r="Y35" s="71"/>
      <c r="Z35" s="71"/>
      <c r="AA35" s="71"/>
      <c r="AB35" s="71"/>
      <c r="AC35" s="71"/>
      <c r="AD35" s="71"/>
      <c r="AE35" s="71"/>
    </row>
    <row r="36" spans="1:31" s="350" customFormat="1">
      <c r="A36" s="233">
        <v>2.205E-2</v>
      </c>
      <c r="B36" s="203">
        <v>8190</v>
      </c>
      <c r="C36" s="232">
        <v>43879</v>
      </c>
      <c r="D36" s="232">
        <v>43880</v>
      </c>
      <c r="E36" s="196"/>
      <c r="F36" s="196"/>
      <c r="G36" s="332">
        <f t="shared" si="0"/>
        <v>1</v>
      </c>
      <c r="H36" s="333">
        <f t="shared" si="1"/>
        <v>1.0000612499999999</v>
      </c>
      <c r="I36" s="349">
        <f t="shared" si="4"/>
        <v>1.0029881716091615</v>
      </c>
      <c r="J36" s="326">
        <f t="shared" si="7"/>
        <v>1.8236657997008022E-9</v>
      </c>
      <c r="K36" s="244"/>
      <c r="L36" s="70"/>
      <c r="M36" s="68">
        <f t="shared" si="5"/>
        <v>15</v>
      </c>
      <c r="N36" s="73">
        <f t="shared" si="8"/>
        <v>2.2050001823665798E-2</v>
      </c>
      <c r="O36" s="70"/>
      <c r="P36" s="71"/>
      <c r="Q36" s="71"/>
      <c r="R36" s="71"/>
      <c r="S36" s="71"/>
      <c r="T36" s="71"/>
      <c r="U36" s="71"/>
      <c r="V36" s="71"/>
      <c r="W36" s="71"/>
      <c r="X36" s="71"/>
      <c r="Y36" s="71"/>
      <c r="Z36" s="71"/>
      <c r="AA36" s="71"/>
      <c r="AB36" s="71"/>
      <c r="AC36" s="71"/>
      <c r="AD36" s="71"/>
      <c r="AE36" s="71"/>
    </row>
    <row r="37" spans="1:31" s="350" customFormat="1">
      <c r="A37" s="233">
        <v>2.197E-2</v>
      </c>
      <c r="B37" s="203">
        <v>4100</v>
      </c>
      <c r="C37" s="232">
        <v>43880</v>
      </c>
      <c r="D37" s="232">
        <v>43881</v>
      </c>
      <c r="E37" s="196"/>
      <c r="F37" s="196"/>
      <c r="G37" s="332">
        <f t="shared" si="0"/>
        <v>1</v>
      </c>
      <c r="H37" s="333">
        <f t="shared" si="1"/>
        <v>1.0000610277777777</v>
      </c>
      <c r="I37" s="349">
        <f t="shared" si="4"/>
        <v>1.0030496046346724</v>
      </c>
      <c r="J37" s="326">
        <f t="shared" si="7"/>
        <v>-6.8387482750708355E-10</v>
      </c>
      <c r="K37" s="244"/>
      <c r="L37" s="70"/>
      <c r="M37" s="68">
        <f t="shared" si="5"/>
        <v>16</v>
      </c>
      <c r="N37" s="73">
        <f t="shared" si="8"/>
        <v>2.1969999316125172E-2</v>
      </c>
      <c r="O37" s="70"/>
      <c r="P37" s="71"/>
      <c r="Q37" s="71"/>
      <c r="R37" s="71"/>
      <c r="S37" s="71"/>
      <c r="T37" s="71"/>
      <c r="U37" s="71"/>
      <c r="V37" s="71"/>
      <c r="W37" s="71"/>
      <c r="X37" s="71"/>
      <c r="Y37" s="71"/>
      <c r="Z37" s="71"/>
      <c r="AA37" s="71"/>
      <c r="AB37" s="71"/>
      <c r="AC37" s="71"/>
      <c r="AD37" s="71"/>
      <c r="AE37" s="71"/>
    </row>
    <row r="38" spans="1:31" s="350" customFormat="1">
      <c r="A38" s="233">
        <v>2.1999999999999999E-2</v>
      </c>
      <c r="B38" s="203">
        <v>4934</v>
      </c>
      <c r="C38" s="232">
        <v>43881</v>
      </c>
      <c r="D38" s="232">
        <v>43882</v>
      </c>
      <c r="E38" s="196"/>
      <c r="F38" s="196"/>
      <c r="G38" s="332">
        <f t="shared" si="0"/>
        <v>1</v>
      </c>
      <c r="H38" s="333">
        <f t="shared" si="1"/>
        <v>1.0000611111111111</v>
      </c>
      <c r="I38" s="349">
        <f t="shared" si="4"/>
        <v>1.0031108185230442</v>
      </c>
      <c r="J38" s="326">
        <f t="shared" si="7"/>
        <v>-9.9754533092899851E-7</v>
      </c>
      <c r="K38" s="244"/>
      <c r="L38" s="70"/>
      <c r="M38" s="68">
        <f t="shared" si="5"/>
        <v>17</v>
      </c>
      <c r="N38" s="73">
        <f t="shared" si="8"/>
        <v>2.199900245466907E-2</v>
      </c>
      <c r="O38" s="70"/>
      <c r="P38" s="71"/>
      <c r="Q38" s="71"/>
      <c r="R38" s="71"/>
      <c r="S38" s="71"/>
      <c r="T38" s="71"/>
      <c r="U38" s="71"/>
      <c r="V38" s="71"/>
      <c r="W38" s="71"/>
      <c r="X38" s="71"/>
      <c r="Y38" s="71"/>
      <c r="Z38" s="71"/>
      <c r="AA38" s="71"/>
      <c r="AB38" s="71"/>
      <c r="AC38" s="71"/>
      <c r="AD38" s="71"/>
      <c r="AE38" s="71"/>
    </row>
    <row r="39" spans="1:31" s="350" customFormat="1">
      <c r="A39" s="233">
        <v>2.1919999999999999E-2</v>
      </c>
      <c r="B39" s="203">
        <v>5260</v>
      </c>
      <c r="C39" s="232">
        <v>43882</v>
      </c>
      <c r="D39" s="232">
        <v>43885</v>
      </c>
      <c r="E39" s="196"/>
      <c r="F39" s="196"/>
      <c r="G39" s="332">
        <f t="shared" si="0"/>
        <v>3</v>
      </c>
      <c r="H39" s="333">
        <f t="shared" si="1"/>
        <v>1.0001826666666667</v>
      </c>
      <c r="I39" s="349">
        <f t="shared" si="4"/>
        <v>1.0031721197397316</v>
      </c>
      <c r="J39" s="326">
        <f t="shared" si="7"/>
        <v>9.9897406210141464E-7</v>
      </c>
      <c r="K39" s="244"/>
      <c r="L39" s="70"/>
      <c r="M39" s="68">
        <f t="shared" si="5"/>
        <v>18</v>
      </c>
      <c r="N39" s="73">
        <f t="shared" si="8"/>
        <v>2.1920998974062099E-2</v>
      </c>
      <c r="O39" s="70"/>
      <c r="P39" s="71"/>
      <c r="Q39" s="71"/>
      <c r="R39" s="71"/>
      <c r="S39" s="71"/>
      <c r="T39" s="71"/>
      <c r="U39" s="71"/>
      <c r="V39" s="71"/>
      <c r="W39" s="71"/>
      <c r="X39" s="71"/>
      <c r="Y39" s="71"/>
      <c r="Z39" s="71"/>
      <c r="AA39" s="71"/>
      <c r="AB39" s="71"/>
      <c r="AC39" s="71"/>
      <c r="AD39" s="71"/>
      <c r="AE39" s="71"/>
    </row>
    <row r="40" spans="1:31" s="350" customFormat="1">
      <c r="A40" s="233">
        <v>2.1930000000000002E-2</v>
      </c>
      <c r="B40" s="203">
        <v>6774</v>
      </c>
      <c r="C40" s="232">
        <v>43885</v>
      </c>
      <c r="D40" s="232">
        <v>43886</v>
      </c>
      <c r="E40" s="196"/>
      <c r="F40" s="196"/>
      <c r="G40" s="332">
        <f t="shared" si="0"/>
        <v>1</v>
      </c>
      <c r="H40" s="333">
        <f t="shared" si="1"/>
        <v>1.0000609166666667</v>
      </c>
      <c r="I40" s="349">
        <f t="shared" si="4"/>
        <v>1.0033553658469374</v>
      </c>
      <c r="J40" s="326">
        <f t="shared" si="7"/>
        <v>-4.558958157756342E-10</v>
      </c>
      <c r="K40" s="244"/>
      <c r="L40" s="70"/>
      <c r="M40" s="68">
        <f t="shared" si="5"/>
        <v>19</v>
      </c>
      <c r="N40" s="73">
        <f t="shared" si="8"/>
        <v>2.1929999544104187E-2</v>
      </c>
      <c r="O40" s="70"/>
      <c r="P40" s="71"/>
      <c r="Q40" s="260" t="s">
        <v>3</v>
      </c>
      <c r="R40" s="71"/>
      <c r="S40" s="71"/>
      <c r="T40" s="71"/>
      <c r="U40" s="71"/>
      <c r="V40" s="71"/>
      <c r="W40" s="71"/>
      <c r="X40" s="71"/>
      <c r="Y40" s="71"/>
      <c r="Z40" s="71"/>
      <c r="AA40" s="71"/>
      <c r="AB40" s="71"/>
      <c r="AC40" s="71"/>
      <c r="AD40" s="71"/>
      <c r="AE40" s="71"/>
    </row>
    <row r="41" spans="1:31" s="350" customFormat="1">
      <c r="A41" s="233">
        <v>2.1950000000000001E-2</v>
      </c>
      <c r="B41" s="203">
        <v>6025</v>
      </c>
      <c r="C41" s="232">
        <v>43886</v>
      </c>
      <c r="D41" s="232">
        <v>43887</v>
      </c>
      <c r="E41" s="196"/>
      <c r="F41" s="196"/>
      <c r="G41" s="332">
        <f t="shared" si="0"/>
        <v>1</v>
      </c>
      <c r="H41" s="333">
        <f t="shared" si="1"/>
        <v>1.0000609722222222</v>
      </c>
      <c r="I41" s="349">
        <f t="shared" si="4"/>
        <v>1.0034164869113069</v>
      </c>
      <c r="J41" s="326">
        <f t="shared" si="7"/>
        <v>-6.838436863075988E-10</v>
      </c>
      <c r="K41" s="244"/>
      <c r="L41" s="70"/>
      <c r="M41" s="68">
        <f t="shared" si="5"/>
        <v>20</v>
      </c>
      <c r="N41" s="73">
        <f t="shared" si="8"/>
        <v>2.1949999316156314E-2</v>
      </c>
      <c r="O41" s="70"/>
      <c r="P41" s="71"/>
      <c r="Q41" s="260" t="s">
        <v>4</v>
      </c>
      <c r="R41" s="71"/>
      <c r="S41" s="71"/>
      <c r="T41" s="71"/>
      <c r="U41" s="71"/>
      <c r="V41" s="71"/>
      <c r="W41" s="71"/>
      <c r="X41" s="71"/>
      <c r="Y41" s="71"/>
      <c r="Z41" s="71"/>
      <c r="AA41" s="71"/>
      <c r="AB41" s="71"/>
      <c r="AC41" s="71"/>
      <c r="AD41" s="71"/>
      <c r="AE41" s="71"/>
    </row>
    <row r="42" spans="1:31" s="350" customFormat="1">
      <c r="A42" s="233">
        <v>2.198E-2</v>
      </c>
      <c r="B42" s="203">
        <v>4913</v>
      </c>
      <c r="C42" s="232">
        <v>43887</v>
      </c>
      <c r="D42" s="232">
        <v>43888</v>
      </c>
      <c r="E42" s="196"/>
      <c r="F42" s="196"/>
      <c r="G42" s="332">
        <f t="shared" si="0"/>
        <v>1</v>
      </c>
      <c r="H42" s="333">
        <f t="shared" si="1"/>
        <v>1.0000610555555556</v>
      </c>
      <c r="I42" s="349">
        <f t="shared" si="4"/>
        <v>1.0034776674443284</v>
      </c>
      <c r="J42" s="326">
        <f t="shared" si="7"/>
        <v>5.6986969027002224E-9</v>
      </c>
      <c r="K42" s="244"/>
      <c r="L42" s="70"/>
      <c r="M42" s="68">
        <f t="shared" si="5"/>
        <v>21</v>
      </c>
      <c r="N42" s="73">
        <f t="shared" si="8"/>
        <v>2.1980005698696903E-2</v>
      </c>
      <c r="O42" s="70"/>
      <c r="P42" s="71"/>
      <c r="R42" s="71"/>
      <c r="S42" s="71"/>
      <c r="T42" s="91"/>
      <c r="U42" s="91"/>
      <c r="V42" s="71"/>
      <c r="W42" s="71"/>
      <c r="X42" s="71"/>
      <c r="Y42" s="71"/>
      <c r="Z42" s="71"/>
      <c r="AA42" s="71"/>
      <c r="AB42" s="71"/>
      <c r="AC42" s="71"/>
      <c r="AD42" s="71"/>
      <c r="AE42" s="71"/>
    </row>
    <row r="43" spans="1:31" s="350" customFormat="1">
      <c r="A43" s="233">
        <v>2.1729999999999999E-2</v>
      </c>
      <c r="B43" s="203">
        <v>5867</v>
      </c>
      <c r="C43" s="232">
        <v>43888</v>
      </c>
      <c r="D43" s="232">
        <v>43889</v>
      </c>
      <c r="E43" s="196"/>
      <c r="F43" s="196"/>
      <c r="G43" s="332">
        <f t="shared" si="0"/>
        <v>1</v>
      </c>
      <c r="H43" s="333">
        <f t="shared" si="1"/>
        <v>1.0000603611111112</v>
      </c>
      <c r="I43" s="349">
        <f t="shared" si="4"/>
        <v>1.003538935330802</v>
      </c>
      <c r="J43" s="326">
        <f t="shared" si="7"/>
        <v>-1.0077582601121532E-6</v>
      </c>
      <c r="K43" s="244"/>
      <c r="L43" s="70"/>
      <c r="M43" s="68">
        <f t="shared" si="5"/>
        <v>22</v>
      </c>
      <c r="N43" s="73">
        <f t="shared" si="8"/>
        <v>2.1728992241739888E-2</v>
      </c>
      <c r="O43" s="70"/>
      <c r="P43" s="71"/>
      <c r="Q43" s="71"/>
      <c r="R43" s="71"/>
      <c r="S43" s="71"/>
      <c r="V43" s="71"/>
      <c r="W43" s="71"/>
      <c r="X43" s="71"/>
      <c r="Y43" s="71"/>
      <c r="Z43" s="71"/>
      <c r="AA43" s="71"/>
      <c r="AB43" s="71"/>
      <c r="AC43" s="71"/>
      <c r="AD43" s="71"/>
      <c r="AE43" s="71"/>
    </row>
    <row r="44" spans="1:31" s="350" customFormat="1">
      <c r="A44" s="233">
        <v>2.198E-2</v>
      </c>
      <c r="B44" s="203">
        <v>5413</v>
      </c>
      <c r="C44" s="232">
        <v>43889</v>
      </c>
      <c r="D44" s="232">
        <v>43892</v>
      </c>
      <c r="E44" s="196"/>
      <c r="F44" s="196"/>
      <c r="G44" s="332">
        <f t="shared" si="0"/>
        <v>3</v>
      </c>
      <c r="H44" s="333">
        <f t="shared" si="1"/>
        <v>1.0001831666666667</v>
      </c>
      <c r="I44" s="349">
        <f t="shared" si="4"/>
        <v>1.0035995100559818</v>
      </c>
      <c r="J44" s="326">
        <f t="shared" si="7"/>
        <v>1.0041699412948778E-6</v>
      </c>
      <c r="K44" s="244"/>
      <c r="L44" s="70"/>
      <c r="M44" s="68">
        <f t="shared" si="5"/>
        <v>23</v>
      </c>
      <c r="N44" s="73">
        <f t="shared" si="8"/>
        <v>2.1981004169941296E-2</v>
      </c>
      <c r="O44" s="70"/>
      <c r="P44" s="71"/>
      <c r="Q44" s="357" t="s">
        <v>124</v>
      </c>
      <c r="R44" s="358"/>
      <c r="S44" s="71"/>
      <c r="T44" s="347" t="s">
        <v>125</v>
      </c>
      <c r="U44" s="355"/>
      <c r="V44" s="71"/>
      <c r="W44" s="71"/>
      <c r="X44" s="71"/>
      <c r="Y44" s="71"/>
      <c r="Z44" s="71"/>
      <c r="AA44" s="71"/>
      <c r="AB44" s="71"/>
      <c r="AC44" s="71"/>
      <c r="AD44" s="71"/>
      <c r="AE44" s="71"/>
    </row>
    <row r="45" spans="1:31" s="350" customFormat="1">
      <c r="A45" s="233">
        <v>2.188E-2</v>
      </c>
      <c r="B45" s="203">
        <v>5634</v>
      </c>
      <c r="C45" s="232">
        <v>43892</v>
      </c>
      <c r="D45" s="232">
        <v>43893</v>
      </c>
      <c r="E45" s="196"/>
      <c r="F45" s="196"/>
      <c r="G45" s="332">
        <f t="shared" si="0"/>
        <v>1</v>
      </c>
      <c r="H45" s="333">
        <f t="shared" si="1"/>
        <v>1.0000607777777777</v>
      </c>
      <c r="I45" s="349">
        <f t="shared" si="4"/>
        <v>1.0037833360329071</v>
      </c>
      <c r="J45" s="326">
        <f t="shared" si="7"/>
        <v>6.8381264178849809E-10</v>
      </c>
      <c r="K45" s="244"/>
      <c r="L45" s="70"/>
      <c r="M45" s="68">
        <f t="shared" si="5"/>
        <v>24</v>
      </c>
      <c r="N45" s="73">
        <f t="shared" si="8"/>
        <v>2.1880000683812642E-2</v>
      </c>
      <c r="O45" s="70"/>
      <c r="P45" s="71"/>
      <c r="Q45" s="360"/>
      <c r="R45" s="360"/>
      <c r="S45" s="71"/>
      <c r="T45" s="359"/>
      <c r="U45" s="359"/>
      <c r="V45" s="71"/>
      <c r="W45" s="71"/>
      <c r="X45" s="71"/>
      <c r="Y45" s="71"/>
      <c r="Z45" s="71"/>
      <c r="AA45" s="71"/>
      <c r="AB45" s="71"/>
      <c r="AC45" s="71"/>
      <c r="AD45" s="71"/>
      <c r="AE45" s="71"/>
    </row>
    <row r="46" spans="1:31" s="350" customFormat="1">
      <c r="A46" s="233">
        <v>2.1850000000000001E-2</v>
      </c>
      <c r="B46" s="203">
        <v>7909</v>
      </c>
      <c r="C46" s="232">
        <v>43893</v>
      </c>
      <c r="D46" s="232">
        <v>43894</v>
      </c>
      <c r="E46" s="196"/>
      <c r="F46" s="196"/>
      <c r="G46" s="332">
        <f t="shared" si="0"/>
        <v>1</v>
      </c>
      <c r="H46" s="333">
        <f t="shared" si="1"/>
        <v>1.0000606944444443</v>
      </c>
      <c r="I46" s="349">
        <f t="shared" si="4"/>
        <v>1.0038443437534414</v>
      </c>
      <c r="J46" s="326">
        <f t="shared" si="7"/>
        <v>-1.5955629641607364E-9</v>
      </c>
      <c r="K46" s="244"/>
      <c r="L46" s="70"/>
      <c r="M46" s="68">
        <f t="shared" si="5"/>
        <v>25</v>
      </c>
      <c r="N46" s="73">
        <f t="shared" si="8"/>
        <v>2.1849998404437038E-2</v>
      </c>
      <c r="O46" s="70"/>
      <c r="P46" s="71"/>
      <c r="Q46" s="360" t="s">
        <v>111</v>
      </c>
      <c r="R46" s="361">
        <v>1.7350000000000001E-2</v>
      </c>
      <c r="S46" s="71"/>
      <c r="T46" s="359" t="s">
        <v>111</v>
      </c>
      <c r="U46" s="371">
        <v>1.4780929861252578E-2</v>
      </c>
      <c r="V46" s="71"/>
      <c r="W46" s="71"/>
      <c r="X46" s="71"/>
      <c r="Y46" s="71"/>
      <c r="Z46" s="71"/>
      <c r="AA46" s="71"/>
      <c r="AB46" s="71"/>
      <c r="AC46" s="71"/>
      <c r="AD46" s="71"/>
      <c r="AE46" s="71"/>
    </row>
    <row r="47" spans="1:31" s="350" customFormat="1">
      <c r="A47" s="233">
        <v>2.1919999999999999E-2</v>
      </c>
      <c r="B47" s="203">
        <v>6985</v>
      </c>
      <c r="C47" s="232">
        <v>43894</v>
      </c>
      <c r="D47" s="232">
        <v>43895</v>
      </c>
      <c r="E47" s="196"/>
      <c r="F47" s="196"/>
      <c r="G47" s="332">
        <f t="shared" si="0"/>
        <v>1</v>
      </c>
      <c r="H47" s="333">
        <f t="shared" si="1"/>
        <v>1.0000608888888889</v>
      </c>
      <c r="I47" s="349">
        <f t="shared" si="4"/>
        <v>1.0039052715281942</v>
      </c>
      <c r="J47" s="326">
        <f t="shared" si="7"/>
        <v>-1.8235001746288391E-9</v>
      </c>
      <c r="K47" s="244"/>
      <c r="L47" s="70"/>
      <c r="M47" s="68">
        <f t="shared" si="5"/>
        <v>26</v>
      </c>
      <c r="N47" s="73">
        <f t="shared" si="8"/>
        <v>2.1919998176499825E-2</v>
      </c>
      <c r="O47" s="70"/>
      <c r="P47" s="71"/>
      <c r="Q47" s="360" t="s">
        <v>112</v>
      </c>
      <c r="R47" s="360">
        <v>2.1589999999999999E-4</v>
      </c>
      <c r="S47" s="71"/>
      <c r="T47" s="359" t="s">
        <v>112</v>
      </c>
      <c r="U47" s="359">
        <v>4.444769142782221E-4</v>
      </c>
      <c r="V47" s="71"/>
      <c r="W47" s="71"/>
      <c r="X47" s="71"/>
      <c r="Y47" s="71"/>
      <c r="Z47" s="71"/>
      <c r="AA47" s="71"/>
      <c r="AB47" s="71"/>
      <c r="AC47" s="71"/>
      <c r="AD47" s="71"/>
      <c r="AE47" s="71"/>
    </row>
    <row r="48" spans="1:31" s="350" customFormat="1">
      <c r="A48" s="233">
        <v>2.1999999999999999E-2</v>
      </c>
      <c r="B48" s="203">
        <v>6150</v>
      </c>
      <c r="C48" s="232">
        <v>43895</v>
      </c>
      <c r="D48" s="232">
        <v>43896</v>
      </c>
      <c r="E48" s="196"/>
      <c r="F48" s="196"/>
      <c r="G48" s="332">
        <f t="shared" si="0"/>
        <v>1</v>
      </c>
      <c r="H48" s="333">
        <f t="shared" si="1"/>
        <v>1.0000611111111111</v>
      </c>
      <c r="I48" s="349">
        <f t="shared" si="4"/>
        <v>1.0039663982047273</v>
      </c>
      <c r="J48" s="326">
        <f t="shared" si="7"/>
        <v>-1.0042924983233438E-6</v>
      </c>
      <c r="K48" s="244"/>
      <c r="L48" s="70"/>
      <c r="M48" s="68">
        <f t="shared" si="5"/>
        <v>27</v>
      </c>
      <c r="N48" s="73">
        <f t="shared" si="8"/>
        <v>2.1998995707501676E-2</v>
      </c>
      <c r="O48" s="70"/>
      <c r="P48" s="71"/>
      <c r="Q48" s="360" t="s">
        <v>113</v>
      </c>
      <c r="R48" s="360">
        <v>1.477E-2</v>
      </c>
      <c r="S48" s="71"/>
      <c r="T48" s="359" t="s">
        <v>113</v>
      </c>
      <c r="U48" s="359">
        <v>1.4329259540568184E-2</v>
      </c>
      <c r="V48" s="71"/>
      <c r="W48" s="71"/>
      <c r="X48" s="71"/>
      <c r="Y48" s="71"/>
      <c r="Z48" s="71"/>
      <c r="AA48" s="71"/>
      <c r="AB48" s="71"/>
      <c r="AC48" s="71"/>
      <c r="AD48" s="71"/>
      <c r="AE48" s="71"/>
    </row>
    <row r="49" spans="1:31" s="350" customFormat="1">
      <c r="A49" s="233">
        <v>2.2020000000000001E-2</v>
      </c>
      <c r="B49" s="203">
        <v>6305</v>
      </c>
      <c r="C49" s="232">
        <v>43896</v>
      </c>
      <c r="D49" s="232">
        <v>43899</v>
      </c>
      <c r="E49" s="196"/>
      <c r="F49" s="196"/>
      <c r="G49" s="332">
        <f t="shared" si="0"/>
        <v>3</v>
      </c>
      <c r="H49" s="333">
        <f t="shared" si="1"/>
        <v>1.0001834999999999</v>
      </c>
      <c r="I49" s="349">
        <f t="shared" si="4"/>
        <v>1.0040277517068399</v>
      </c>
      <c r="J49" s="326">
        <f t="shared" si="7"/>
        <v>1.0048075259131496E-6</v>
      </c>
      <c r="K49" s="244"/>
      <c r="L49" s="70"/>
      <c r="M49" s="68">
        <f t="shared" si="5"/>
        <v>28</v>
      </c>
      <c r="N49" s="73">
        <f t="shared" si="8"/>
        <v>2.2021004807525914E-2</v>
      </c>
      <c r="O49" s="70"/>
      <c r="P49" s="71"/>
      <c r="Q49" s="360" t="s">
        <v>114</v>
      </c>
      <c r="R49" s="360">
        <v>1.423E-2</v>
      </c>
      <c r="S49" s="71"/>
      <c r="T49" s="359" t="s">
        <v>114</v>
      </c>
      <c r="U49" s="359" t="e">
        <v>#N/A</v>
      </c>
      <c r="V49" s="71"/>
      <c r="W49" s="71"/>
      <c r="X49" s="71"/>
      <c r="Y49" s="71"/>
      <c r="Z49" s="71"/>
      <c r="AA49" s="71"/>
      <c r="AB49" s="71"/>
      <c r="AC49" s="71"/>
      <c r="AD49" s="71"/>
      <c r="AE49" s="71"/>
    </row>
    <row r="50" spans="1:31" s="350" customFormat="1">
      <c r="A50" s="233">
        <v>2.197E-2</v>
      </c>
      <c r="B50" s="203">
        <v>7622</v>
      </c>
      <c r="C50" s="232">
        <v>43899</v>
      </c>
      <c r="D50" s="232">
        <v>43900</v>
      </c>
      <c r="E50" s="196"/>
      <c r="F50" s="196"/>
      <c r="G50" s="332">
        <f t="shared" si="0"/>
        <v>1</v>
      </c>
      <c r="H50" s="333">
        <f t="shared" si="1"/>
        <v>1.0000610277777777</v>
      </c>
      <c r="I50" s="349">
        <f t="shared" si="4"/>
        <v>1.0042119907992779</v>
      </c>
      <c r="J50" s="326">
        <f t="shared" si="7"/>
        <v>3.8747606823536987E-9</v>
      </c>
      <c r="K50" s="244"/>
      <c r="L50" s="70"/>
      <c r="M50" s="68">
        <f t="shared" si="5"/>
        <v>29</v>
      </c>
      <c r="N50" s="73">
        <f t="shared" si="8"/>
        <v>2.1970003874760682E-2</v>
      </c>
      <c r="O50" s="70"/>
      <c r="P50" s="71"/>
      <c r="Q50" s="360" t="s">
        <v>115</v>
      </c>
      <c r="R50" s="361">
        <v>3.3500000000000001E-3</v>
      </c>
      <c r="S50" s="71"/>
      <c r="T50" s="359" t="s">
        <v>115</v>
      </c>
      <c r="U50" s="371">
        <v>1.1759753786895499E-3</v>
      </c>
      <c r="V50" s="372"/>
      <c r="W50" s="71"/>
      <c r="X50" s="71"/>
      <c r="Y50" s="71"/>
      <c r="Z50" s="71"/>
      <c r="AA50" s="71"/>
      <c r="AB50" s="71"/>
      <c r="AC50" s="71"/>
      <c r="AD50" s="71"/>
      <c r="AE50" s="71"/>
    </row>
    <row r="51" spans="1:31" s="350" customFormat="1">
      <c r="A51" s="233">
        <v>2.18E-2</v>
      </c>
      <c r="B51" s="203">
        <v>8523</v>
      </c>
      <c r="C51" s="232">
        <v>43900</v>
      </c>
      <c r="D51" s="232">
        <v>43901</v>
      </c>
      <c r="E51" s="196"/>
      <c r="F51" s="196"/>
      <c r="G51" s="332">
        <f t="shared" si="0"/>
        <v>1</v>
      </c>
      <c r="H51" s="333">
        <f t="shared" si="1"/>
        <v>1.0000605555555555</v>
      </c>
      <c r="I51" s="349">
        <f t="shared" si="4"/>
        <v>1.0042732756254942</v>
      </c>
      <c r="J51" s="326">
        <f t="shared" si="7"/>
        <v>-2.2792720677496945E-9</v>
      </c>
      <c r="K51" s="244"/>
      <c r="L51" s="70"/>
      <c r="M51" s="68">
        <f t="shared" si="5"/>
        <v>30</v>
      </c>
      <c r="N51" s="73">
        <f t="shared" si="8"/>
        <v>2.1799997720727934E-2</v>
      </c>
      <c r="O51" s="70"/>
      <c r="P51" s="71"/>
      <c r="Q51" s="360" t="s">
        <v>116</v>
      </c>
      <c r="R51" s="362">
        <v>1.1234E-5</v>
      </c>
      <c r="S51" s="71"/>
      <c r="T51" s="359" t="s">
        <v>116</v>
      </c>
      <c r="U51" s="359">
        <v>1.3829180912840301E-6</v>
      </c>
      <c r="V51" s="71"/>
      <c r="W51" s="71"/>
      <c r="X51" s="71"/>
      <c r="Y51" s="71"/>
      <c r="Z51" s="71"/>
      <c r="AA51" s="71"/>
      <c r="AB51" s="71"/>
      <c r="AC51" s="71"/>
      <c r="AD51" s="71"/>
      <c r="AE51" s="71"/>
    </row>
    <row r="52" spans="1:31" s="350" customFormat="1">
      <c r="A52" s="233">
        <v>2.1899999999999999E-2</v>
      </c>
      <c r="B52" s="203">
        <v>8405</v>
      </c>
      <c r="C52" s="232">
        <v>43901</v>
      </c>
      <c r="D52" s="232">
        <v>43902</v>
      </c>
      <c r="E52" s="196"/>
      <c r="F52" s="196"/>
      <c r="G52" s="332">
        <f t="shared" si="0"/>
        <v>1</v>
      </c>
      <c r="H52" s="333">
        <f t="shared" si="1"/>
        <v>1.0000608333333334</v>
      </c>
      <c r="I52" s="349">
        <f t="shared" si="4"/>
        <v>1.0043340899516293</v>
      </c>
      <c r="J52" s="326">
        <f t="shared" si="7"/>
        <v>-4.5585428655162046E-9</v>
      </c>
      <c r="K52" s="244"/>
      <c r="L52" s="70"/>
      <c r="M52" s="68">
        <f t="shared" si="5"/>
        <v>31</v>
      </c>
      <c r="N52" s="73">
        <f t="shared" si="8"/>
        <v>2.1899995441457133E-2</v>
      </c>
      <c r="O52" s="70"/>
      <c r="P52" s="71"/>
      <c r="Q52" s="360" t="s">
        <v>117</v>
      </c>
      <c r="R52" s="360">
        <v>-1.6474066999999999</v>
      </c>
      <c r="S52" s="71"/>
      <c r="T52" s="359" t="s">
        <v>117</v>
      </c>
      <c r="U52" s="359">
        <v>6.4868799560930661</v>
      </c>
      <c r="V52" s="71"/>
      <c r="W52" s="71"/>
      <c r="X52" s="71"/>
      <c r="Y52" s="71"/>
      <c r="Z52" s="71"/>
      <c r="AA52" s="71"/>
      <c r="AB52" s="71"/>
      <c r="AC52" s="71"/>
      <c r="AD52" s="71"/>
      <c r="AE52" s="71"/>
    </row>
    <row r="53" spans="1:31" s="350" customFormat="1">
      <c r="A53" s="233">
        <v>2.2100000000000002E-2</v>
      </c>
      <c r="B53" s="203">
        <v>8120</v>
      </c>
      <c r="C53" s="232">
        <v>43902</v>
      </c>
      <c r="D53" s="232">
        <v>43903</v>
      </c>
      <c r="E53" s="196"/>
      <c r="F53" s="196"/>
      <c r="G53" s="332">
        <f t="shared" si="0"/>
        <v>1</v>
      </c>
      <c r="H53" s="333">
        <f t="shared" si="1"/>
        <v>1.000061388888889</v>
      </c>
      <c r="I53" s="349">
        <f t="shared" si="4"/>
        <v>1.0043951869421015</v>
      </c>
      <c r="J53" s="326">
        <f t="shared" si="7"/>
        <v>-1.0005996032283308E-6</v>
      </c>
      <c r="K53" s="244"/>
      <c r="L53" s="70"/>
      <c r="M53" s="68">
        <f t="shared" si="5"/>
        <v>32</v>
      </c>
      <c r="N53" s="73">
        <f t="shared" si="8"/>
        <v>2.2098999400396772E-2</v>
      </c>
      <c r="O53" s="70"/>
      <c r="P53" s="71"/>
      <c r="Q53" s="360" t="s">
        <v>118</v>
      </c>
      <c r="R53" s="360">
        <v>0.27695530000000002</v>
      </c>
      <c r="S53" s="71"/>
      <c r="T53" s="359" t="s">
        <v>118</v>
      </c>
      <c r="U53" s="359">
        <v>2.5263827786246771</v>
      </c>
      <c r="V53" s="71"/>
      <c r="W53" s="71"/>
      <c r="X53" s="71"/>
      <c r="Y53" s="71"/>
      <c r="Z53" s="71"/>
      <c r="AA53" s="71"/>
      <c r="AB53" s="71"/>
      <c r="AC53" s="71"/>
      <c r="AD53" s="71"/>
      <c r="AE53" s="71"/>
    </row>
    <row r="54" spans="1:31" s="350" customFormat="1">
      <c r="A54" s="233">
        <v>2.1999999999999999E-2</v>
      </c>
      <c r="B54" s="203">
        <v>5704</v>
      </c>
      <c r="C54" s="232">
        <v>43903</v>
      </c>
      <c r="D54" s="232">
        <v>43906</v>
      </c>
      <c r="E54" s="196"/>
      <c r="F54" s="196"/>
      <c r="G54" s="332">
        <f t="shared" si="0"/>
        <v>3</v>
      </c>
      <c r="H54" s="333">
        <f t="shared" si="1"/>
        <v>1.0001833333333334</v>
      </c>
      <c r="I54" s="349">
        <f t="shared" si="4"/>
        <v>1.0044568456466334</v>
      </c>
      <c r="J54" s="326">
        <f t="shared" si="7"/>
        <v>9.8698655867580416E-7</v>
      </c>
      <c r="K54" s="244"/>
      <c r="L54" s="70"/>
      <c r="M54" s="68">
        <f t="shared" si="5"/>
        <v>33</v>
      </c>
      <c r="N54" s="73">
        <f t="shared" si="8"/>
        <v>2.2000986986558675E-2</v>
      </c>
      <c r="O54" s="70"/>
      <c r="P54" s="71"/>
      <c r="Q54" s="360" t="s">
        <v>119</v>
      </c>
      <c r="R54" s="361">
        <v>1.0880000000000001E-2</v>
      </c>
      <c r="S54" s="71"/>
      <c r="T54" s="359" t="s">
        <v>119</v>
      </c>
      <c r="U54" s="359">
        <v>3.2374692419888784E-3</v>
      </c>
      <c r="V54" s="71"/>
      <c r="W54" s="71"/>
      <c r="X54" s="71"/>
      <c r="Y54" s="71"/>
      <c r="Z54" s="71"/>
      <c r="AA54" s="71"/>
      <c r="AB54" s="71"/>
      <c r="AC54" s="71"/>
      <c r="AD54" s="71"/>
      <c r="AE54" s="71"/>
    </row>
    <row r="55" spans="1:31" s="350" customFormat="1">
      <c r="A55" s="233">
        <v>2.2689999999999998E-2</v>
      </c>
      <c r="B55" s="203">
        <v>9157</v>
      </c>
      <c r="C55" s="232">
        <v>43906</v>
      </c>
      <c r="D55" s="232">
        <v>43907</v>
      </c>
      <c r="E55" s="196"/>
      <c r="F55" s="196"/>
      <c r="G55" s="332">
        <f t="shared" si="0"/>
        <v>1</v>
      </c>
      <c r="H55" s="333">
        <f t="shared" si="1"/>
        <v>1.0000630277777778</v>
      </c>
      <c r="I55" s="349">
        <f t="shared" si="4"/>
        <v>1.0046409960683353</v>
      </c>
      <c r="J55" s="326">
        <f t="shared" si="7"/>
        <v>-4.2848255538812282E-8</v>
      </c>
      <c r="K55" s="244"/>
      <c r="L55" s="70"/>
      <c r="M55" s="68">
        <f t="shared" si="5"/>
        <v>34</v>
      </c>
      <c r="N55" s="73">
        <f t="shared" si="8"/>
        <v>2.2689957151744461E-2</v>
      </c>
      <c r="O55" s="70"/>
      <c r="P55" s="71"/>
      <c r="Q55" s="360" t="s">
        <v>120</v>
      </c>
      <c r="R55" s="361">
        <v>1.3690000000000001E-2</v>
      </c>
      <c r="S55" s="71"/>
      <c r="T55" s="359" t="s">
        <v>120</v>
      </c>
      <c r="U55" s="371">
        <v>1.418E-2</v>
      </c>
      <c r="V55" s="71"/>
      <c r="W55" s="71"/>
      <c r="X55" s="71"/>
      <c r="Y55" s="71"/>
      <c r="Z55" s="71"/>
      <c r="AA55" s="71"/>
      <c r="AB55" s="71"/>
      <c r="AC55" s="71"/>
      <c r="AD55" s="71"/>
      <c r="AE55" s="71"/>
    </row>
    <row r="56" spans="1:31" s="350" customFormat="1">
      <c r="A56" s="233">
        <v>2.4570000000000002E-2</v>
      </c>
      <c r="B56" s="203">
        <v>8053</v>
      </c>
      <c r="C56" s="232">
        <v>43907</v>
      </c>
      <c r="D56" s="232">
        <v>43908</v>
      </c>
      <c r="E56" s="196"/>
      <c r="F56" s="196"/>
      <c r="G56" s="332">
        <f t="shared" si="0"/>
        <v>1</v>
      </c>
      <c r="H56" s="333">
        <f t="shared" si="1"/>
        <v>1.00006825</v>
      </c>
      <c r="I56" s="349">
        <f t="shared" si="4"/>
        <v>1.004704316357782</v>
      </c>
      <c r="J56" s="326">
        <f t="shared" si="7"/>
        <v>6.9286179065198419E-8</v>
      </c>
      <c r="K56" s="244"/>
      <c r="L56" s="70"/>
      <c r="M56" s="68">
        <f t="shared" si="5"/>
        <v>35</v>
      </c>
      <c r="N56" s="73">
        <f t="shared" si="8"/>
        <v>2.4570069286179066E-2</v>
      </c>
      <c r="O56" s="70"/>
      <c r="P56" s="71"/>
      <c r="Q56" s="360" t="s">
        <v>121</v>
      </c>
      <c r="R56" s="361">
        <v>2.4570000000000002E-2</v>
      </c>
      <c r="S56" s="71"/>
      <c r="T56" s="359" t="s">
        <v>121</v>
      </c>
      <c r="U56" s="371">
        <v>1.7417469241988878E-2</v>
      </c>
      <c r="V56" s="71"/>
      <c r="W56" s="71"/>
      <c r="X56" s="71"/>
      <c r="Y56" s="71"/>
      <c r="Z56" s="71"/>
      <c r="AA56" s="71"/>
      <c r="AB56" s="71"/>
      <c r="AC56" s="71"/>
      <c r="AD56" s="71"/>
      <c r="AE56" s="71"/>
    </row>
    <row r="57" spans="1:31" s="350" customFormat="1">
      <c r="A57" s="233">
        <v>2.1530000000000001E-2</v>
      </c>
      <c r="B57" s="203">
        <v>7786</v>
      </c>
      <c r="C57" s="232">
        <v>43908</v>
      </c>
      <c r="D57" s="232">
        <v>43909</v>
      </c>
      <c r="E57" s="196"/>
      <c r="F57" s="196"/>
      <c r="G57" s="332">
        <f t="shared" si="0"/>
        <v>1</v>
      </c>
      <c r="H57" s="333">
        <f t="shared" si="1"/>
        <v>1.0000598055555556</v>
      </c>
      <c r="I57" s="349">
        <f t="shared" si="4"/>
        <v>1.0047728874273734</v>
      </c>
      <c r="J57" s="326">
        <f t="shared" si="7"/>
        <v>4.8546318278438985E-8</v>
      </c>
      <c r="K57" s="244"/>
      <c r="L57" s="70"/>
      <c r="M57" s="68">
        <f t="shared" si="5"/>
        <v>36</v>
      </c>
      <c r="N57" s="73">
        <f t="shared" si="8"/>
        <v>2.1530048546318278E-2</v>
      </c>
      <c r="O57" s="70"/>
      <c r="P57" s="71"/>
      <c r="Q57" s="360" t="s">
        <v>122</v>
      </c>
      <c r="R57" s="360">
        <v>4.1802999999999999</v>
      </c>
      <c r="S57" s="71"/>
      <c r="T57" s="359" t="s">
        <v>122</v>
      </c>
      <c r="U57" s="359">
        <v>0.10346650902876804</v>
      </c>
      <c r="V57" s="71"/>
      <c r="W57" s="71"/>
      <c r="X57" s="71"/>
      <c r="Y57" s="71"/>
      <c r="Z57" s="71"/>
      <c r="AA57" s="71"/>
      <c r="AB57" s="71"/>
      <c r="AC57" s="71"/>
      <c r="AD57" s="71"/>
      <c r="AE57" s="71"/>
    </row>
    <row r="58" spans="1:31" s="350" customFormat="1" ht="17" thickBot="1">
      <c r="A58" s="233">
        <v>1.9400000000000001E-2</v>
      </c>
      <c r="B58" s="203">
        <v>6974</v>
      </c>
      <c r="C58" s="232">
        <v>43909</v>
      </c>
      <c r="D58" s="232">
        <v>43910</v>
      </c>
      <c r="E58" s="196"/>
      <c r="F58" s="196"/>
      <c r="G58" s="332">
        <f t="shared" si="0"/>
        <v>1</v>
      </c>
      <c r="H58" s="333">
        <f t="shared" si="1"/>
        <v>1.0000538888888888</v>
      </c>
      <c r="I58" s="349">
        <f t="shared" si="4"/>
        <v>1.0048329784281131</v>
      </c>
      <c r="J58" s="326">
        <f t="shared" si="7"/>
        <v>-8.945794674428944E-7</v>
      </c>
      <c r="K58" s="244"/>
      <c r="L58" s="70"/>
      <c r="M58" s="68">
        <f t="shared" si="5"/>
        <v>37</v>
      </c>
      <c r="N58" s="73">
        <f t="shared" si="8"/>
        <v>1.9399105420532557E-2</v>
      </c>
      <c r="O58" s="70"/>
      <c r="P58" s="71"/>
      <c r="Q58" s="370" t="s">
        <v>123</v>
      </c>
      <c r="R58" s="370">
        <v>241</v>
      </c>
      <c r="S58" s="71"/>
      <c r="T58" s="363" t="s">
        <v>123</v>
      </c>
      <c r="U58" s="363">
        <v>7</v>
      </c>
      <c r="V58" s="71"/>
      <c r="W58" s="71"/>
      <c r="X58" s="71"/>
      <c r="Y58" s="71"/>
      <c r="Z58" s="71"/>
      <c r="AA58" s="71"/>
      <c r="AB58" s="71"/>
      <c r="AC58" s="71"/>
      <c r="AD58" s="71"/>
      <c r="AE58" s="71"/>
    </row>
    <row r="59" spans="1:31" s="350" customFormat="1">
      <c r="A59" s="233">
        <v>1.9550000000000001E-2</v>
      </c>
      <c r="B59" s="203">
        <v>7019</v>
      </c>
      <c r="C59" s="232">
        <v>43910</v>
      </c>
      <c r="D59" s="232">
        <v>43913</v>
      </c>
      <c r="E59" s="196"/>
      <c r="F59" s="196"/>
      <c r="G59" s="332">
        <f t="shared" si="0"/>
        <v>3</v>
      </c>
      <c r="H59" s="333">
        <f t="shared" si="1"/>
        <v>1.0001629166666666</v>
      </c>
      <c r="I59" s="349">
        <f t="shared" si="4"/>
        <v>1.0048871277608395</v>
      </c>
      <c r="J59" s="326">
        <f t="shared" si="7"/>
        <v>8.9694788933332325E-7</v>
      </c>
      <c r="K59" s="244"/>
      <c r="L59" s="70"/>
      <c r="M59" s="68">
        <f t="shared" si="5"/>
        <v>38</v>
      </c>
      <c r="N59" s="73">
        <f t="shared" si="8"/>
        <v>1.9550896947889335E-2</v>
      </c>
      <c r="O59" s="70"/>
      <c r="P59" s="71"/>
      <c r="Q59" s="71"/>
      <c r="R59" s="71"/>
      <c r="S59" s="71"/>
      <c r="T59" s="71"/>
      <c r="U59" s="71"/>
      <c r="V59" s="71"/>
      <c r="W59" s="71"/>
      <c r="X59" s="71"/>
      <c r="Y59" s="71"/>
      <c r="Z59" s="71"/>
      <c r="AA59" s="71"/>
      <c r="AB59" s="71"/>
      <c r="AC59" s="71"/>
      <c r="AD59" s="71"/>
      <c r="AE59" s="71"/>
    </row>
    <row r="60" spans="1:31" s="350" customFormat="1">
      <c r="A60" s="233">
        <v>1.9290000000000002E-2</v>
      </c>
      <c r="B60" s="203">
        <v>8023</v>
      </c>
      <c r="C60" s="232">
        <v>43913</v>
      </c>
      <c r="D60" s="232">
        <v>43914</v>
      </c>
      <c r="E60" s="196"/>
      <c r="F60" s="196"/>
      <c r="G60" s="332">
        <f t="shared" si="0"/>
        <v>1</v>
      </c>
      <c r="H60" s="333">
        <f t="shared" si="1"/>
        <v>1.0000535833333333</v>
      </c>
      <c r="I60" s="349">
        <f t="shared" si="4"/>
        <v>1.0050508406220704</v>
      </c>
      <c r="J60" s="326">
        <f t="shared" si="7"/>
        <v>1.0483768729494469E-8</v>
      </c>
      <c r="K60" s="244"/>
      <c r="L60" s="70"/>
      <c r="M60" s="78">
        <f t="shared" si="5"/>
        <v>39</v>
      </c>
      <c r="N60" s="73">
        <f t="shared" si="8"/>
        <v>1.929001048376873E-2</v>
      </c>
      <c r="O60" s="70"/>
      <c r="P60" s="71"/>
      <c r="Q60" s="71"/>
      <c r="R60" s="71"/>
      <c r="S60" s="71"/>
      <c r="T60" s="71"/>
      <c r="U60" s="71"/>
      <c r="V60" s="71"/>
      <c r="W60" s="71"/>
      <c r="X60" s="71"/>
      <c r="Y60" s="71"/>
      <c r="Z60" s="71"/>
      <c r="AA60" s="71"/>
      <c r="AB60" s="71"/>
      <c r="AC60" s="71"/>
      <c r="AD60" s="71"/>
      <c r="AE60" s="71"/>
    </row>
    <row r="61" spans="1:31" s="350" customFormat="1">
      <c r="A61" s="233">
        <v>1.883E-2</v>
      </c>
      <c r="B61" s="203">
        <v>8105</v>
      </c>
      <c r="C61" s="232">
        <v>43914</v>
      </c>
      <c r="D61" s="232">
        <v>43915</v>
      </c>
      <c r="E61" s="196"/>
      <c r="F61" s="196"/>
      <c r="G61" s="332">
        <f t="shared" si="0"/>
        <v>1</v>
      </c>
      <c r="H61" s="333">
        <f t="shared" si="1"/>
        <v>1.0000523055555555</v>
      </c>
      <c r="I61" s="349">
        <f t="shared" si="4"/>
        <v>1.0051046945962803</v>
      </c>
      <c r="J61" s="326">
        <f t="shared" si="7"/>
        <v>-9.572148898247435E-9</v>
      </c>
      <c r="K61" s="244"/>
      <c r="L61" s="70"/>
      <c r="M61" s="72">
        <f t="shared" si="5"/>
        <v>40</v>
      </c>
      <c r="N61" s="73">
        <f t="shared" si="8"/>
        <v>1.88299904278511E-2</v>
      </c>
      <c r="O61" s="70"/>
      <c r="P61" s="71"/>
      <c r="Q61" s="71"/>
      <c r="R61" s="71"/>
      <c r="S61" s="71"/>
      <c r="T61" s="71"/>
      <c r="U61" s="71"/>
      <c r="V61" s="71"/>
      <c r="W61" s="71"/>
      <c r="X61" s="71"/>
      <c r="Y61" s="71"/>
      <c r="Z61" s="71"/>
      <c r="AA61" s="71"/>
      <c r="AB61" s="71"/>
      <c r="AC61" s="71"/>
      <c r="AD61" s="71"/>
      <c r="AE61" s="71"/>
    </row>
    <row r="62" spans="1:31" s="350" customFormat="1">
      <c r="A62" s="233">
        <v>1.925E-2</v>
      </c>
      <c r="B62" s="203">
        <v>7251</v>
      </c>
      <c r="C62" s="232">
        <v>43915</v>
      </c>
      <c r="D62" s="232">
        <v>43916</v>
      </c>
      <c r="E62" s="196"/>
      <c r="F62" s="196"/>
      <c r="G62" s="332">
        <f t="shared" si="0"/>
        <v>1</v>
      </c>
      <c r="H62" s="333">
        <f t="shared" si="1"/>
        <v>1.0000534722222223</v>
      </c>
      <c r="I62" s="349">
        <f t="shared" si="4"/>
        <v>1.0051572671557225</v>
      </c>
      <c r="J62" s="326">
        <f t="shared" si="7"/>
        <v>2.2790804184051711E-10</v>
      </c>
      <c r="K62" s="244"/>
      <c r="L62" s="70"/>
      <c r="M62" s="68">
        <f t="shared" si="5"/>
        <v>41</v>
      </c>
      <c r="N62" s="73">
        <f t="shared" si="8"/>
        <v>1.9250000227908043E-2</v>
      </c>
      <c r="O62" s="70"/>
      <c r="P62" s="71"/>
      <c r="Q62" s="71"/>
      <c r="R62" s="71"/>
      <c r="S62" s="71"/>
      <c r="T62" s="71"/>
      <c r="U62" s="71"/>
      <c r="V62" s="71"/>
      <c r="W62" s="71"/>
      <c r="X62" s="71"/>
      <c r="Y62" s="71"/>
      <c r="Z62" s="71"/>
      <c r="AA62" s="71"/>
      <c r="AB62" s="71"/>
      <c r="AC62" s="71"/>
      <c r="AD62" s="71"/>
      <c r="AE62" s="71"/>
    </row>
    <row r="63" spans="1:31" s="350" customFormat="1">
      <c r="A63" s="233">
        <v>1.924E-2</v>
      </c>
      <c r="B63" s="203">
        <v>9510</v>
      </c>
      <c r="C63" s="232">
        <v>43916</v>
      </c>
      <c r="D63" s="232">
        <v>43917</v>
      </c>
      <c r="E63" s="196"/>
      <c r="F63" s="196"/>
      <c r="G63" s="332">
        <f t="shared" si="0"/>
        <v>1</v>
      </c>
      <c r="H63" s="333">
        <f t="shared" si="1"/>
        <v>1.0000534444444444</v>
      </c>
      <c r="I63" s="349">
        <f t="shared" si="4"/>
        <v>1.0052110151484803</v>
      </c>
      <c r="J63" s="326">
        <f t="shared" si="7"/>
        <v>-8.8587858063723006E-7</v>
      </c>
      <c r="K63" s="244"/>
      <c r="L63" s="70"/>
      <c r="M63" s="68">
        <f t="shared" si="5"/>
        <v>42</v>
      </c>
      <c r="N63" s="73">
        <f t="shared" si="8"/>
        <v>1.9239114121419362E-2</v>
      </c>
      <c r="O63" s="70"/>
      <c r="P63" s="71"/>
      <c r="Q63" s="71"/>
      <c r="R63" s="71"/>
      <c r="S63" s="71"/>
      <c r="T63" s="71"/>
      <c r="U63" s="71"/>
      <c r="V63" s="71"/>
      <c r="W63" s="71"/>
      <c r="X63" s="71"/>
      <c r="Y63" s="71"/>
      <c r="Z63" s="71"/>
      <c r="AA63" s="71"/>
      <c r="AB63" s="71"/>
      <c r="AC63" s="71"/>
      <c r="AD63" s="71"/>
      <c r="AE63" s="71"/>
    </row>
    <row r="64" spans="1:31" s="350" customFormat="1">
      <c r="A64" s="233">
        <v>1.9369999999999998E-2</v>
      </c>
      <c r="B64" s="203">
        <v>6422</v>
      </c>
      <c r="C64" s="232">
        <v>43917</v>
      </c>
      <c r="D64" s="232">
        <v>43920</v>
      </c>
      <c r="E64" s="196"/>
      <c r="F64" s="196"/>
      <c r="G64" s="332">
        <f t="shared" si="0"/>
        <v>3</v>
      </c>
      <c r="H64" s="333">
        <f t="shared" si="1"/>
        <v>1.0001614166666666</v>
      </c>
      <c r="I64" s="349">
        <f t="shared" si="4"/>
        <v>1.0052647380927344</v>
      </c>
      <c r="J64" s="326">
        <f t="shared" si="7"/>
        <v>8.8255234727595768E-7</v>
      </c>
      <c r="K64" s="244"/>
      <c r="L64" s="70"/>
      <c r="M64" s="68">
        <f t="shared" si="5"/>
        <v>43</v>
      </c>
      <c r="N64" s="73">
        <f t="shared" si="8"/>
        <v>1.9370882552347275E-2</v>
      </c>
      <c r="O64" s="70"/>
      <c r="P64" s="71"/>
      <c r="Q64" s="71"/>
      <c r="R64" s="71"/>
      <c r="S64" s="71"/>
      <c r="T64" s="71"/>
      <c r="U64" s="71"/>
      <c r="V64" s="71"/>
      <c r="W64" s="71"/>
      <c r="X64" s="71"/>
      <c r="Y64" s="71"/>
      <c r="Z64" s="71"/>
      <c r="AA64" s="71"/>
      <c r="AB64" s="71"/>
      <c r="AC64" s="71"/>
      <c r="AD64" s="71"/>
      <c r="AE64" s="71"/>
    </row>
    <row r="65" spans="1:31" s="350" customFormat="1">
      <c r="A65" s="233">
        <v>1.9380000000000001E-2</v>
      </c>
      <c r="B65" s="203">
        <v>5189</v>
      </c>
      <c r="C65" s="232">
        <v>43920</v>
      </c>
      <c r="D65" s="232">
        <v>43921</v>
      </c>
      <c r="E65" s="196"/>
      <c r="F65" s="196"/>
      <c r="G65" s="332">
        <f t="shared" si="0"/>
        <v>1</v>
      </c>
      <c r="H65" s="333">
        <f t="shared" si="1"/>
        <v>1.0000538333333333</v>
      </c>
      <c r="I65" s="349">
        <f t="shared" si="4"/>
        <v>1.0054270045758749</v>
      </c>
      <c r="J65" s="326">
        <f t="shared" si="7"/>
        <v>1.5952829913325515E-9</v>
      </c>
      <c r="K65" s="244"/>
      <c r="L65" s="70"/>
      <c r="M65" s="68">
        <f t="shared" si="5"/>
        <v>44</v>
      </c>
      <c r="N65" s="73">
        <f t="shared" si="8"/>
        <v>1.9380001595282994E-2</v>
      </c>
      <c r="O65" s="70"/>
      <c r="P65" s="71"/>
      <c r="Q65" s="71"/>
      <c r="R65" s="71"/>
      <c r="S65" s="71"/>
      <c r="T65" s="71"/>
      <c r="U65" s="71"/>
      <c r="V65" s="71"/>
      <c r="W65" s="71"/>
      <c r="X65" s="71"/>
      <c r="Y65" s="71"/>
      <c r="Z65" s="71"/>
      <c r="AA65" s="71"/>
      <c r="AB65" s="71"/>
      <c r="AC65" s="71"/>
      <c r="AD65" s="71"/>
      <c r="AE65" s="71"/>
    </row>
    <row r="66" spans="1:31" s="350" customFormat="1">
      <c r="A66" s="233">
        <v>1.9310000000000001E-2</v>
      </c>
      <c r="B66" s="203">
        <v>5936</v>
      </c>
      <c r="C66" s="232">
        <v>43921</v>
      </c>
      <c r="D66" s="232">
        <v>43922</v>
      </c>
      <c r="E66" s="196"/>
      <c r="F66" s="196"/>
      <c r="G66" s="332">
        <f t="shared" ref="G66:G129" si="9">D66-C66</f>
        <v>1</v>
      </c>
      <c r="H66" s="333">
        <f t="shared" ref="H66:H129" si="10">(1+A66*(D66-C66)/360)</f>
        <v>1.000053638888889</v>
      </c>
      <c r="I66" s="349">
        <f t="shared" si="4"/>
        <v>1.0054811300629545</v>
      </c>
      <c r="J66" s="326">
        <f t="shared" ref="J66:J97" si="11">((H67/H66-1)*360/(M66-D66))</f>
        <v>9.1159045943008572E-10</v>
      </c>
      <c r="K66" s="244"/>
      <c r="L66" s="70"/>
      <c r="M66" s="68">
        <f t="shared" si="5"/>
        <v>45</v>
      </c>
      <c r="N66" s="73">
        <f t="shared" ref="N66:N97" si="12">A66+J66</f>
        <v>1.931000091159046E-2</v>
      </c>
      <c r="O66" s="70"/>
      <c r="P66" s="71"/>
      <c r="Q66" s="71"/>
      <c r="R66" s="71"/>
      <c r="S66" s="71"/>
      <c r="T66" s="71"/>
      <c r="U66" s="71"/>
      <c r="V66" s="71"/>
      <c r="W66" s="71"/>
      <c r="X66" s="71"/>
      <c r="Y66" s="71"/>
      <c r="Z66" s="71"/>
      <c r="AA66" s="71"/>
      <c r="AB66" s="71"/>
      <c r="AC66" s="71"/>
      <c r="AD66" s="71"/>
      <c r="AE66" s="71"/>
    </row>
    <row r="67" spans="1:31" s="350" customFormat="1">
      <c r="A67" s="233">
        <v>1.9269999999999999E-2</v>
      </c>
      <c r="B67" s="203">
        <v>6142</v>
      </c>
      <c r="C67" s="232">
        <v>43922</v>
      </c>
      <c r="D67" s="232">
        <v>43923</v>
      </c>
      <c r="E67" s="196"/>
      <c r="F67" s="196"/>
      <c r="G67" s="332">
        <f t="shared" si="9"/>
        <v>1</v>
      </c>
      <c r="H67" s="333">
        <f t="shared" si="10"/>
        <v>1.0000535277777778</v>
      </c>
      <c r="I67" s="349">
        <f t="shared" si="4"/>
        <v>1.00553506295357</v>
      </c>
      <c r="J67" s="326">
        <f t="shared" si="11"/>
        <v>6.1532362813756461E-9</v>
      </c>
      <c r="K67" s="244"/>
      <c r="L67" s="70"/>
      <c r="M67" s="68">
        <f t="shared" ref="M67:M130" si="13">M66+1</f>
        <v>46</v>
      </c>
      <c r="N67" s="73">
        <f t="shared" si="12"/>
        <v>1.9270006153236281E-2</v>
      </c>
      <c r="O67" s="70"/>
      <c r="P67" s="71"/>
      <c r="Q67" s="71"/>
      <c r="R67" s="71"/>
      <c r="S67" s="71"/>
      <c r="T67" s="71"/>
      <c r="U67" s="71"/>
      <c r="V67" s="71"/>
      <c r="W67" s="71"/>
      <c r="X67" s="71"/>
      <c r="Y67" s="71"/>
      <c r="Z67" s="71"/>
      <c r="AA67" s="71"/>
      <c r="AB67" s="71"/>
      <c r="AC67" s="71"/>
      <c r="AD67" s="71"/>
      <c r="AE67" s="71"/>
    </row>
    <row r="68" spans="1:31" s="350" customFormat="1">
      <c r="A68" s="233">
        <v>1.9E-2</v>
      </c>
      <c r="B68" s="203">
        <v>7597</v>
      </c>
      <c r="C68" s="232">
        <v>43923</v>
      </c>
      <c r="D68" s="232">
        <v>43924</v>
      </c>
      <c r="E68" s="196"/>
      <c r="F68" s="196"/>
      <c r="G68" s="332">
        <f t="shared" si="9"/>
        <v>1</v>
      </c>
      <c r="H68" s="333">
        <f t="shared" si="10"/>
        <v>1.0000527777777777</v>
      </c>
      <c r="I68" s="349">
        <f t="shared" ref="I68:I131" si="14">I67*H67</f>
        <v>1.0055888870109675</v>
      </c>
      <c r="J68" s="326">
        <f t="shared" si="11"/>
        <v>-8.9609419256813632E-7</v>
      </c>
      <c r="K68" s="244"/>
      <c r="L68" s="70"/>
      <c r="M68" s="68">
        <f t="shared" si="13"/>
        <v>47</v>
      </c>
      <c r="N68" s="73">
        <f t="shared" si="12"/>
        <v>1.8999103905807432E-2</v>
      </c>
      <c r="O68" s="70"/>
      <c r="P68" s="71"/>
      <c r="Q68" s="71"/>
      <c r="R68" s="71"/>
      <c r="S68" s="71"/>
      <c r="T68" s="71"/>
      <c r="U68" s="71"/>
      <c r="V68" s="71"/>
      <c r="W68" s="71"/>
      <c r="X68" s="71"/>
      <c r="Y68" s="71"/>
      <c r="Z68" s="71"/>
      <c r="AA68" s="71"/>
      <c r="AB68" s="71"/>
      <c r="AC68" s="71"/>
      <c r="AD68" s="71"/>
      <c r="AE68" s="71"/>
    </row>
    <row r="69" spans="1:31" s="350" customFormat="1">
      <c r="A69" s="233">
        <v>1.9439999999999999E-2</v>
      </c>
      <c r="B69" s="203">
        <v>6415</v>
      </c>
      <c r="C69" s="232">
        <v>43924</v>
      </c>
      <c r="D69" s="232">
        <v>43927</v>
      </c>
      <c r="E69" s="196"/>
      <c r="F69" s="196"/>
      <c r="G69" s="332">
        <f t="shared" si="9"/>
        <v>3</v>
      </c>
      <c r="H69" s="333">
        <f t="shared" si="10"/>
        <v>1.000162</v>
      </c>
      <c r="I69" s="349">
        <f t="shared" si="14"/>
        <v>1.0056419597577819</v>
      </c>
      <c r="J69" s="326">
        <f t="shared" si="11"/>
        <v>8.8570168143999593E-7</v>
      </c>
      <c r="K69" s="244"/>
      <c r="L69" s="70"/>
      <c r="M69" s="68">
        <f t="shared" si="13"/>
        <v>48</v>
      </c>
      <c r="N69" s="73">
        <f t="shared" si="12"/>
        <v>1.944088570168144E-2</v>
      </c>
      <c r="O69" s="70"/>
      <c r="P69" s="71"/>
      <c r="Q69" s="71"/>
      <c r="R69" s="71"/>
      <c r="S69" s="71"/>
      <c r="T69" s="71"/>
      <c r="U69" s="71"/>
      <c r="V69" s="71"/>
      <c r="W69" s="71"/>
      <c r="X69" s="71"/>
      <c r="Y69" s="71"/>
      <c r="Z69" s="71"/>
      <c r="AA69" s="71"/>
      <c r="AB69" s="71"/>
      <c r="AC69" s="71"/>
      <c r="AD69" s="71"/>
      <c r="AE69" s="71"/>
    </row>
    <row r="70" spans="1:31" s="350" customFormat="1">
      <c r="A70" s="233">
        <v>1.9449999999999999E-2</v>
      </c>
      <c r="B70" s="203">
        <v>6808</v>
      </c>
      <c r="C70" s="232">
        <v>43927</v>
      </c>
      <c r="D70" s="232">
        <v>43928</v>
      </c>
      <c r="E70" s="196"/>
      <c r="F70" s="196"/>
      <c r="G70" s="332">
        <f t="shared" si="9"/>
        <v>1</v>
      </c>
      <c r="H70" s="333">
        <f t="shared" si="10"/>
        <v>1.0000540277777779</v>
      </c>
      <c r="I70" s="349">
        <f t="shared" si="14"/>
        <v>1.0058048737552627</v>
      </c>
      <c r="J70" s="326">
        <f t="shared" si="11"/>
        <v>-1.2533792617701586E-8</v>
      </c>
      <c r="K70" s="244"/>
      <c r="L70" s="70"/>
      <c r="M70" s="68">
        <f t="shared" si="13"/>
        <v>49</v>
      </c>
      <c r="N70" s="73">
        <f t="shared" si="12"/>
        <v>1.944998746620738E-2</v>
      </c>
      <c r="O70" s="70"/>
      <c r="P70" s="71"/>
      <c r="Q70" s="71"/>
      <c r="R70" s="71"/>
      <c r="S70" s="71"/>
      <c r="T70" s="71"/>
      <c r="U70" s="71"/>
      <c r="V70" s="71"/>
      <c r="W70" s="71"/>
      <c r="X70" s="71"/>
      <c r="Y70" s="71"/>
      <c r="Z70" s="71"/>
      <c r="AA70" s="71"/>
      <c r="AB70" s="71"/>
      <c r="AC70" s="71"/>
      <c r="AD70" s="71"/>
      <c r="AE70" s="71"/>
    </row>
    <row r="71" spans="1:31" s="350" customFormat="1">
      <c r="A71" s="233">
        <v>0.02</v>
      </c>
      <c r="B71" s="203">
        <v>3454</v>
      </c>
      <c r="C71" s="232">
        <v>43928</v>
      </c>
      <c r="D71" s="232">
        <v>43929</v>
      </c>
      <c r="E71" s="196"/>
      <c r="F71" s="196"/>
      <c r="G71" s="332">
        <f t="shared" si="9"/>
        <v>1</v>
      </c>
      <c r="H71" s="333">
        <f t="shared" si="10"/>
        <v>1.0000555555555555</v>
      </c>
      <c r="I71" s="349">
        <f t="shared" si="14"/>
        <v>1.0058592151574699</v>
      </c>
      <c r="J71" s="326">
        <f t="shared" si="11"/>
        <v>1.9598263972055393E-8</v>
      </c>
      <c r="K71" s="244"/>
      <c r="L71" s="70"/>
      <c r="M71" s="68">
        <f t="shared" si="13"/>
        <v>50</v>
      </c>
      <c r="N71" s="73">
        <f t="shared" si="12"/>
        <v>2.0000019598263974E-2</v>
      </c>
      <c r="O71" s="70"/>
      <c r="P71" s="71"/>
      <c r="Q71" s="71"/>
      <c r="R71" s="71"/>
      <c r="S71" s="71"/>
      <c r="T71" s="71"/>
      <c r="U71" s="71"/>
      <c r="V71" s="71"/>
      <c r="W71" s="71"/>
      <c r="X71" s="71"/>
      <c r="Y71" s="71"/>
      <c r="Z71" s="71"/>
      <c r="AA71" s="71"/>
      <c r="AB71" s="71"/>
      <c r="AC71" s="71"/>
      <c r="AD71" s="71"/>
      <c r="AE71" s="71"/>
    </row>
    <row r="72" spans="1:31" s="350" customFormat="1">
      <c r="A72" s="233">
        <v>1.9140000000000001E-2</v>
      </c>
      <c r="B72" s="203">
        <v>8596</v>
      </c>
      <c r="C72" s="232">
        <v>43929</v>
      </c>
      <c r="D72" s="232">
        <v>43930</v>
      </c>
      <c r="E72" s="196"/>
      <c r="F72" s="196"/>
      <c r="G72" s="332">
        <f t="shared" si="9"/>
        <v>1</v>
      </c>
      <c r="H72" s="333">
        <f t="shared" si="10"/>
        <v>1.0000531666666668</v>
      </c>
      <c r="I72" s="349">
        <f t="shared" si="14"/>
        <v>1.0059150962249785</v>
      </c>
      <c r="J72" s="326">
        <f t="shared" si="11"/>
        <v>-2.187718413637257E-8</v>
      </c>
      <c r="K72" s="244"/>
      <c r="L72" s="70"/>
      <c r="M72" s="68">
        <f t="shared" si="13"/>
        <v>51</v>
      </c>
      <c r="N72" s="73">
        <f t="shared" si="12"/>
        <v>1.9139978122815864E-2</v>
      </c>
      <c r="O72" s="70"/>
      <c r="P72" s="71"/>
      <c r="Q72" s="71"/>
      <c r="R72" s="71"/>
      <c r="S72" s="71"/>
      <c r="T72" s="71"/>
      <c r="U72" s="71"/>
      <c r="V72" s="71"/>
      <c r="W72" s="71"/>
      <c r="X72" s="71"/>
      <c r="Y72" s="71"/>
      <c r="Z72" s="71"/>
      <c r="AA72" s="71"/>
      <c r="AB72" s="71"/>
      <c r="AC72" s="71"/>
      <c r="AD72" s="71"/>
      <c r="AE72" s="71"/>
    </row>
    <row r="73" spans="1:31" s="350" customFormat="1">
      <c r="A73" s="233">
        <v>2.01E-2</v>
      </c>
      <c r="B73" s="203">
        <v>10488</v>
      </c>
      <c r="C73" s="232">
        <v>43930</v>
      </c>
      <c r="D73" s="232">
        <v>43931</v>
      </c>
      <c r="E73" s="196"/>
      <c r="F73" s="196"/>
      <c r="G73" s="332">
        <f t="shared" si="9"/>
        <v>1</v>
      </c>
      <c r="H73" s="333">
        <f t="shared" si="10"/>
        <v>1.0000558333333334</v>
      </c>
      <c r="I73" s="349">
        <f t="shared" si="14"/>
        <v>1.0059685773775946</v>
      </c>
      <c r="J73" s="326">
        <f t="shared" si="11"/>
        <v>-8.8739091527542075E-7</v>
      </c>
      <c r="K73" s="244"/>
      <c r="L73" s="70"/>
      <c r="M73" s="68">
        <f t="shared" si="13"/>
        <v>52</v>
      </c>
      <c r="N73" s="73">
        <f t="shared" si="12"/>
        <v>2.0099112609084726E-2</v>
      </c>
      <c r="O73" s="70"/>
      <c r="P73" s="71"/>
      <c r="Q73" s="71"/>
      <c r="R73" s="71"/>
      <c r="S73" s="71"/>
      <c r="T73" s="71"/>
      <c r="U73" s="71"/>
      <c r="V73" s="71"/>
      <c r="W73" s="71"/>
      <c r="X73" s="71"/>
      <c r="Y73" s="71"/>
      <c r="Z73" s="71"/>
      <c r="AA73" s="71"/>
      <c r="AB73" s="71"/>
      <c r="AC73" s="71"/>
      <c r="AD73" s="71"/>
      <c r="AE73" s="71"/>
    </row>
    <row r="74" spans="1:31" s="350" customFormat="1">
      <c r="A74" s="233">
        <v>1.968E-2</v>
      </c>
      <c r="B74" s="203">
        <v>8395</v>
      </c>
      <c r="C74" s="232">
        <v>43931</v>
      </c>
      <c r="D74" s="232">
        <v>43934</v>
      </c>
      <c r="E74" s="196"/>
      <c r="F74" s="196"/>
      <c r="G74" s="332">
        <f t="shared" si="9"/>
        <v>3</v>
      </c>
      <c r="H74" s="333">
        <f t="shared" si="10"/>
        <v>1.0001640000000001</v>
      </c>
      <c r="I74" s="349">
        <f t="shared" si="14"/>
        <v>1.0060247439564982</v>
      </c>
      <c r="J74" s="326">
        <f t="shared" si="11"/>
        <v>8.9340649972564694E-7</v>
      </c>
      <c r="K74" s="244"/>
      <c r="L74" s="70"/>
      <c r="M74" s="68">
        <f t="shared" si="13"/>
        <v>53</v>
      </c>
      <c r="N74" s="73">
        <f t="shared" si="12"/>
        <v>1.9680893406499724E-2</v>
      </c>
      <c r="O74" s="70"/>
      <c r="P74" s="71"/>
      <c r="Q74" s="71"/>
      <c r="R74" s="71"/>
      <c r="S74" s="71"/>
      <c r="T74" s="71"/>
      <c r="U74" s="71"/>
      <c r="V74" s="71"/>
      <c r="W74" s="71"/>
      <c r="X74" s="71"/>
      <c r="Y74" s="71"/>
      <c r="Z74" s="71"/>
      <c r="AA74" s="71"/>
      <c r="AB74" s="71"/>
      <c r="AC74" s="71"/>
      <c r="AD74" s="71"/>
      <c r="AE74" s="71"/>
    </row>
    <row r="75" spans="1:31" s="350" customFormat="1">
      <c r="A75" s="233">
        <v>1.983E-2</v>
      </c>
      <c r="B75" s="203">
        <v>8689</v>
      </c>
      <c r="C75" s="232">
        <v>43934</v>
      </c>
      <c r="D75" s="232">
        <v>43935</v>
      </c>
      <c r="E75" s="196"/>
      <c r="F75" s="196"/>
      <c r="G75" s="332">
        <f t="shared" si="9"/>
        <v>1</v>
      </c>
      <c r="H75" s="333">
        <f t="shared" si="10"/>
        <v>1.0000550833333333</v>
      </c>
      <c r="I75" s="349">
        <f t="shared" si="14"/>
        <v>1.0061897320145072</v>
      </c>
      <c r="J75" s="326">
        <f t="shared" si="11"/>
        <v>6.6084188307287827E-9</v>
      </c>
      <c r="K75" s="244"/>
      <c r="L75" s="70"/>
      <c r="M75" s="68">
        <f t="shared" si="13"/>
        <v>54</v>
      </c>
      <c r="N75" s="73">
        <f t="shared" si="12"/>
        <v>1.983000660841883E-2</v>
      </c>
      <c r="O75" s="70"/>
      <c r="P75" s="71"/>
      <c r="Q75" s="71"/>
      <c r="R75" s="71"/>
      <c r="S75" s="71"/>
      <c r="T75" s="71"/>
      <c r="U75" s="71"/>
      <c r="V75" s="71"/>
      <c r="W75" s="71"/>
      <c r="X75" s="71"/>
      <c r="Y75" s="71"/>
      <c r="Z75" s="71"/>
      <c r="AA75" s="71"/>
      <c r="AB75" s="71"/>
      <c r="AC75" s="71"/>
      <c r="AD75" s="71"/>
      <c r="AE75" s="71"/>
    </row>
    <row r="76" spans="1:31" s="350" customFormat="1">
      <c r="A76" s="233">
        <v>1.9539999999999998E-2</v>
      </c>
      <c r="B76" s="203">
        <v>9002</v>
      </c>
      <c r="C76" s="232">
        <v>43935</v>
      </c>
      <c r="D76" s="232">
        <v>43936</v>
      </c>
      <c r="E76" s="196"/>
      <c r="F76" s="196"/>
      <c r="G76" s="332">
        <f t="shared" si="9"/>
        <v>1</v>
      </c>
      <c r="H76" s="333">
        <f t="shared" si="10"/>
        <v>1.0000542777777777</v>
      </c>
      <c r="I76" s="349">
        <f t="shared" si="14"/>
        <v>1.0062451562989123</v>
      </c>
      <c r="J76" s="326">
        <f t="shared" si="11"/>
        <v>-4.557533904063651E-10</v>
      </c>
      <c r="K76" s="244"/>
      <c r="L76" s="70"/>
      <c r="M76" s="68">
        <f t="shared" si="13"/>
        <v>55</v>
      </c>
      <c r="N76" s="73">
        <f t="shared" si="12"/>
        <v>1.9539999544246608E-2</v>
      </c>
      <c r="O76" s="70"/>
      <c r="P76" s="71"/>
      <c r="Q76" s="71"/>
      <c r="R76" s="71"/>
      <c r="S76" s="71"/>
      <c r="T76" s="71"/>
      <c r="U76" s="71"/>
      <c r="V76" s="71"/>
      <c r="W76" s="71"/>
      <c r="X76" s="71"/>
      <c r="Y76" s="71"/>
      <c r="Z76" s="71"/>
      <c r="AA76" s="71"/>
      <c r="AB76" s="71"/>
      <c r="AC76" s="71"/>
      <c r="AD76" s="71"/>
      <c r="AE76" s="71"/>
    </row>
    <row r="77" spans="1:31" s="350" customFormat="1">
      <c r="A77" s="233">
        <v>1.9560000000000001E-2</v>
      </c>
      <c r="B77" s="203">
        <v>7359</v>
      </c>
      <c r="C77" s="232">
        <v>43936</v>
      </c>
      <c r="D77" s="232">
        <v>43937</v>
      </c>
      <c r="E77" s="196"/>
      <c r="F77" s="196"/>
      <c r="G77" s="332">
        <f t="shared" si="9"/>
        <v>1</v>
      </c>
      <c r="H77" s="333">
        <f t="shared" si="10"/>
        <v>1.0000543333333334</v>
      </c>
      <c r="I77" s="349">
        <f t="shared" si="14"/>
        <v>1.0062997730498957</v>
      </c>
      <c r="J77" s="326">
        <f t="shared" si="11"/>
        <v>-1.2305340845099519E-8</v>
      </c>
      <c r="K77" s="244"/>
      <c r="L77" s="70"/>
      <c r="M77" s="68">
        <f t="shared" si="13"/>
        <v>56</v>
      </c>
      <c r="N77" s="73">
        <f t="shared" si="12"/>
        <v>1.9559987694659157E-2</v>
      </c>
      <c r="O77" s="70"/>
      <c r="P77" s="71"/>
      <c r="Q77" s="71"/>
      <c r="R77" s="71"/>
      <c r="S77" s="71"/>
      <c r="T77" s="71"/>
      <c r="U77" s="71"/>
      <c r="V77" s="71"/>
      <c r="W77" s="71"/>
      <c r="X77" s="71"/>
      <c r="Y77" s="71"/>
      <c r="Z77" s="71"/>
      <c r="AA77" s="71"/>
      <c r="AB77" s="71"/>
      <c r="AC77" s="71"/>
      <c r="AD77" s="71"/>
      <c r="AE77" s="71"/>
    </row>
    <row r="78" spans="1:31" s="350" customFormat="1">
      <c r="A78" s="233">
        <v>2.01E-2</v>
      </c>
      <c r="B78" s="203">
        <v>11367</v>
      </c>
      <c r="C78" s="232">
        <v>43937</v>
      </c>
      <c r="D78" s="232">
        <v>43938</v>
      </c>
      <c r="E78" s="196"/>
      <c r="F78" s="196"/>
      <c r="G78" s="332">
        <f t="shared" si="9"/>
        <v>1</v>
      </c>
      <c r="H78" s="333">
        <f t="shared" si="10"/>
        <v>1.0000558333333334</v>
      </c>
      <c r="I78" s="349">
        <f t="shared" si="14"/>
        <v>1.0063544486708982</v>
      </c>
      <c r="J78" s="326">
        <f t="shared" si="11"/>
        <v>-8.6957611537810553E-7</v>
      </c>
      <c r="K78" s="244"/>
      <c r="L78" s="70"/>
      <c r="M78" s="68">
        <f t="shared" si="13"/>
        <v>57</v>
      </c>
      <c r="N78" s="73">
        <f t="shared" si="12"/>
        <v>2.0099130423884622E-2</v>
      </c>
      <c r="O78" s="70"/>
      <c r="P78" s="71"/>
      <c r="Q78" s="71"/>
      <c r="R78" s="71"/>
      <c r="S78" s="71"/>
      <c r="T78" s="71"/>
      <c r="U78" s="71"/>
      <c r="V78" s="71"/>
      <c r="W78" s="71"/>
      <c r="X78" s="71"/>
      <c r="Y78" s="71"/>
      <c r="Z78" s="71"/>
      <c r="AA78" s="71"/>
      <c r="AB78" s="71"/>
      <c r="AC78" s="71"/>
      <c r="AD78" s="71"/>
      <c r="AE78" s="71"/>
    </row>
    <row r="79" spans="1:31" s="350" customFormat="1">
      <c r="A79" s="233">
        <v>1.942E-2</v>
      </c>
      <c r="B79" s="203">
        <v>9011</v>
      </c>
      <c r="C79" s="232">
        <v>43938</v>
      </c>
      <c r="D79" s="232">
        <v>43941</v>
      </c>
      <c r="E79" s="196"/>
      <c r="F79" s="196"/>
      <c r="G79" s="332">
        <f t="shared" si="9"/>
        <v>3</v>
      </c>
      <c r="H79" s="333">
        <f t="shared" si="10"/>
        <v>1.0001618333333333</v>
      </c>
      <c r="I79" s="349">
        <f t="shared" si="14"/>
        <v>1.0064106367942824</v>
      </c>
      <c r="J79" s="326">
        <f t="shared" si="11"/>
        <v>8.6169770648484122E-7</v>
      </c>
      <c r="K79" s="244"/>
      <c r="L79" s="70"/>
      <c r="M79" s="68">
        <f t="shared" si="13"/>
        <v>58</v>
      </c>
      <c r="N79" s="73">
        <f t="shared" si="12"/>
        <v>1.9420861697706484E-2</v>
      </c>
      <c r="O79" s="70"/>
      <c r="P79" s="71"/>
      <c r="Q79" s="71"/>
      <c r="R79" s="71"/>
      <c r="S79" s="71"/>
      <c r="T79" s="71"/>
      <c r="U79" s="71"/>
      <c r="V79" s="71"/>
      <c r="W79" s="71"/>
      <c r="X79" s="71"/>
      <c r="Y79" s="71"/>
      <c r="Z79" s="71"/>
      <c r="AA79" s="71"/>
      <c r="AB79" s="71"/>
      <c r="AC79" s="71"/>
      <c r="AD79" s="71"/>
      <c r="AE79" s="71"/>
    </row>
    <row r="80" spans="1:31" s="350" customFormat="1">
      <c r="A80" s="233">
        <v>2.044E-2</v>
      </c>
      <c r="B80" s="203">
        <v>9393</v>
      </c>
      <c r="C80" s="232">
        <v>43941</v>
      </c>
      <c r="D80" s="232">
        <v>43942</v>
      </c>
      <c r="E80" s="196"/>
      <c r="F80" s="196"/>
      <c r="G80" s="332">
        <f t="shared" si="9"/>
        <v>1</v>
      </c>
      <c r="H80" s="333">
        <f t="shared" si="10"/>
        <v>1.0000567777777778</v>
      </c>
      <c r="I80" s="349">
        <f t="shared" si="14"/>
        <v>1.006573507582337</v>
      </c>
      <c r="J80" s="326">
        <f t="shared" si="11"/>
        <v>3.1901203552860769E-9</v>
      </c>
      <c r="K80" s="244"/>
      <c r="L80" s="70"/>
      <c r="M80" s="68">
        <f t="shared" si="13"/>
        <v>59</v>
      </c>
      <c r="N80" s="73">
        <f t="shared" si="12"/>
        <v>2.0440003190120355E-2</v>
      </c>
      <c r="O80" s="70"/>
      <c r="P80" s="71"/>
      <c r="Q80" s="71"/>
      <c r="R80" s="71"/>
      <c r="S80" s="71"/>
      <c r="T80" s="71"/>
      <c r="U80" s="71"/>
      <c r="V80" s="71"/>
      <c r="W80" s="71"/>
      <c r="X80" s="71"/>
      <c r="Y80" s="71"/>
      <c r="Z80" s="71"/>
      <c r="AA80" s="71"/>
      <c r="AB80" s="71"/>
      <c r="AC80" s="71"/>
      <c r="AD80" s="71"/>
      <c r="AE80" s="71"/>
    </row>
    <row r="81" spans="1:62" s="350" customFormat="1">
      <c r="A81" s="233">
        <v>2.0299999999999999E-2</v>
      </c>
      <c r="B81" s="203">
        <v>11388</v>
      </c>
      <c r="C81" s="232">
        <v>43942</v>
      </c>
      <c r="D81" s="232">
        <v>43943</v>
      </c>
      <c r="E81" s="196"/>
      <c r="F81" s="196"/>
      <c r="G81" s="332">
        <f t="shared" si="9"/>
        <v>1</v>
      </c>
      <c r="H81" s="333">
        <f t="shared" si="10"/>
        <v>1.0000563888888889</v>
      </c>
      <c r="I81" s="349">
        <f t="shared" si="14"/>
        <v>1.0066306585892675</v>
      </c>
      <c r="J81" s="326">
        <f t="shared" si="11"/>
        <v>3.4179874244369312E-9</v>
      </c>
      <c r="K81" s="244"/>
      <c r="L81" s="70"/>
      <c r="M81" s="68">
        <f t="shared" si="13"/>
        <v>60</v>
      </c>
      <c r="N81" s="73">
        <f t="shared" si="12"/>
        <v>2.0300003417987423E-2</v>
      </c>
      <c r="O81" s="70"/>
      <c r="P81" s="71"/>
      <c r="Q81" s="71"/>
      <c r="R81" s="71"/>
      <c r="S81" s="71"/>
      <c r="T81" s="71"/>
      <c r="U81" s="71"/>
      <c r="V81" s="71"/>
      <c r="W81" s="71"/>
      <c r="X81" s="71"/>
      <c r="Y81" s="71"/>
      <c r="Z81" s="71"/>
      <c r="AA81" s="71"/>
      <c r="AB81" s="71"/>
      <c r="AC81" s="71"/>
      <c r="AD81" s="71"/>
      <c r="AE81" s="71"/>
    </row>
    <row r="82" spans="1:62">
      <c r="A82" s="233">
        <v>2.0150000000000001E-2</v>
      </c>
      <c r="B82" s="203">
        <v>9000</v>
      </c>
      <c r="C82" s="232">
        <v>43943</v>
      </c>
      <c r="D82" s="232">
        <v>43944</v>
      </c>
      <c r="G82" s="332">
        <f t="shared" si="9"/>
        <v>1</v>
      </c>
      <c r="H82" s="333">
        <f t="shared" si="10"/>
        <v>1.0000559722222222</v>
      </c>
      <c r="I82" s="349">
        <f t="shared" si="14"/>
        <v>1.0066874213736268</v>
      </c>
      <c r="J82" s="326">
        <f t="shared" si="11"/>
        <v>2.3014458245174729E-8</v>
      </c>
      <c r="K82" s="244"/>
      <c r="L82" s="70"/>
      <c r="M82" s="68">
        <f t="shared" si="13"/>
        <v>61</v>
      </c>
      <c r="N82" s="73">
        <f t="shared" si="12"/>
        <v>2.0150023014458247E-2</v>
      </c>
      <c r="O82" s="70"/>
      <c r="P82" s="71"/>
      <c r="Q82" s="71"/>
      <c r="R82" s="71"/>
      <c r="S82" s="71"/>
      <c r="T82" s="71"/>
      <c r="U82" s="71"/>
      <c r="V82" s="71"/>
      <c r="W82" s="71"/>
      <c r="X82" s="71"/>
      <c r="Y82" s="71"/>
      <c r="Z82" s="71"/>
      <c r="AA82" s="71"/>
      <c r="AB82" s="71"/>
      <c r="AC82" s="71"/>
      <c r="AD82" s="71"/>
      <c r="AE82" s="71"/>
      <c r="AF82" s="350"/>
      <c r="AG82" s="350"/>
      <c r="AH82" s="350"/>
      <c r="AI82" s="350"/>
      <c r="AJ82" s="350"/>
      <c r="AK82" s="350"/>
      <c r="AL82" s="350"/>
      <c r="AM82" s="350"/>
      <c r="AN82" s="350"/>
      <c r="AO82" s="350"/>
      <c r="AP82" s="350"/>
      <c r="AQ82" s="350"/>
      <c r="AR82" s="350"/>
      <c r="AS82" s="350"/>
      <c r="AT82" s="350"/>
      <c r="AU82" s="350"/>
      <c r="AV82" s="350"/>
      <c r="AW82" s="350"/>
      <c r="AX82" s="350"/>
      <c r="AY82" s="350"/>
      <c r="AZ82" s="350"/>
      <c r="BA82" s="350"/>
      <c r="BB82" s="350"/>
      <c r="BC82" s="350"/>
      <c r="BD82" s="350"/>
      <c r="BE82" s="350"/>
      <c r="BF82" s="350"/>
      <c r="BG82" s="350"/>
      <c r="BH82" s="350"/>
      <c r="BI82" s="350"/>
      <c r="BJ82" s="350"/>
    </row>
    <row r="83" spans="1:62">
      <c r="A83" s="233">
        <v>1.9140000000000001E-2</v>
      </c>
      <c r="B83" s="203">
        <v>6204</v>
      </c>
      <c r="C83" s="232">
        <v>43944</v>
      </c>
      <c r="D83" s="232">
        <v>43945</v>
      </c>
      <c r="G83" s="332">
        <f t="shared" si="9"/>
        <v>1</v>
      </c>
      <c r="H83" s="333">
        <f t="shared" si="10"/>
        <v>1.0000531666666668</v>
      </c>
      <c r="I83" s="349">
        <f t="shared" si="14"/>
        <v>1.0067437679056841</v>
      </c>
      <c r="J83" s="326">
        <f t="shared" si="11"/>
        <v>-8.7364040057233868E-7</v>
      </c>
      <c r="K83" s="244"/>
      <c r="L83" s="70"/>
      <c r="M83" s="68">
        <f t="shared" si="13"/>
        <v>62</v>
      </c>
      <c r="N83" s="73">
        <f t="shared" si="12"/>
        <v>1.9139126359599429E-2</v>
      </c>
      <c r="O83" s="70"/>
      <c r="P83" s="71"/>
      <c r="Q83" s="71"/>
      <c r="R83" s="71"/>
      <c r="S83" s="71"/>
      <c r="T83" s="71"/>
      <c r="U83" s="71"/>
      <c r="V83" s="71"/>
      <c r="W83" s="71"/>
      <c r="X83" s="71"/>
      <c r="Y83" s="71"/>
      <c r="Z83" s="71"/>
      <c r="AA83" s="71"/>
      <c r="AB83" s="71"/>
      <c r="AC83" s="71"/>
      <c r="AD83" s="71"/>
      <c r="AE83" s="71"/>
      <c r="AF83" s="350"/>
      <c r="AG83" s="350"/>
      <c r="AH83" s="350"/>
      <c r="AI83" s="350"/>
      <c r="AJ83" s="350"/>
      <c r="AK83" s="350"/>
      <c r="AL83" s="350"/>
      <c r="AM83" s="350"/>
      <c r="AN83" s="350"/>
      <c r="AO83" s="350"/>
      <c r="AP83" s="350"/>
      <c r="AQ83" s="350"/>
      <c r="AR83" s="350"/>
      <c r="AS83" s="350"/>
      <c r="AT83" s="350"/>
      <c r="AU83" s="350"/>
      <c r="AV83" s="350"/>
      <c r="AW83" s="350"/>
      <c r="AX83" s="350"/>
      <c r="AY83" s="350"/>
      <c r="AZ83" s="350"/>
      <c r="BA83" s="350"/>
      <c r="BB83" s="350"/>
      <c r="BC83" s="350"/>
      <c r="BD83" s="350"/>
      <c r="BE83" s="350"/>
      <c r="BF83" s="350"/>
      <c r="BG83" s="350"/>
      <c r="BH83" s="350"/>
      <c r="BI83" s="350"/>
      <c r="BJ83" s="350"/>
    </row>
    <row r="84" spans="1:62">
      <c r="A84" s="233">
        <v>1.916E-2</v>
      </c>
      <c r="B84" s="203">
        <v>6251</v>
      </c>
      <c r="C84" s="232">
        <v>43945</v>
      </c>
      <c r="D84" s="232">
        <v>43948</v>
      </c>
      <c r="G84" s="332">
        <f t="shared" si="9"/>
        <v>3</v>
      </c>
      <c r="H84" s="333">
        <f t="shared" si="10"/>
        <v>1.0001596666666666</v>
      </c>
      <c r="I84" s="349">
        <f t="shared" si="14"/>
        <v>1.0067972931160112</v>
      </c>
      <c r="J84" s="326">
        <f t="shared" si="11"/>
        <v>8.728240662298177E-7</v>
      </c>
      <c r="K84" s="244"/>
      <c r="L84" s="70"/>
      <c r="M84" s="68">
        <f t="shared" si="13"/>
        <v>63</v>
      </c>
      <c r="N84" s="73">
        <f t="shared" si="12"/>
        <v>1.9160872824066231E-2</v>
      </c>
      <c r="O84" s="70"/>
      <c r="P84" s="71"/>
      <c r="Q84" s="71"/>
      <c r="R84" s="71"/>
      <c r="S84" s="71"/>
      <c r="T84" s="71"/>
      <c r="U84" s="71"/>
      <c r="V84" s="71"/>
      <c r="W84" s="71"/>
      <c r="X84" s="71"/>
      <c r="Y84" s="71"/>
      <c r="Z84" s="71"/>
      <c r="AA84" s="71"/>
      <c r="AB84" s="71"/>
      <c r="AC84" s="71"/>
      <c r="AD84" s="71"/>
      <c r="AE84" s="71"/>
      <c r="AF84" s="350"/>
      <c r="AG84" s="350"/>
      <c r="AH84" s="350"/>
      <c r="AI84" s="350"/>
      <c r="AJ84" s="350"/>
      <c r="AK84" s="350"/>
      <c r="AL84" s="350"/>
      <c r="AM84" s="350"/>
      <c r="AN84" s="350"/>
      <c r="AO84" s="350"/>
      <c r="AP84" s="350"/>
      <c r="AQ84" s="350"/>
      <c r="AR84" s="350"/>
      <c r="AS84" s="350"/>
      <c r="AT84" s="350"/>
      <c r="AU84" s="350"/>
      <c r="AV84" s="350"/>
      <c r="AW84" s="350"/>
      <c r="AX84" s="350"/>
      <c r="AY84" s="350"/>
      <c r="AZ84" s="350"/>
      <c r="BA84" s="350"/>
      <c r="BB84" s="350"/>
      <c r="BC84" s="350"/>
      <c r="BD84" s="350"/>
      <c r="BE84" s="350"/>
      <c r="BF84" s="350"/>
      <c r="BG84" s="350"/>
      <c r="BH84" s="350"/>
      <c r="BI84" s="350"/>
      <c r="BJ84" s="350"/>
    </row>
    <row r="85" spans="1:62">
      <c r="A85" s="233">
        <v>1.917E-2</v>
      </c>
      <c r="B85" s="203">
        <v>6535</v>
      </c>
      <c r="C85" s="232">
        <v>43948</v>
      </c>
      <c r="D85" s="232">
        <v>43949</v>
      </c>
      <c r="G85" s="332">
        <f t="shared" si="9"/>
        <v>1</v>
      </c>
      <c r="H85" s="333">
        <f t="shared" si="10"/>
        <v>1.0000532499999999</v>
      </c>
      <c r="I85" s="349">
        <f t="shared" si="14"/>
        <v>1.006958045083812</v>
      </c>
      <c r="J85" s="326">
        <f t="shared" si="11"/>
        <v>1.5949931105850265E-9</v>
      </c>
      <c r="K85" s="244"/>
      <c r="L85" s="70"/>
      <c r="M85" s="68">
        <f t="shared" si="13"/>
        <v>64</v>
      </c>
      <c r="N85" s="73">
        <f t="shared" si="12"/>
        <v>1.9170001594993109E-2</v>
      </c>
      <c r="O85" s="70"/>
      <c r="P85" s="71"/>
      <c r="Q85" s="71"/>
      <c r="R85" s="71"/>
      <c r="S85" s="71"/>
      <c r="T85" s="71"/>
      <c r="U85" s="71"/>
      <c r="V85" s="71"/>
      <c r="W85" s="71"/>
      <c r="X85" s="71"/>
      <c r="Y85" s="71"/>
      <c r="Z85" s="71"/>
      <c r="AA85" s="71"/>
      <c r="AB85" s="71"/>
      <c r="AC85" s="71"/>
      <c r="AD85" s="71"/>
      <c r="AE85" s="71"/>
      <c r="AF85" s="350"/>
      <c r="AG85" s="350"/>
      <c r="AH85" s="350"/>
      <c r="AI85" s="350"/>
      <c r="AJ85" s="350"/>
      <c r="AK85" s="350"/>
      <c r="AL85" s="350"/>
      <c r="AM85" s="350"/>
      <c r="AN85" s="350"/>
      <c r="AO85" s="350"/>
      <c r="AP85" s="350"/>
      <c r="AQ85" s="350"/>
      <c r="AR85" s="350"/>
      <c r="AS85" s="350"/>
      <c r="AT85" s="350"/>
      <c r="AU85" s="350"/>
      <c r="AV85" s="350"/>
      <c r="AW85" s="350"/>
      <c r="AX85" s="350"/>
      <c r="AY85" s="350"/>
      <c r="AZ85" s="350"/>
      <c r="BA85" s="350"/>
      <c r="BB85" s="350"/>
      <c r="BC85" s="350"/>
      <c r="BD85" s="350"/>
      <c r="BE85" s="350"/>
      <c r="BF85" s="350"/>
      <c r="BG85" s="350"/>
      <c r="BH85" s="350"/>
      <c r="BI85" s="350"/>
      <c r="BJ85" s="350"/>
    </row>
    <row r="86" spans="1:62">
      <c r="A86" s="233">
        <v>1.9099999999999999E-2</v>
      </c>
      <c r="B86" s="203">
        <v>8391</v>
      </c>
      <c r="C86" s="232">
        <v>43949</v>
      </c>
      <c r="D86" s="232">
        <v>43950</v>
      </c>
      <c r="G86" s="332">
        <f t="shared" si="9"/>
        <v>1</v>
      </c>
      <c r="H86" s="333">
        <f t="shared" si="10"/>
        <v>1.0000530555555556</v>
      </c>
      <c r="I86" s="349">
        <f t="shared" si="14"/>
        <v>1.0070116655997126</v>
      </c>
      <c r="J86" s="326">
        <f t="shared" si="11"/>
        <v>-6.8356860880362362E-10</v>
      </c>
      <c r="K86" s="244"/>
      <c r="L86" s="70"/>
      <c r="M86" s="68">
        <f t="shared" si="13"/>
        <v>65</v>
      </c>
      <c r="N86" s="73">
        <f t="shared" si="12"/>
        <v>1.9099999316431391E-2</v>
      </c>
      <c r="O86" s="70"/>
      <c r="P86" s="71"/>
      <c r="Q86" s="71"/>
      <c r="R86" s="71"/>
      <c r="S86" s="71"/>
      <c r="T86" s="71"/>
      <c r="U86" s="71"/>
      <c r="V86" s="71"/>
      <c r="W86" s="71"/>
      <c r="X86" s="71"/>
      <c r="Y86" s="71"/>
      <c r="Z86" s="71"/>
      <c r="AA86" s="71"/>
      <c r="AB86" s="71"/>
      <c r="AC86" s="71"/>
      <c r="AD86" s="71"/>
      <c r="AE86" s="71"/>
      <c r="AF86" s="350"/>
      <c r="AG86" s="350"/>
      <c r="AH86" s="350"/>
      <c r="AI86" s="350"/>
      <c r="AJ86" s="350"/>
      <c r="AK86" s="350"/>
      <c r="AL86" s="350"/>
      <c r="AM86" s="350"/>
      <c r="AN86" s="350"/>
      <c r="AO86" s="350"/>
      <c r="AP86" s="350"/>
      <c r="AQ86" s="350"/>
      <c r="AR86" s="350"/>
      <c r="AS86" s="350"/>
      <c r="AT86" s="350"/>
      <c r="AU86" s="350"/>
      <c r="AV86" s="350"/>
      <c r="AW86" s="350"/>
      <c r="AX86" s="350"/>
      <c r="AY86" s="350"/>
      <c r="AZ86" s="350"/>
      <c r="BA86" s="350"/>
      <c r="BB86" s="350"/>
      <c r="BC86" s="350"/>
      <c r="BD86" s="350"/>
      <c r="BE86" s="350"/>
      <c r="BF86" s="350"/>
      <c r="BG86" s="350"/>
      <c r="BH86" s="350"/>
      <c r="BI86" s="350"/>
      <c r="BJ86" s="350"/>
    </row>
    <row r="87" spans="1:62">
      <c r="A87" s="233">
        <v>1.9130000000000001E-2</v>
      </c>
      <c r="B87" s="203">
        <v>8343</v>
      </c>
      <c r="C87" s="232">
        <v>43950</v>
      </c>
      <c r="D87" s="232">
        <v>43951</v>
      </c>
      <c r="G87" s="332">
        <f t="shared" si="9"/>
        <v>1</v>
      </c>
      <c r="H87" s="333">
        <f t="shared" si="10"/>
        <v>1.0000531388888889</v>
      </c>
      <c r="I87" s="349">
        <f t="shared" si="14"/>
        <v>1.0070650931630818</v>
      </c>
      <c r="J87" s="326">
        <f t="shared" si="11"/>
        <v>-1.3149580384554712E-6</v>
      </c>
      <c r="K87" s="244"/>
      <c r="L87" s="70"/>
      <c r="M87" s="68">
        <f t="shared" si="13"/>
        <v>66</v>
      </c>
      <c r="N87" s="73">
        <f t="shared" si="12"/>
        <v>1.9128685041961545E-2</v>
      </c>
      <c r="O87" s="70"/>
      <c r="P87" s="71"/>
      <c r="Q87" s="71"/>
      <c r="R87" s="71"/>
      <c r="S87" s="71"/>
      <c r="T87" s="71"/>
      <c r="U87" s="71"/>
      <c r="V87" s="71"/>
      <c r="W87" s="71"/>
      <c r="X87" s="71"/>
      <c r="Y87" s="71"/>
      <c r="Z87" s="71"/>
      <c r="AA87" s="71"/>
      <c r="AB87" s="71"/>
      <c r="AC87" s="71"/>
      <c r="AD87" s="71"/>
      <c r="AE87" s="71"/>
    </row>
    <row r="88" spans="1:62">
      <c r="A88" s="233">
        <v>1.9210000000000001E-2</v>
      </c>
      <c r="B88" s="203">
        <v>8128</v>
      </c>
      <c r="C88" s="232">
        <v>43951</v>
      </c>
      <c r="D88" s="232">
        <v>43955</v>
      </c>
      <c r="G88" s="332">
        <f t="shared" si="9"/>
        <v>4</v>
      </c>
      <c r="H88" s="333">
        <f t="shared" si="10"/>
        <v>1.0002134444444444</v>
      </c>
      <c r="I88" s="349">
        <f t="shared" si="14"/>
        <v>1.0071186074831713</v>
      </c>
      <c r="J88" s="326">
        <f t="shared" si="11"/>
        <v>1.3126071809052846E-6</v>
      </c>
      <c r="K88" s="244"/>
      <c r="L88" s="70"/>
      <c r="M88" s="68">
        <f t="shared" si="13"/>
        <v>67</v>
      </c>
      <c r="N88" s="73">
        <f t="shared" si="12"/>
        <v>1.9211312607180907E-2</v>
      </c>
      <c r="O88" s="70"/>
      <c r="P88" s="71"/>
      <c r="Q88" s="71"/>
      <c r="R88" s="71"/>
      <c r="S88" s="71"/>
      <c r="T88" s="71"/>
      <c r="U88" s="71"/>
      <c r="V88" s="71"/>
      <c r="W88" s="71"/>
      <c r="X88" s="71"/>
      <c r="Y88" s="71"/>
      <c r="Z88" s="71"/>
      <c r="AA88" s="71"/>
      <c r="AB88" s="71"/>
      <c r="AC88" s="71"/>
      <c r="AD88" s="71"/>
      <c r="AE88" s="71"/>
    </row>
    <row r="89" spans="1:62">
      <c r="A89" s="233">
        <v>1.9220000000000001E-2</v>
      </c>
      <c r="B89" s="203">
        <v>5360</v>
      </c>
      <c r="C89" s="232">
        <v>43955</v>
      </c>
      <c r="D89" s="232">
        <v>43956</v>
      </c>
      <c r="G89" s="332">
        <f t="shared" si="9"/>
        <v>1</v>
      </c>
      <c r="H89" s="333">
        <f t="shared" si="10"/>
        <v>1.0000533888888889</v>
      </c>
      <c r="I89" s="349">
        <f t="shared" si="14"/>
        <v>1.007333571354835</v>
      </c>
      <c r="J89" s="326">
        <f t="shared" si="11"/>
        <v>2.2784055193006909E-9</v>
      </c>
      <c r="K89" s="244"/>
      <c r="L89" s="70"/>
      <c r="M89" s="78">
        <f t="shared" si="13"/>
        <v>68</v>
      </c>
      <c r="N89" s="73">
        <f t="shared" si="12"/>
        <v>1.9220002278405521E-2</v>
      </c>
      <c r="O89" s="70"/>
      <c r="P89" s="71"/>
      <c r="Q89" s="71"/>
      <c r="R89" s="71"/>
      <c r="S89" s="71"/>
      <c r="T89" s="71"/>
      <c r="U89" s="71"/>
      <c r="V89" s="71"/>
      <c r="W89" s="71"/>
      <c r="X89" s="71"/>
      <c r="Y89" s="71"/>
      <c r="Z89" s="71"/>
      <c r="AA89" s="71"/>
      <c r="AB89" s="71"/>
      <c r="AC89" s="71"/>
      <c r="AD89" s="71"/>
      <c r="AE89" s="71"/>
    </row>
    <row r="90" spans="1:62">
      <c r="A90" s="233">
        <v>1.9120000000000002E-2</v>
      </c>
      <c r="B90" s="203">
        <v>7905</v>
      </c>
      <c r="C90" s="232">
        <v>43956</v>
      </c>
      <c r="D90" s="232">
        <v>43957</v>
      </c>
      <c r="G90" s="332">
        <f t="shared" si="9"/>
        <v>1</v>
      </c>
      <c r="H90" s="333">
        <f t="shared" si="10"/>
        <v>1.0000531111111111</v>
      </c>
      <c r="I90" s="349">
        <f t="shared" si="14"/>
        <v>1.0073873517749503</v>
      </c>
      <c r="J90" s="326">
        <f t="shared" si="11"/>
        <v>6.835218455764181E-10</v>
      </c>
      <c r="K90" s="244"/>
      <c r="L90" s="70"/>
      <c r="M90" s="68">
        <f t="shared" si="13"/>
        <v>69</v>
      </c>
      <c r="N90" s="73">
        <f t="shared" si="12"/>
        <v>1.9120000683521848E-2</v>
      </c>
      <c r="O90" s="70"/>
      <c r="P90" s="71"/>
      <c r="Q90" s="71"/>
      <c r="R90" s="71"/>
      <c r="S90" s="71"/>
      <c r="T90" s="71"/>
      <c r="U90" s="71"/>
      <c r="V90" s="71"/>
      <c r="W90" s="71"/>
      <c r="X90" s="71"/>
      <c r="Y90" s="71"/>
      <c r="Z90" s="71"/>
      <c r="AA90" s="71"/>
      <c r="AB90" s="71"/>
      <c r="AC90" s="71"/>
      <c r="AD90" s="71"/>
      <c r="AE90" s="71"/>
    </row>
    <row r="91" spans="1:62">
      <c r="A91" s="233">
        <v>1.9089999999999999E-2</v>
      </c>
      <c r="B91" s="203">
        <v>6816</v>
      </c>
      <c r="C91" s="232">
        <v>43957</v>
      </c>
      <c r="D91" s="232">
        <v>43958</v>
      </c>
      <c r="G91" s="332">
        <f t="shared" si="9"/>
        <v>1</v>
      </c>
      <c r="H91" s="333">
        <f t="shared" si="10"/>
        <v>1.0000530277777777</v>
      </c>
      <c r="I91" s="349">
        <f t="shared" si="14"/>
        <v>1.0074408552365224</v>
      </c>
      <c r="J91" s="326">
        <f t="shared" si="11"/>
        <v>-2.9619282455069834E-9</v>
      </c>
      <c r="K91" s="244"/>
      <c r="L91" s="70"/>
      <c r="M91" s="72">
        <f t="shared" si="13"/>
        <v>70</v>
      </c>
      <c r="N91" s="73">
        <f t="shared" si="12"/>
        <v>1.9089997038071755E-2</v>
      </c>
      <c r="O91" s="70"/>
      <c r="P91" s="71"/>
      <c r="Q91" s="71"/>
      <c r="R91" s="71"/>
      <c r="S91" s="71"/>
      <c r="T91" s="71"/>
      <c r="U91" s="71"/>
      <c r="V91" s="71"/>
      <c r="W91" s="71"/>
      <c r="X91" s="71"/>
      <c r="Y91" s="71"/>
      <c r="Z91" s="71"/>
      <c r="AA91" s="71"/>
      <c r="AB91" s="71"/>
      <c r="AC91" s="71"/>
      <c r="AD91" s="71"/>
      <c r="AE91" s="71"/>
    </row>
    <row r="92" spans="1:62">
      <c r="A92" s="233">
        <v>1.9220000000000001E-2</v>
      </c>
      <c r="B92" s="203">
        <v>6942</v>
      </c>
      <c r="C92" s="232">
        <v>43958</v>
      </c>
      <c r="D92" s="232">
        <v>43959</v>
      </c>
      <c r="G92" s="332">
        <f t="shared" si="9"/>
        <v>1</v>
      </c>
      <c r="H92" s="333">
        <f t="shared" si="10"/>
        <v>1.0000533888888889</v>
      </c>
      <c r="I92" s="349">
        <f t="shared" si="14"/>
        <v>1.007494277586318</v>
      </c>
      <c r="J92" s="326">
        <f t="shared" si="11"/>
        <v>-8.7718612462295536E-7</v>
      </c>
      <c r="K92" s="244"/>
      <c r="L92" s="70"/>
      <c r="M92" s="68">
        <f t="shared" si="13"/>
        <v>71</v>
      </c>
      <c r="N92" s="73">
        <f t="shared" si="12"/>
        <v>1.9219122813875378E-2</v>
      </c>
      <c r="O92" s="70"/>
      <c r="P92" s="71"/>
      <c r="Q92" s="71"/>
      <c r="R92" s="71"/>
      <c r="S92" s="71"/>
      <c r="T92" s="71"/>
      <c r="U92" s="71"/>
      <c r="V92" s="71"/>
      <c r="W92" s="71"/>
      <c r="X92" s="71"/>
      <c r="Y92" s="71"/>
      <c r="Z92" s="71"/>
      <c r="AA92" s="71"/>
      <c r="AB92" s="71"/>
      <c r="AC92" s="71"/>
      <c r="AD92" s="71"/>
      <c r="AE92" s="71"/>
    </row>
    <row r="93" spans="1:62">
      <c r="A93" s="233">
        <v>1.924E-2</v>
      </c>
      <c r="B93" s="203">
        <v>7583</v>
      </c>
      <c r="C93" s="232">
        <v>43959</v>
      </c>
      <c r="D93" s="232">
        <v>43962</v>
      </c>
      <c r="G93" s="332">
        <f t="shared" si="9"/>
        <v>3</v>
      </c>
      <c r="H93" s="333">
        <f t="shared" si="10"/>
        <v>1.0001603333333333</v>
      </c>
      <c r="I93" s="349">
        <f t="shared" si="14"/>
        <v>1.0075480665863603</v>
      </c>
      <c r="J93" s="326">
        <f t="shared" si="11"/>
        <v>8.7728016753535627E-7</v>
      </c>
      <c r="K93" s="244"/>
      <c r="L93" s="70"/>
      <c r="M93" s="68">
        <f t="shared" si="13"/>
        <v>72</v>
      </c>
      <c r="N93" s="73">
        <f t="shared" si="12"/>
        <v>1.9240877280167535E-2</v>
      </c>
      <c r="O93" s="70"/>
      <c r="P93" s="71"/>
      <c r="Q93" s="71"/>
      <c r="R93" s="71"/>
      <c r="S93" s="71"/>
      <c r="T93" s="71"/>
      <c r="U93" s="71"/>
      <c r="V93" s="71"/>
      <c r="W93" s="71"/>
      <c r="X93" s="71"/>
      <c r="Y93" s="71"/>
      <c r="Z93" s="71"/>
      <c r="AA93" s="71"/>
      <c r="AB93" s="71"/>
      <c r="AC93" s="71"/>
      <c r="AD93" s="71"/>
      <c r="AE93" s="71"/>
    </row>
    <row r="94" spans="1:62">
      <c r="A94" s="233">
        <v>1.9210000000000001E-2</v>
      </c>
      <c r="B94" s="203">
        <v>7853</v>
      </c>
      <c r="C94" s="232">
        <v>43962</v>
      </c>
      <c r="D94" s="232">
        <v>43963</v>
      </c>
      <c r="G94" s="332">
        <f t="shared" si="9"/>
        <v>1</v>
      </c>
      <c r="H94" s="333">
        <f t="shared" si="10"/>
        <v>1.0000533611111111</v>
      </c>
      <c r="I94" s="349">
        <f t="shared" si="14"/>
        <v>1.0077096101263696</v>
      </c>
      <c r="J94" s="326">
        <f t="shared" si="11"/>
        <v>1.3669810555776905E-9</v>
      </c>
      <c r="K94" s="244"/>
      <c r="L94" s="70"/>
      <c r="M94" s="68">
        <f t="shared" si="13"/>
        <v>73</v>
      </c>
      <c r="N94" s="73">
        <f t="shared" si="12"/>
        <v>1.9210001366981058E-2</v>
      </c>
      <c r="O94" s="70"/>
      <c r="P94" s="71"/>
      <c r="Q94" s="71"/>
      <c r="R94" s="71"/>
      <c r="S94" s="71"/>
      <c r="T94" s="71"/>
      <c r="U94" s="71"/>
      <c r="V94" s="71"/>
      <c r="W94" s="71"/>
      <c r="X94" s="71"/>
      <c r="Y94" s="71"/>
      <c r="Z94" s="71"/>
      <c r="AA94" s="71"/>
      <c r="AB94" s="71"/>
      <c r="AC94" s="71"/>
      <c r="AD94" s="71"/>
      <c r="AE94" s="71"/>
    </row>
    <row r="95" spans="1:62">
      <c r="A95" s="233">
        <v>1.915E-2</v>
      </c>
      <c r="B95" s="203">
        <v>8777</v>
      </c>
      <c r="C95" s="232">
        <v>43963</v>
      </c>
      <c r="D95" s="232">
        <v>43964</v>
      </c>
      <c r="G95" s="332">
        <f t="shared" si="9"/>
        <v>1</v>
      </c>
      <c r="H95" s="333">
        <f t="shared" si="10"/>
        <v>1.0000531944444444</v>
      </c>
      <c r="I95" s="349">
        <f t="shared" si="14"/>
        <v>1.0077633826308432</v>
      </c>
      <c r="J95" s="326">
        <f t="shared" si="11"/>
        <v>5.012264703080857E-9</v>
      </c>
      <c r="K95" s="244"/>
      <c r="L95" s="70"/>
      <c r="M95" s="68">
        <f t="shared" si="13"/>
        <v>74</v>
      </c>
      <c r="N95" s="73">
        <f t="shared" si="12"/>
        <v>1.9150005012264704E-2</v>
      </c>
      <c r="O95" s="70"/>
      <c r="P95" s="71"/>
      <c r="Q95" s="71"/>
      <c r="R95" s="71"/>
      <c r="S95" s="71"/>
      <c r="T95" s="71"/>
      <c r="U95" s="71"/>
      <c r="V95" s="71"/>
      <c r="W95" s="71"/>
      <c r="X95" s="71"/>
      <c r="Y95" s="71"/>
      <c r="Z95" s="71"/>
      <c r="AA95" s="71"/>
      <c r="AB95" s="71"/>
      <c r="AC95" s="71"/>
      <c r="AD95" s="71"/>
      <c r="AE95" s="71"/>
    </row>
    <row r="96" spans="1:62">
      <c r="A96" s="233">
        <v>1.8929999999999999E-2</v>
      </c>
      <c r="B96" s="203">
        <v>7825</v>
      </c>
      <c r="C96" s="232">
        <v>43964</v>
      </c>
      <c r="D96" s="232">
        <v>43965</v>
      </c>
      <c r="G96" s="332">
        <f t="shared" si="9"/>
        <v>1</v>
      </c>
      <c r="H96" s="333">
        <f t="shared" si="10"/>
        <v>1.0000525833333334</v>
      </c>
      <c r="I96" s="349">
        <f t="shared" si="14"/>
        <v>1.0078169900441136</v>
      </c>
      <c r="J96" s="326">
        <f t="shared" si="11"/>
        <v>-9.3410444747164901E-9</v>
      </c>
      <c r="K96" s="244"/>
      <c r="L96" s="70"/>
      <c r="M96" s="68">
        <f t="shared" si="13"/>
        <v>75</v>
      </c>
      <c r="N96" s="73">
        <f t="shared" si="12"/>
        <v>1.8929990658955523E-2</v>
      </c>
      <c r="O96" s="70"/>
      <c r="P96" s="71"/>
      <c r="Q96" s="71"/>
      <c r="R96" s="71"/>
      <c r="S96" s="71"/>
      <c r="T96" s="71"/>
      <c r="U96" s="71"/>
      <c r="V96" s="71"/>
      <c r="W96" s="71"/>
      <c r="X96" s="71"/>
      <c r="Y96" s="71"/>
      <c r="Z96" s="71"/>
      <c r="AA96" s="71"/>
      <c r="AB96" s="71"/>
      <c r="AC96" s="71"/>
      <c r="AD96" s="71"/>
      <c r="AE96" s="71"/>
    </row>
    <row r="97" spans="1:31">
      <c r="A97" s="233">
        <v>1.934E-2</v>
      </c>
      <c r="B97" s="203">
        <v>8146</v>
      </c>
      <c r="C97" s="232">
        <v>43965</v>
      </c>
      <c r="D97" s="232">
        <v>43966</v>
      </c>
      <c r="G97" s="332">
        <f t="shared" si="9"/>
        <v>1</v>
      </c>
      <c r="H97" s="333">
        <f t="shared" si="10"/>
        <v>1.0000537222222223</v>
      </c>
      <c r="I97" s="349">
        <f t="shared" si="14"/>
        <v>1.0078699844208401</v>
      </c>
      <c r="J97" s="326">
        <f t="shared" si="11"/>
        <v>-8.8056331163416222E-7</v>
      </c>
      <c r="K97" s="244"/>
      <c r="L97" s="70"/>
      <c r="M97" s="68">
        <f t="shared" si="13"/>
        <v>76</v>
      </c>
      <c r="N97" s="73">
        <f t="shared" si="12"/>
        <v>1.9339119436688364E-2</v>
      </c>
      <c r="O97" s="70"/>
      <c r="P97" s="71"/>
      <c r="Q97" s="71"/>
      <c r="R97" s="71"/>
      <c r="S97" s="71"/>
      <c r="T97" s="71"/>
      <c r="U97" s="71"/>
      <c r="V97" s="71"/>
      <c r="W97" s="71"/>
      <c r="X97" s="71"/>
      <c r="Y97" s="71"/>
      <c r="Z97" s="71"/>
      <c r="AA97" s="71"/>
      <c r="AB97" s="71"/>
      <c r="AC97" s="71"/>
      <c r="AD97" s="71"/>
      <c r="AE97" s="71"/>
    </row>
    <row r="98" spans="1:31">
      <c r="A98" s="233">
        <v>1.933E-2</v>
      </c>
      <c r="B98" s="203">
        <v>7942</v>
      </c>
      <c r="C98" s="232">
        <v>43966</v>
      </c>
      <c r="D98" s="232">
        <v>43969</v>
      </c>
      <c r="G98" s="332">
        <f t="shared" si="9"/>
        <v>3</v>
      </c>
      <c r="H98" s="333">
        <f t="shared" si="10"/>
        <v>1.0001610833333334</v>
      </c>
      <c r="I98" s="349">
        <f t="shared" si="14"/>
        <v>1.0079241294361143</v>
      </c>
      <c r="J98" s="326">
        <f t="shared" ref="J98:J129" si="15">((H99/H98-1)*360/(M98-D98))</f>
        <v>8.8316221190670568E-7</v>
      </c>
      <c r="K98" s="244"/>
      <c r="L98" s="70"/>
      <c r="M98" s="68">
        <f t="shared" si="13"/>
        <v>77</v>
      </c>
      <c r="N98" s="73">
        <f t="shared" ref="N98:N129" si="16">A98+J98</f>
        <v>1.9330883162211907E-2</v>
      </c>
      <c r="O98" s="70"/>
      <c r="P98" s="71"/>
      <c r="Q98" s="71"/>
      <c r="R98" s="71"/>
      <c r="S98" s="71"/>
      <c r="T98" s="71"/>
      <c r="U98" s="71"/>
      <c r="V98" s="71"/>
      <c r="W98" s="71"/>
      <c r="X98" s="71"/>
      <c r="Y98" s="71"/>
      <c r="Z98" s="71"/>
      <c r="AA98" s="71"/>
      <c r="AB98" s="71"/>
      <c r="AC98" s="71"/>
      <c r="AD98" s="71"/>
      <c r="AE98" s="71"/>
    </row>
    <row r="99" spans="1:31">
      <c r="A99" s="233">
        <v>1.9220000000000001E-2</v>
      </c>
      <c r="B99" s="203">
        <v>7777</v>
      </c>
      <c r="C99" s="232">
        <v>43969</v>
      </c>
      <c r="D99" s="232">
        <v>43970</v>
      </c>
      <c r="G99" s="332">
        <f t="shared" si="9"/>
        <v>1</v>
      </c>
      <c r="H99" s="333">
        <f t="shared" si="10"/>
        <v>1.0000533888888889</v>
      </c>
      <c r="I99" s="349">
        <f t="shared" si="14"/>
        <v>1.0080864892146311</v>
      </c>
      <c r="J99" s="326">
        <f t="shared" si="15"/>
        <v>1.1390989418459488E-9</v>
      </c>
      <c r="K99" s="244"/>
      <c r="L99" s="70"/>
      <c r="M99" s="68">
        <f t="shared" si="13"/>
        <v>78</v>
      </c>
      <c r="N99" s="73">
        <f t="shared" si="16"/>
        <v>1.9220001139098941E-2</v>
      </c>
      <c r="O99" s="70"/>
      <c r="P99" s="71"/>
      <c r="Q99" s="71"/>
      <c r="R99" s="71"/>
      <c r="S99" s="71"/>
      <c r="T99" s="71"/>
      <c r="U99" s="71"/>
      <c r="V99" s="71"/>
      <c r="W99" s="71"/>
      <c r="X99" s="71"/>
      <c r="Y99" s="71"/>
      <c r="Z99" s="71"/>
      <c r="AA99" s="71"/>
      <c r="AB99" s="71"/>
      <c r="AC99" s="71"/>
      <c r="AD99" s="71"/>
      <c r="AE99" s="71"/>
    </row>
    <row r="100" spans="1:31">
      <c r="A100" s="233">
        <v>1.917E-2</v>
      </c>
      <c r="B100" s="203">
        <v>7769</v>
      </c>
      <c r="C100" s="232">
        <v>43970</v>
      </c>
      <c r="D100" s="232">
        <v>43971</v>
      </c>
      <c r="G100" s="332">
        <f t="shared" si="9"/>
        <v>1</v>
      </c>
      <c r="H100" s="333">
        <f t="shared" si="10"/>
        <v>1.0000532499999999</v>
      </c>
      <c r="I100" s="349">
        <f t="shared" si="14"/>
        <v>1.0081403098321942</v>
      </c>
      <c r="J100" s="326">
        <f t="shared" si="15"/>
        <v>-2.2781982078652843E-10</v>
      </c>
      <c r="K100" s="244"/>
      <c r="L100" s="70"/>
      <c r="M100" s="68">
        <f t="shared" si="13"/>
        <v>79</v>
      </c>
      <c r="N100" s="73">
        <f t="shared" si="16"/>
        <v>1.9169999772180178E-2</v>
      </c>
      <c r="O100" s="70"/>
      <c r="P100" s="71"/>
      <c r="Q100" s="71"/>
      <c r="R100" s="71"/>
      <c r="S100" s="71"/>
      <c r="T100" s="71"/>
      <c r="U100" s="71"/>
      <c r="V100" s="71"/>
      <c r="W100" s="71"/>
      <c r="X100" s="71"/>
      <c r="Y100" s="71"/>
      <c r="Z100" s="71"/>
      <c r="AA100" s="71"/>
      <c r="AB100" s="71"/>
      <c r="AC100" s="71"/>
      <c r="AD100" s="71"/>
      <c r="AE100" s="71"/>
    </row>
    <row r="101" spans="1:31">
      <c r="A101" s="233">
        <v>1.9179999999999999E-2</v>
      </c>
      <c r="B101" s="203">
        <v>7397</v>
      </c>
      <c r="C101" s="232">
        <v>43971</v>
      </c>
      <c r="D101" s="232">
        <v>43972</v>
      </c>
      <c r="G101" s="332">
        <f t="shared" si="9"/>
        <v>1</v>
      </c>
      <c r="H101" s="333">
        <f t="shared" si="10"/>
        <v>1.0000532777777777</v>
      </c>
      <c r="I101" s="349">
        <f t="shared" si="14"/>
        <v>1.0081939933036925</v>
      </c>
      <c r="J101" s="326">
        <f t="shared" si="15"/>
        <v>-9.1127925400693294E-10</v>
      </c>
      <c r="K101" s="244"/>
      <c r="L101" s="70"/>
      <c r="M101" s="68">
        <f t="shared" si="13"/>
        <v>80</v>
      </c>
      <c r="N101" s="73">
        <f t="shared" si="16"/>
        <v>1.9179999088720746E-2</v>
      </c>
      <c r="O101" s="70"/>
      <c r="P101" s="71"/>
      <c r="Q101" s="71"/>
      <c r="R101" s="71"/>
      <c r="S101" s="71"/>
      <c r="T101" s="71"/>
      <c r="U101" s="71"/>
      <c r="V101" s="71"/>
      <c r="W101" s="71"/>
      <c r="X101" s="71"/>
      <c r="Y101" s="71"/>
      <c r="Z101" s="71"/>
      <c r="AA101" s="71"/>
      <c r="AB101" s="71"/>
      <c r="AC101" s="71"/>
      <c r="AD101" s="71"/>
      <c r="AE101" s="71"/>
    </row>
    <row r="102" spans="1:31">
      <c r="A102" s="233">
        <v>1.9220000000000001E-2</v>
      </c>
      <c r="B102" s="203">
        <v>8107</v>
      </c>
      <c r="C102" s="232">
        <v>43972</v>
      </c>
      <c r="D102" s="232">
        <v>43973</v>
      </c>
      <c r="G102" s="332">
        <f t="shared" si="9"/>
        <v>1</v>
      </c>
      <c r="H102" s="333">
        <f t="shared" si="10"/>
        <v>1.0000533888888889</v>
      </c>
      <c r="I102" s="349">
        <f t="shared" si="14"/>
        <v>1.0082477076392247</v>
      </c>
      <c r="J102" s="326">
        <f t="shared" si="15"/>
        <v>-1.2972058734829689E-6</v>
      </c>
      <c r="K102" s="244"/>
      <c r="L102" s="70"/>
      <c r="M102" s="68">
        <f t="shared" si="13"/>
        <v>81</v>
      </c>
      <c r="N102" s="73">
        <f t="shared" si="16"/>
        <v>1.9218702794126519E-2</v>
      </c>
      <c r="O102" s="70"/>
      <c r="P102" s="71"/>
      <c r="Q102" s="71"/>
      <c r="R102" s="71"/>
      <c r="S102" s="71"/>
      <c r="T102" s="71"/>
      <c r="U102" s="71"/>
      <c r="V102" s="71"/>
      <c r="W102" s="71"/>
      <c r="X102" s="71"/>
      <c r="Y102" s="71"/>
      <c r="Z102" s="71"/>
      <c r="AA102" s="71"/>
      <c r="AB102" s="71"/>
      <c r="AC102" s="71"/>
      <c r="AD102" s="71"/>
      <c r="AE102" s="71"/>
    </row>
    <row r="103" spans="1:31">
      <c r="A103" s="233">
        <v>1.9040000000000001E-2</v>
      </c>
      <c r="B103" s="203">
        <v>3908</v>
      </c>
      <c r="C103" s="232">
        <v>43973</v>
      </c>
      <c r="D103" s="232">
        <v>43977</v>
      </c>
      <c r="G103" s="332">
        <f t="shared" si="9"/>
        <v>4</v>
      </c>
      <c r="H103" s="333">
        <f t="shared" si="10"/>
        <v>1.0002115555555555</v>
      </c>
      <c r="I103" s="349">
        <f t="shared" si="14"/>
        <v>1.0083015368640604</v>
      </c>
      <c r="J103" s="326">
        <f t="shared" si="15"/>
        <v>1.3019229990237594E-6</v>
      </c>
      <c r="K103" s="244"/>
      <c r="L103" s="70"/>
      <c r="M103" s="68">
        <f t="shared" si="13"/>
        <v>82</v>
      </c>
      <c r="N103" s="73">
        <f t="shared" si="16"/>
        <v>1.9041301922999024E-2</v>
      </c>
      <c r="O103" s="70"/>
      <c r="P103" s="71"/>
      <c r="Q103" s="71"/>
      <c r="R103" s="71"/>
      <c r="S103" s="71"/>
      <c r="T103" s="71"/>
      <c r="U103" s="71"/>
      <c r="V103" s="71"/>
      <c r="W103" s="71"/>
      <c r="X103" s="71"/>
      <c r="Y103" s="71"/>
      <c r="Z103" s="71"/>
      <c r="AA103" s="71"/>
      <c r="AB103" s="71"/>
      <c r="AC103" s="71"/>
      <c r="AD103" s="71"/>
      <c r="AE103" s="71"/>
    </row>
    <row r="104" spans="1:31">
      <c r="A104" s="233">
        <v>1.9E-2</v>
      </c>
      <c r="B104" s="203">
        <v>4868</v>
      </c>
      <c r="C104" s="232">
        <v>43977</v>
      </c>
      <c r="D104" s="232">
        <v>43978</v>
      </c>
      <c r="G104" s="332">
        <f t="shared" si="9"/>
        <v>1</v>
      </c>
      <c r="H104" s="333">
        <f t="shared" si="10"/>
        <v>1.0000527777777777</v>
      </c>
      <c r="I104" s="349">
        <f t="shared" si="14"/>
        <v>1.0085148486558593</v>
      </c>
      <c r="J104" s="326">
        <f t="shared" si="15"/>
        <v>-4.5560871398663568E-9</v>
      </c>
      <c r="K104" s="244"/>
      <c r="L104" s="70"/>
      <c r="M104" s="68">
        <f t="shared" si="13"/>
        <v>83</v>
      </c>
      <c r="N104" s="73">
        <f t="shared" si="16"/>
        <v>1.899999544391286E-2</v>
      </c>
      <c r="O104" s="85"/>
      <c r="P104" s="71"/>
      <c r="Q104" s="71"/>
      <c r="R104" s="71"/>
      <c r="S104" s="71"/>
      <c r="T104" s="71"/>
      <c r="U104" s="71"/>
      <c r="V104" s="71"/>
      <c r="W104" s="71"/>
      <c r="X104" s="71"/>
      <c r="Y104" s="71"/>
      <c r="Z104" s="71"/>
      <c r="AA104" s="71"/>
      <c r="AB104" s="71"/>
      <c r="AC104" s="71"/>
      <c r="AD104" s="71"/>
      <c r="AE104" s="71"/>
    </row>
    <row r="105" spans="1:31">
      <c r="A105" s="233">
        <v>1.9199999999999998E-2</v>
      </c>
      <c r="B105" s="203">
        <v>8182</v>
      </c>
      <c r="C105" s="232">
        <v>43978</v>
      </c>
      <c r="D105" s="232">
        <v>43979</v>
      </c>
      <c r="G105" s="332">
        <f t="shared" si="9"/>
        <v>1</v>
      </c>
      <c r="H105" s="333">
        <f t="shared" si="10"/>
        <v>1.0000533333333332</v>
      </c>
      <c r="I105" s="349">
        <f t="shared" si="14"/>
        <v>1.0085680758284272</v>
      </c>
      <c r="J105" s="326">
        <f t="shared" si="15"/>
        <v>-6.8341269128595536E-10</v>
      </c>
      <c r="K105" s="244"/>
      <c r="L105" s="70"/>
      <c r="M105" s="87">
        <f t="shared" si="13"/>
        <v>84</v>
      </c>
      <c r="N105" s="73">
        <f t="shared" si="16"/>
        <v>1.9199999316587307E-2</v>
      </c>
      <c r="O105" s="85"/>
      <c r="P105" s="71"/>
      <c r="Q105" s="71"/>
      <c r="R105" s="71"/>
      <c r="S105" s="71"/>
      <c r="T105" s="71"/>
      <c r="U105" s="71"/>
      <c r="V105" s="71"/>
      <c r="W105" s="71"/>
      <c r="X105" s="71"/>
      <c r="Y105" s="71"/>
      <c r="Z105" s="71"/>
      <c r="AA105" s="71"/>
      <c r="AB105" s="71"/>
      <c r="AC105" s="71"/>
      <c r="AD105" s="71"/>
      <c r="AE105" s="71"/>
    </row>
    <row r="106" spans="1:31">
      <c r="A106" s="233">
        <v>1.9230000000000001E-2</v>
      </c>
      <c r="B106" s="203">
        <v>7354</v>
      </c>
      <c r="C106" s="232">
        <v>43979</v>
      </c>
      <c r="D106" s="232">
        <v>43980</v>
      </c>
      <c r="G106" s="332">
        <f t="shared" si="9"/>
        <v>1</v>
      </c>
      <c r="H106" s="333">
        <f t="shared" si="10"/>
        <v>1.0000534166666666</v>
      </c>
      <c r="I106" s="349">
        <f t="shared" si="14"/>
        <v>1.0086218661258046</v>
      </c>
      <c r="J106" s="326">
        <f t="shared" si="15"/>
        <v>-8.7545158462695584E-7</v>
      </c>
      <c r="K106" s="244"/>
      <c r="L106" s="70"/>
      <c r="M106" s="87">
        <f t="shared" si="13"/>
        <v>85</v>
      </c>
      <c r="N106" s="73">
        <f t="shared" si="16"/>
        <v>1.9229124548415372E-2</v>
      </c>
      <c r="O106" s="86"/>
      <c r="P106" s="91"/>
      <c r="Q106" s="91"/>
      <c r="R106" s="91"/>
      <c r="S106" s="91"/>
      <c r="T106" s="91"/>
      <c r="U106" s="91"/>
      <c r="V106" s="71"/>
      <c r="W106" s="71"/>
      <c r="X106" s="71"/>
      <c r="Y106" s="71"/>
      <c r="Z106" s="71"/>
      <c r="AA106" s="71"/>
      <c r="AB106" s="71"/>
      <c r="AC106" s="71"/>
      <c r="AD106" s="71"/>
      <c r="AE106" s="71"/>
    </row>
    <row r="107" spans="1:31">
      <c r="A107" s="233">
        <v>1.9220000000000001E-2</v>
      </c>
      <c r="B107" s="203">
        <v>6870</v>
      </c>
      <c r="C107" s="232">
        <v>43980</v>
      </c>
      <c r="D107" s="232">
        <v>43983</v>
      </c>
      <c r="G107" s="332">
        <f t="shared" si="9"/>
        <v>3</v>
      </c>
      <c r="H107" s="333">
        <f t="shared" si="10"/>
        <v>1.0001601666666666</v>
      </c>
      <c r="I107" s="349">
        <f t="shared" si="14"/>
        <v>1.00867574334382</v>
      </c>
      <c r="J107" s="326">
        <f t="shared" si="15"/>
        <v>8.6939625526496584E-7</v>
      </c>
      <c r="K107" s="244"/>
      <c r="L107" s="70"/>
      <c r="M107" s="87">
        <f t="shared" si="13"/>
        <v>86</v>
      </c>
      <c r="N107" s="73">
        <f t="shared" si="16"/>
        <v>1.9220869396255266E-2</v>
      </c>
      <c r="O107" s="3"/>
    </row>
    <row r="108" spans="1:31">
      <c r="A108" s="233">
        <v>1.949E-2</v>
      </c>
      <c r="B108" s="203">
        <v>8408</v>
      </c>
      <c r="C108" s="232">
        <v>43983</v>
      </c>
      <c r="D108" s="232">
        <v>43984</v>
      </c>
      <c r="G108" s="332">
        <f t="shared" si="9"/>
        <v>1</v>
      </c>
      <c r="H108" s="333">
        <f t="shared" si="10"/>
        <v>1.0000541388888888</v>
      </c>
      <c r="I108" s="349">
        <f t="shared" si="14"/>
        <v>1.0088372995753789</v>
      </c>
      <c r="J108" s="326">
        <f t="shared" si="15"/>
        <v>6.1504290327348091E-9</v>
      </c>
      <c r="K108" s="244"/>
      <c r="L108" s="70"/>
      <c r="M108" s="87">
        <f t="shared" si="13"/>
        <v>87</v>
      </c>
      <c r="N108" s="73">
        <f t="shared" si="16"/>
        <v>1.9490006150429035E-2</v>
      </c>
      <c r="O108" s="3"/>
    </row>
    <row r="109" spans="1:31">
      <c r="A109" s="233">
        <v>1.9220000000000001E-2</v>
      </c>
      <c r="B109" s="203">
        <v>8516</v>
      </c>
      <c r="C109" s="232">
        <v>43984</v>
      </c>
      <c r="D109" s="232">
        <v>43985</v>
      </c>
      <c r="G109" s="332">
        <f t="shared" si="9"/>
        <v>1</v>
      </c>
      <c r="H109" s="333">
        <f t="shared" si="10"/>
        <v>1.0000533888888889</v>
      </c>
      <c r="I109" s="349">
        <f t="shared" si="14"/>
        <v>1.0088919169058475</v>
      </c>
      <c r="J109" s="326">
        <f t="shared" si="15"/>
        <v>1.5945568723541226E-9</v>
      </c>
      <c r="K109" s="244"/>
      <c r="L109" s="70"/>
      <c r="M109" s="87">
        <f t="shared" si="13"/>
        <v>88</v>
      </c>
      <c r="N109" s="73">
        <f t="shared" si="16"/>
        <v>1.9220001594556873E-2</v>
      </c>
      <c r="O109" s="3"/>
    </row>
    <row r="110" spans="1:31">
      <c r="A110" s="233">
        <v>1.915E-2</v>
      </c>
      <c r="B110" s="203">
        <v>7782</v>
      </c>
      <c r="C110" s="232">
        <v>43985</v>
      </c>
      <c r="D110" s="232">
        <v>43986</v>
      </c>
      <c r="G110" s="332">
        <f t="shared" si="9"/>
        <v>1</v>
      </c>
      <c r="H110" s="333">
        <f t="shared" si="10"/>
        <v>1.0000531944444444</v>
      </c>
      <c r="I110" s="349">
        <f t="shared" si="14"/>
        <v>1.0089457805243001</v>
      </c>
      <c r="J110" s="326">
        <f t="shared" si="15"/>
        <v>0</v>
      </c>
      <c r="K110" s="244"/>
      <c r="L110" s="70"/>
      <c r="M110" s="87">
        <f t="shared" si="13"/>
        <v>89</v>
      </c>
      <c r="N110" s="73">
        <f t="shared" si="16"/>
        <v>1.915E-2</v>
      </c>
      <c r="O110" s="3"/>
    </row>
    <row r="111" spans="1:31">
      <c r="A111" s="233">
        <v>1.915E-2</v>
      </c>
      <c r="B111" s="203">
        <v>7926</v>
      </c>
      <c r="C111" s="232">
        <v>43986</v>
      </c>
      <c r="D111" s="232">
        <v>43987</v>
      </c>
      <c r="G111" s="332">
        <f t="shared" si="9"/>
        <v>1</v>
      </c>
      <c r="H111" s="333">
        <f t="shared" si="10"/>
        <v>1.0000531944444444</v>
      </c>
      <c r="I111" s="349">
        <f t="shared" si="14"/>
        <v>1.0089994508345697</v>
      </c>
      <c r="J111" s="326">
        <f t="shared" si="15"/>
        <v>-8.738173353439841E-7</v>
      </c>
      <c r="K111" s="244"/>
      <c r="L111" s="70"/>
      <c r="M111" s="87">
        <f t="shared" si="13"/>
        <v>90</v>
      </c>
      <c r="N111" s="73">
        <f t="shared" si="16"/>
        <v>1.9149126182664657E-2</v>
      </c>
      <c r="O111" s="3"/>
    </row>
    <row r="112" spans="1:31">
      <c r="A112" s="233">
        <v>1.917E-2</v>
      </c>
      <c r="B112" s="203">
        <v>8493</v>
      </c>
      <c r="C112" s="232">
        <v>43987</v>
      </c>
      <c r="D112" s="232">
        <v>43990</v>
      </c>
      <c r="G112" s="332">
        <f t="shared" si="9"/>
        <v>3</v>
      </c>
      <c r="H112" s="333">
        <f t="shared" si="10"/>
        <v>1.0001597499999999</v>
      </c>
      <c r="I112" s="349">
        <f t="shared" si="14"/>
        <v>1.0090531239998015</v>
      </c>
      <c r="J112" s="326">
        <f t="shared" si="15"/>
        <v>8.7368443401392116E-7</v>
      </c>
      <c r="K112" s="244"/>
      <c r="L112" s="70"/>
      <c r="M112" s="87">
        <f t="shared" si="13"/>
        <v>91</v>
      </c>
      <c r="N112" s="73">
        <f t="shared" si="16"/>
        <v>1.9170873684434014E-2</v>
      </c>
      <c r="O112" s="3"/>
    </row>
    <row r="113" spans="1:15">
      <c r="A113" s="233">
        <v>1.915E-2</v>
      </c>
      <c r="B113" s="203">
        <v>8089</v>
      </c>
      <c r="C113" s="232">
        <v>43990</v>
      </c>
      <c r="D113" s="232">
        <v>43991</v>
      </c>
      <c r="G113" s="332">
        <f t="shared" si="9"/>
        <v>1</v>
      </c>
      <c r="H113" s="333">
        <f t="shared" si="10"/>
        <v>1.0000531944444444</v>
      </c>
      <c r="I113" s="349">
        <f t="shared" si="14"/>
        <v>1.0092143202363604</v>
      </c>
      <c r="J113" s="326">
        <f t="shared" si="15"/>
        <v>-2.2778350608247821E-10</v>
      </c>
      <c r="K113" s="244"/>
      <c r="L113" s="70"/>
      <c r="M113" s="87">
        <f t="shared" si="13"/>
        <v>92</v>
      </c>
      <c r="N113" s="73">
        <f t="shared" si="16"/>
        <v>1.9149999772216493E-2</v>
      </c>
      <c r="O113" s="3"/>
    </row>
    <row r="114" spans="1:15">
      <c r="A114" s="233">
        <v>1.916E-2</v>
      </c>
      <c r="B114" s="203">
        <v>8421</v>
      </c>
      <c r="C114" s="232">
        <v>43991</v>
      </c>
      <c r="D114" s="232">
        <v>43992</v>
      </c>
      <c r="E114" s="348"/>
      <c r="F114" s="348"/>
      <c r="G114" s="332">
        <f t="shared" si="9"/>
        <v>1</v>
      </c>
      <c r="H114" s="333">
        <f t="shared" si="10"/>
        <v>1.0000532222222223</v>
      </c>
      <c r="I114" s="349">
        <f t="shared" si="14"/>
        <v>1.0092680048314506</v>
      </c>
      <c r="J114" s="326">
        <f t="shared" si="15"/>
        <v>6.8335049639653384E-10</v>
      </c>
      <c r="K114" s="244"/>
      <c r="L114" s="70"/>
      <c r="M114" s="87">
        <f t="shared" si="13"/>
        <v>93</v>
      </c>
      <c r="N114" s="73">
        <f t="shared" si="16"/>
        <v>1.9160000683350498E-2</v>
      </c>
      <c r="O114" s="3"/>
    </row>
    <row r="115" spans="1:15">
      <c r="A115" s="233">
        <v>1.9130000000000001E-2</v>
      </c>
      <c r="B115" s="203">
        <v>8805</v>
      </c>
      <c r="C115" s="232">
        <v>43992</v>
      </c>
      <c r="D115" s="232">
        <v>43993</v>
      </c>
      <c r="E115" s="348"/>
      <c r="F115" s="348"/>
      <c r="G115" s="332">
        <f t="shared" si="9"/>
        <v>1</v>
      </c>
      <c r="H115" s="333">
        <f t="shared" si="10"/>
        <v>1.0000531388888889</v>
      </c>
      <c r="I115" s="349">
        <f t="shared" si="14"/>
        <v>1.0093217203174856</v>
      </c>
      <c r="J115" s="326">
        <f t="shared" si="15"/>
        <v>-7.9724231171284019E-9</v>
      </c>
      <c r="K115" s="244"/>
      <c r="L115" s="70"/>
      <c r="M115" s="87">
        <f t="shared" si="13"/>
        <v>94</v>
      </c>
      <c r="N115" s="73">
        <f t="shared" si="16"/>
        <v>1.9129992027576884E-2</v>
      </c>
      <c r="O115" s="3"/>
    </row>
    <row r="116" spans="1:15">
      <c r="A116" s="233">
        <v>1.9480000000000001E-2</v>
      </c>
      <c r="B116" s="203">
        <v>10676</v>
      </c>
      <c r="C116" s="232">
        <v>43993</v>
      </c>
      <c r="D116" s="232">
        <v>43994</v>
      </c>
      <c r="E116" s="348"/>
      <c r="F116" s="348"/>
      <c r="G116" s="332">
        <f t="shared" si="9"/>
        <v>1</v>
      </c>
      <c r="H116" s="333">
        <f t="shared" si="10"/>
        <v>1.0000541111111112</v>
      </c>
      <c r="I116" s="349">
        <f t="shared" si="14"/>
        <v>1.0093753545522346</v>
      </c>
      <c r="J116" s="326">
        <f t="shared" si="15"/>
        <v>-8.7651012362673892E-7</v>
      </c>
      <c r="K116" s="244"/>
      <c r="L116" s="70"/>
      <c r="M116" s="87">
        <f t="shared" si="13"/>
        <v>95</v>
      </c>
      <c r="N116" s="73">
        <f t="shared" si="16"/>
        <v>1.9479123489876373E-2</v>
      </c>
      <c r="O116" s="3"/>
    </row>
    <row r="117" spans="1:15">
      <c r="A117" s="233">
        <v>1.932E-2</v>
      </c>
      <c r="B117" s="203">
        <v>10596</v>
      </c>
      <c r="C117" s="232">
        <v>43994</v>
      </c>
      <c r="D117" s="232">
        <v>43997</v>
      </c>
      <c r="E117" s="348"/>
      <c r="F117" s="348"/>
      <c r="G117" s="332">
        <f t="shared" si="9"/>
        <v>3</v>
      </c>
      <c r="H117" s="333">
        <f t="shared" si="10"/>
        <v>1.0001610000000001</v>
      </c>
      <c r="I117" s="349">
        <f t="shared" si="14"/>
        <v>1.0094299729741978</v>
      </c>
      <c r="J117" s="326">
        <f t="shared" si="15"/>
        <v>8.6202836224548141E-7</v>
      </c>
      <c r="K117" s="244"/>
      <c r="L117" s="70"/>
      <c r="M117" s="87">
        <f t="shared" si="13"/>
        <v>96</v>
      </c>
      <c r="N117" s="73">
        <f t="shared" si="16"/>
        <v>1.9320862028362244E-2</v>
      </c>
      <c r="O117" s="3"/>
    </row>
    <row r="118" spans="1:15">
      <c r="A118" s="233">
        <v>2.0109999999999999E-2</v>
      </c>
      <c r="B118" s="203">
        <v>12552</v>
      </c>
      <c r="C118" s="232">
        <v>43997</v>
      </c>
      <c r="D118" s="232">
        <v>43998</v>
      </c>
      <c r="E118" s="348"/>
      <c r="F118" s="348"/>
      <c r="G118" s="332">
        <f t="shared" si="9"/>
        <v>1</v>
      </c>
      <c r="H118" s="333">
        <f t="shared" si="10"/>
        <v>1.0000558611111112</v>
      </c>
      <c r="I118" s="349">
        <f t="shared" si="14"/>
        <v>1.0095924911998466</v>
      </c>
      <c r="J118" s="326">
        <f t="shared" si="15"/>
        <v>-4.1454598720502299E-8</v>
      </c>
      <c r="K118" s="244"/>
      <c r="L118" s="70"/>
      <c r="M118" s="87">
        <f t="shared" si="13"/>
        <v>97</v>
      </c>
      <c r="N118" s="73">
        <f t="shared" si="16"/>
        <v>2.010995854540128E-2</v>
      </c>
      <c r="O118" s="3"/>
    </row>
    <row r="119" spans="1:15">
      <c r="A119" s="233">
        <v>2.1930000000000002E-2</v>
      </c>
      <c r="B119" s="203">
        <v>12384</v>
      </c>
      <c r="C119" s="232">
        <v>43998</v>
      </c>
      <c r="D119" s="232">
        <v>43999</v>
      </c>
      <c r="E119" s="348"/>
      <c r="F119" s="348"/>
      <c r="G119" s="332">
        <f t="shared" si="9"/>
        <v>1</v>
      </c>
      <c r="H119" s="333">
        <f t="shared" si="10"/>
        <v>1.0000609166666667</v>
      </c>
      <c r="I119" s="349">
        <f t="shared" si="14"/>
        <v>1.0096488881581747</v>
      </c>
      <c r="J119" s="326">
        <f t="shared" si="15"/>
        <v>1.3347402223495486E-7</v>
      </c>
      <c r="K119" s="244"/>
      <c r="L119" s="70"/>
      <c r="M119" s="87">
        <f t="shared" si="13"/>
        <v>98</v>
      </c>
      <c r="N119" s="73">
        <f t="shared" si="16"/>
        <v>2.1930133474022236E-2</v>
      </c>
      <c r="O119" s="3"/>
    </row>
    <row r="120" spans="1:15">
      <c r="A120" s="233">
        <v>1.6070000000000001E-2</v>
      </c>
      <c r="B120" s="203">
        <v>11060</v>
      </c>
      <c r="C120" s="232">
        <v>43999</v>
      </c>
      <c r="D120" s="232">
        <v>44000</v>
      </c>
      <c r="E120" s="348"/>
      <c r="F120" s="348"/>
      <c r="G120" s="332">
        <f t="shared" si="9"/>
        <v>1</v>
      </c>
      <c r="H120" s="333">
        <f t="shared" si="10"/>
        <v>1.0000446388888888</v>
      </c>
      <c r="I120" s="349">
        <f t="shared" si="14"/>
        <v>1.0097103926029452</v>
      </c>
      <c r="J120" s="326">
        <f t="shared" si="15"/>
        <v>4.0088413454403878E-8</v>
      </c>
      <c r="K120" s="244"/>
      <c r="L120" s="70"/>
      <c r="M120" s="87">
        <f t="shared" si="13"/>
        <v>99</v>
      </c>
      <c r="N120" s="73">
        <f t="shared" si="16"/>
        <v>1.6070040088413454E-2</v>
      </c>
      <c r="O120" s="3"/>
    </row>
    <row r="121" spans="1:15">
      <c r="A121" s="233">
        <v>1.431E-2</v>
      </c>
      <c r="B121" s="203">
        <v>9714</v>
      </c>
      <c r="C121" s="232">
        <v>44000</v>
      </c>
      <c r="D121" s="232">
        <v>44001</v>
      </c>
      <c r="G121" s="332">
        <f t="shared" si="9"/>
        <v>1</v>
      </c>
      <c r="H121" s="333">
        <f t="shared" si="10"/>
        <v>1.00003975</v>
      </c>
      <c r="I121" s="349">
        <f t="shared" si="14"/>
        <v>1.0097554649529705</v>
      </c>
      <c r="J121" s="326">
        <f t="shared" si="15"/>
        <v>-3.2048109928544119E-7</v>
      </c>
      <c r="K121" s="244"/>
      <c r="L121" s="70"/>
      <c r="M121" s="87">
        <f t="shared" si="13"/>
        <v>100</v>
      </c>
      <c r="N121" s="73">
        <f t="shared" si="16"/>
        <v>1.4309679518900715E-2</v>
      </c>
      <c r="O121" s="3"/>
    </row>
    <row r="122" spans="1:15">
      <c r="A122" s="233">
        <v>1.4189999999999999E-2</v>
      </c>
      <c r="B122" s="203">
        <v>7557</v>
      </c>
      <c r="C122" s="232">
        <v>44001</v>
      </c>
      <c r="D122" s="232">
        <v>44003</v>
      </c>
      <c r="F122" s="196">
        <v>180</v>
      </c>
      <c r="G122" s="334">
        <f>D122-C122</f>
        <v>2</v>
      </c>
      <c r="H122" s="335">
        <f t="shared" si="10"/>
        <v>1.0000788333333333</v>
      </c>
      <c r="I122" s="364">
        <f t="shared" si="14"/>
        <v>1.0097956027327024</v>
      </c>
      <c r="J122" s="327">
        <f t="shared" si="15"/>
        <v>3.2456099297365928E-7</v>
      </c>
      <c r="K122" s="244"/>
      <c r="L122" s="70"/>
      <c r="M122" s="87">
        <f t="shared" si="13"/>
        <v>101</v>
      </c>
      <c r="N122" s="73">
        <f t="shared" si="16"/>
        <v>1.4190324560992973E-2</v>
      </c>
      <c r="O122" s="3"/>
    </row>
    <row r="123" spans="1:15">
      <c r="A123" s="233">
        <v>1.413E-2</v>
      </c>
      <c r="B123" s="203">
        <v>8369</v>
      </c>
      <c r="C123" s="232">
        <v>44004</v>
      </c>
      <c r="D123" s="232">
        <v>44005</v>
      </c>
      <c r="G123" s="332">
        <f t="shared" si="9"/>
        <v>1</v>
      </c>
      <c r="H123" s="333">
        <f t="shared" si="10"/>
        <v>1.0000392499999999</v>
      </c>
      <c r="I123" s="349">
        <f t="shared" si="14"/>
        <v>1.0098752082860512</v>
      </c>
      <c r="J123" s="326">
        <f t="shared" si="15"/>
        <v>2.2776592629349725E-10</v>
      </c>
      <c r="K123" s="244"/>
      <c r="L123" s="70"/>
      <c r="M123" s="87">
        <f t="shared" si="13"/>
        <v>102</v>
      </c>
      <c r="N123" s="73">
        <f t="shared" si="16"/>
        <v>1.4130000227765926E-2</v>
      </c>
      <c r="O123" s="3"/>
    </row>
    <row r="124" spans="1:15">
      <c r="A124" s="233">
        <v>1.4120000000000001E-2</v>
      </c>
      <c r="B124" s="203">
        <v>7319</v>
      </c>
      <c r="C124" s="232">
        <v>44005</v>
      </c>
      <c r="D124" s="232">
        <v>44006</v>
      </c>
      <c r="E124" s="224"/>
      <c r="F124" s="348"/>
      <c r="G124" s="332">
        <f t="shared" si="9"/>
        <v>1</v>
      </c>
      <c r="H124" s="333">
        <f t="shared" si="10"/>
        <v>1.0000392222222223</v>
      </c>
      <c r="I124" s="349">
        <f t="shared" si="14"/>
        <v>1.0099148458879763</v>
      </c>
      <c r="J124" s="326">
        <f t="shared" si="15"/>
        <v>2.2776593448683847E-10</v>
      </c>
      <c r="K124" s="244"/>
      <c r="L124" s="70"/>
      <c r="M124" s="87">
        <f t="shared" si="13"/>
        <v>103</v>
      </c>
      <c r="N124" s="73">
        <f t="shared" si="16"/>
        <v>1.4120000227765935E-2</v>
      </c>
      <c r="O124" s="3"/>
    </row>
    <row r="125" spans="1:15">
      <c r="A125" s="233">
        <v>1.4109999999999999E-2</v>
      </c>
      <c r="B125" s="203">
        <v>7043</v>
      </c>
      <c r="C125" s="232">
        <v>44006</v>
      </c>
      <c r="D125" s="232">
        <v>44007</v>
      </c>
      <c r="E125" s="224"/>
      <c r="F125" s="348"/>
      <c r="G125" s="332">
        <f t="shared" si="9"/>
        <v>1</v>
      </c>
      <c r="H125" s="333">
        <f t="shared" si="10"/>
        <v>1.0000391944444444</v>
      </c>
      <c r="I125" s="349">
        <f t="shared" si="14"/>
        <v>1.0099544569924874</v>
      </c>
      <c r="J125" s="326">
        <f t="shared" si="15"/>
        <v>-1.5943615823745755E-9</v>
      </c>
      <c r="K125" s="244"/>
      <c r="L125" s="70"/>
      <c r="M125" s="87">
        <f t="shared" si="13"/>
        <v>104</v>
      </c>
      <c r="N125" s="73">
        <f t="shared" si="16"/>
        <v>1.4109998405638417E-2</v>
      </c>
      <c r="O125" s="3"/>
    </row>
    <row r="126" spans="1:15">
      <c r="A126" s="233">
        <v>1.418E-2</v>
      </c>
      <c r="B126" s="203">
        <v>7456</v>
      </c>
      <c r="C126" s="232">
        <v>44007</v>
      </c>
      <c r="D126" s="232">
        <v>44008</v>
      </c>
      <c r="E126" s="16"/>
      <c r="G126" s="332">
        <f t="shared" si="9"/>
        <v>1</v>
      </c>
      <c r="H126" s="333">
        <f t="shared" si="10"/>
        <v>1.000039388888889</v>
      </c>
      <c r="I126" s="349">
        <f t="shared" si="14"/>
        <v>1.0099940415963435</v>
      </c>
      <c r="J126" s="326">
        <f t="shared" si="15"/>
        <v>-6.4116099688849592E-7</v>
      </c>
      <c r="K126" s="244"/>
      <c r="L126" s="70"/>
      <c r="M126" s="87">
        <f t="shared" si="13"/>
        <v>105</v>
      </c>
      <c r="N126" s="73">
        <f t="shared" si="16"/>
        <v>1.4179358839003111E-2</v>
      </c>
      <c r="O126" s="3"/>
    </row>
    <row r="127" spans="1:15">
      <c r="A127" s="233">
        <v>1.4109999999999999E-2</v>
      </c>
      <c r="B127" s="203">
        <v>7462</v>
      </c>
      <c r="C127" s="232">
        <v>44008</v>
      </c>
      <c r="D127" s="232">
        <v>44011</v>
      </c>
      <c r="E127" s="16"/>
      <c r="G127" s="332">
        <f t="shared" si="9"/>
        <v>3</v>
      </c>
      <c r="H127" s="333">
        <f t="shared" si="10"/>
        <v>1.0001175833333333</v>
      </c>
      <c r="I127" s="349">
        <f t="shared" si="14"/>
        <v>1.0100338241394264</v>
      </c>
      <c r="J127" s="326">
        <f t="shared" si="15"/>
        <v>6.4017071224511417E-7</v>
      </c>
      <c r="K127" s="244"/>
      <c r="L127" s="70"/>
      <c r="M127" s="87">
        <f t="shared" si="13"/>
        <v>106</v>
      </c>
      <c r="N127" s="73">
        <f t="shared" si="16"/>
        <v>1.4110640170712244E-2</v>
      </c>
      <c r="O127" s="3"/>
    </row>
    <row r="128" spans="1:15">
      <c r="A128" s="233">
        <v>1.422E-2</v>
      </c>
      <c r="B128" s="203">
        <v>6673</v>
      </c>
      <c r="C128" s="232">
        <v>44011</v>
      </c>
      <c r="D128" s="232">
        <v>44012</v>
      </c>
      <c r="E128" s="16"/>
      <c r="G128" s="332">
        <f t="shared" si="9"/>
        <v>1</v>
      </c>
      <c r="H128" s="333">
        <f t="shared" si="10"/>
        <v>1.0000395</v>
      </c>
      <c r="I128" s="349">
        <f t="shared" si="14"/>
        <v>1.0101525872832482</v>
      </c>
      <c r="J128" s="326">
        <f t="shared" si="15"/>
        <v>-2.2775549627563321E-10</v>
      </c>
      <c r="K128" s="244"/>
      <c r="L128" s="70"/>
      <c r="M128" s="87">
        <f t="shared" si="13"/>
        <v>107</v>
      </c>
      <c r="N128" s="73">
        <f t="shared" si="16"/>
        <v>1.4219999772244503E-2</v>
      </c>
      <c r="O128" s="3"/>
    </row>
    <row r="129" spans="1:15">
      <c r="A129" s="233">
        <v>1.423E-2</v>
      </c>
      <c r="B129" s="203">
        <v>9356</v>
      </c>
      <c r="C129" s="232">
        <v>44012</v>
      </c>
      <c r="D129" s="232">
        <v>44013</v>
      </c>
      <c r="G129" s="332">
        <f t="shared" si="9"/>
        <v>1</v>
      </c>
      <c r="H129" s="333">
        <f t="shared" si="10"/>
        <v>1.0000395277777778</v>
      </c>
      <c r="I129" s="349">
        <f t="shared" si="14"/>
        <v>1.0101924883104458</v>
      </c>
      <c r="J129" s="326">
        <f t="shared" si="15"/>
        <v>2.5053103771022853E-9</v>
      </c>
      <c r="K129" s="244"/>
      <c r="L129" s="70"/>
      <c r="M129" s="87">
        <f t="shared" si="13"/>
        <v>108</v>
      </c>
      <c r="N129" s="73">
        <f t="shared" si="16"/>
        <v>1.4230002505310377E-2</v>
      </c>
      <c r="O129" s="3"/>
    </row>
    <row r="130" spans="1:15">
      <c r="A130" s="233">
        <v>1.4120000000000001E-2</v>
      </c>
      <c r="B130" s="203">
        <v>6549</v>
      </c>
      <c r="C130" s="232">
        <v>44013</v>
      </c>
      <c r="D130" s="232">
        <v>44014</v>
      </c>
      <c r="G130" s="332">
        <f t="shared" ref="G130:G193" si="17">D130-C130</f>
        <v>1</v>
      </c>
      <c r="H130" s="333">
        <f t="shared" ref="H130:H193" si="18">(1+A130*(D130-C130)/360)</f>
        <v>1.0000392222222223</v>
      </c>
      <c r="I130" s="349">
        <f t="shared" si="14"/>
        <v>1.0102324189746366</v>
      </c>
      <c r="J130" s="326">
        <f t="shared" ref="J130:J138" si="19">((H131/H130-1)*360/(M130-D130))</f>
        <v>-1.5942889072464065E-9</v>
      </c>
      <c r="K130" s="244"/>
      <c r="L130" s="70"/>
      <c r="M130" s="87">
        <f t="shared" si="13"/>
        <v>109</v>
      </c>
      <c r="N130" s="73">
        <f t="shared" ref="N130:N138" si="20">A130+J130</f>
        <v>1.4119998405711093E-2</v>
      </c>
      <c r="O130" s="3"/>
    </row>
    <row r="131" spans="1:15">
      <c r="A131" s="233">
        <v>1.4189999999999999E-2</v>
      </c>
      <c r="B131" s="203">
        <v>7609</v>
      </c>
      <c r="C131" s="232">
        <v>44014</v>
      </c>
      <c r="D131" s="232">
        <v>44015</v>
      </c>
      <c r="G131" s="332">
        <f t="shared" si="17"/>
        <v>1</v>
      </c>
      <c r="H131" s="333">
        <f t="shared" si="18"/>
        <v>1.0000394166666666</v>
      </c>
      <c r="I131" s="349">
        <f t="shared" si="14"/>
        <v>1.0102720425350697</v>
      </c>
      <c r="J131" s="326">
        <f t="shared" si="19"/>
        <v>-6.5251954804666312E-7</v>
      </c>
      <c r="K131" s="244"/>
      <c r="L131" s="70"/>
      <c r="M131" s="87">
        <f t="shared" ref="M131:M137" si="21">M130+1</f>
        <v>110</v>
      </c>
      <c r="N131" s="73">
        <f t="shared" si="20"/>
        <v>1.4189347480451952E-2</v>
      </c>
      <c r="O131" s="3"/>
    </row>
    <row r="132" spans="1:15">
      <c r="A132" s="233">
        <v>1.4279999999999999E-2</v>
      </c>
      <c r="B132" s="203">
        <v>6232</v>
      </c>
      <c r="C132" s="232">
        <v>44015</v>
      </c>
      <c r="D132" s="232">
        <v>44018</v>
      </c>
      <c r="G132" s="332">
        <f t="shared" si="17"/>
        <v>3</v>
      </c>
      <c r="H132" s="333">
        <f t="shared" si="18"/>
        <v>1.000119</v>
      </c>
      <c r="I132" s="349">
        <f t="shared" ref="I132:I138" si="22">I131*H131</f>
        <v>1.010311864091413</v>
      </c>
      <c r="J132" s="326">
        <f t="shared" si="19"/>
        <v>6.522101770902405E-7</v>
      </c>
      <c r="K132" s="244"/>
      <c r="L132" s="70"/>
      <c r="M132" s="87">
        <f t="shared" si="21"/>
        <v>111</v>
      </c>
      <c r="N132" s="73">
        <f t="shared" si="20"/>
        <v>1.4280652210177089E-2</v>
      </c>
      <c r="O132" s="3"/>
    </row>
    <row r="133" spans="1:15">
      <c r="A133" s="233">
        <v>1.4200000000000001E-2</v>
      </c>
      <c r="B133" s="203">
        <v>6540</v>
      </c>
      <c r="C133" s="232">
        <v>44018</v>
      </c>
      <c r="D133" s="232">
        <v>44019</v>
      </c>
      <c r="G133" s="332">
        <f t="shared" si="17"/>
        <v>1</v>
      </c>
      <c r="H133" s="333">
        <f t="shared" si="18"/>
        <v>1.0000394444444445</v>
      </c>
      <c r="I133" s="349">
        <f t="shared" si="22"/>
        <v>1.0104320912032398</v>
      </c>
      <c r="J133" s="326">
        <f t="shared" si="19"/>
        <v>4.5549026640772708E-10</v>
      </c>
      <c r="K133" s="244"/>
      <c r="L133" s="70"/>
      <c r="M133" s="87">
        <f t="shared" si="21"/>
        <v>112</v>
      </c>
      <c r="N133" s="73">
        <f t="shared" si="20"/>
        <v>1.4200000455490268E-2</v>
      </c>
      <c r="O133" s="3"/>
    </row>
    <row r="134" spans="1:15">
      <c r="A134" s="233">
        <v>1.418E-2</v>
      </c>
      <c r="B134" s="203">
        <v>6872</v>
      </c>
      <c r="C134" s="232">
        <v>44019</v>
      </c>
      <c r="D134" s="232">
        <v>44020</v>
      </c>
      <c r="G134" s="332">
        <f t="shared" si="17"/>
        <v>1</v>
      </c>
      <c r="H134" s="333">
        <f t="shared" si="18"/>
        <v>1.000039388888889</v>
      </c>
      <c r="I134" s="349">
        <f t="shared" si="22"/>
        <v>1.0104719471357262</v>
      </c>
      <c r="J134" s="326">
        <f t="shared" si="19"/>
        <v>0</v>
      </c>
      <c r="K134" s="244"/>
      <c r="L134" s="70"/>
      <c r="M134" s="87">
        <f t="shared" si="21"/>
        <v>113</v>
      </c>
      <c r="N134" s="73">
        <f t="shared" si="20"/>
        <v>1.418E-2</v>
      </c>
      <c r="O134" s="3"/>
    </row>
    <row r="135" spans="1:15">
      <c r="A135" s="233">
        <v>1.418E-2</v>
      </c>
      <c r="B135" s="203">
        <v>7365</v>
      </c>
      <c r="C135" s="232">
        <v>44020</v>
      </c>
      <c r="D135" s="232">
        <v>44021</v>
      </c>
      <c r="G135" s="332">
        <f t="shared" si="17"/>
        <v>1</v>
      </c>
      <c r="H135" s="333">
        <f t="shared" si="18"/>
        <v>1.000039388888889</v>
      </c>
      <c r="I135" s="349">
        <f t="shared" si="22"/>
        <v>1.0105117485029773</v>
      </c>
      <c r="J135" s="326">
        <f t="shared" si="19"/>
        <v>2.2774514640304406E-10</v>
      </c>
      <c r="K135" s="244"/>
      <c r="L135" s="70"/>
      <c r="M135" s="87">
        <f t="shared" si="21"/>
        <v>114</v>
      </c>
      <c r="N135" s="73">
        <f t="shared" si="20"/>
        <v>1.4180000227745146E-2</v>
      </c>
      <c r="O135" s="3"/>
    </row>
    <row r="136" spans="1:15">
      <c r="A136" s="233">
        <v>1.417E-2</v>
      </c>
      <c r="B136" s="203">
        <v>8173</v>
      </c>
      <c r="C136" s="232">
        <v>44021</v>
      </c>
      <c r="D136" s="232">
        <v>44022</v>
      </c>
      <c r="G136" s="332">
        <f t="shared" si="17"/>
        <v>1</v>
      </c>
      <c r="H136" s="333">
        <f t="shared" si="18"/>
        <v>1.0000393611111111</v>
      </c>
      <c r="I136" s="349">
        <f t="shared" si="22"/>
        <v>1.0105515514379602</v>
      </c>
      <c r="J136" s="326">
        <f t="shared" si="19"/>
        <v>-6.3928064265622495E-7</v>
      </c>
      <c r="K136" s="244"/>
      <c r="L136" s="70"/>
      <c r="M136" s="87">
        <f t="shared" si="21"/>
        <v>115</v>
      </c>
      <c r="N136" s="73">
        <f t="shared" si="20"/>
        <v>1.4169360719357343E-2</v>
      </c>
      <c r="O136" s="3"/>
    </row>
    <row r="137" spans="1:15">
      <c r="A137" s="233">
        <v>1.4080000000000001E-2</v>
      </c>
      <c r="B137" s="203">
        <v>9513</v>
      </c>
      <c r="C137" s="232">
        <v>44022</v>
      </c>
      <c r="D137" s="232">
        <v>44025</v>
      </c>
      <c r="G137" s="332">
        <f t="shared" si="17"/>
        <v>3</v>
      </c>
      <c r="H137" s="333">
        <f t="shared" si="18"/>
        <v>1.0001173333333333</v>
      </c>
      <c r="I137" s="349">
        <f t="shared" si="22"/>
        <v>1.0105913278698599</v>
      </c>
      <c r="J137" s="326">
        <f t="shared" si="19"/>
        <v>6.4079570537614685E-7</v>
      </c>
      <c r="K137" s="244"/>
      <c r="L137" s="70"/>
      <c r="M137" s="87">
        <f t="shared" si="21"/>
        <v>116</v>
      </c>
      <c r="N137" s="73">
        <f t="shared" si="20"/>
        <v>1.4080640795705377E-2</v>
      </c>
      <c r="O137" s="3"/>
    </row>
    <row r="138" spans="1:15">
      <c r="A138" s="233">
        <v>1.41E-2</v>
      </c>
      <c r="B138" s="203">
        <v>6962</v>
      </c>
      <c r="C138" s="232">
        <v>44025</v>
      </c>
      <c r="D138" s="232">
        <v>44026</v>
      </c>
      <c r="E138" s="87"/>
      <c r="F138" s="88"/>
      <c r="G138" s="332">
        <f t="shared" si="17"/>
        <v>1</v>
      </c>
      <c r="H138" s="333">
        <f t="shared" si="18"/>
        <v>1.0000391666666666</v>
      </c>
      <c r="I138" s="349">
        <f t="shared" si="22"/>
        <v>1.0107099039189966</v>
      </c>
      <c r="J138" s="326">
        <f t="shared" si="19"/>
        <v>2.2773482204996732E-10</v>
      </c>
      <c r="K138" s="244"/>
      <c r="L138" s="70"/>
      <c r="M138" s="87">
        <f>M137+1</f>
        <v>117</v>
      </c>
      <c r="N138" s="73">
        <f t="shared" si="20"/>
        <v>1.4100000227734822E-2</v>
      </c>
      <c r="O138" s="3"/>
    </row>
    <row r="139" spans="1:15">
      <c r="A139" s="233">
        <v>1.409E-2</v>
      </c>
      <c r="B139" s="203">
        <v>6273</v>
      </c>
      <c r="C139" s="232">
        <v>44026</v>
      </c>
      <c r="D139" s="232">
        <v>44027</v>
      </c>
      <c r="E139" s="68"/>
      <c r="G139" s="332">
        <f t="shared" si="17"/>
        <v>1</v>
      </c>
      <c r="H139" s="333">
        <f t="shared" si="18"/>
        <v>1.000039138888889</v>
      </c>
      <c r="I139" s="349">
        <f>I138*H138</f>
        <v>1.0107494900569001</v>
      </c>
      <c r="J139" s="326">
        <f t="shared" ref="J139:J202" si="23">((H140/H139-1)*360/(M139-D139))</f>
        <v>-1.3664089778121464E-9</v>
      </c>
      <c r="L139" s="87"/>
      <c r="M139" s="87">
        <f t="shared" ref="M139:M202" si="24">M138+1</f>
        <v>118</v>
      </c>
      <c r="N139" s="73">
        <f t="shared" ref="N139:N202" si="25">A139+J139</f>
        <v>1.4089998633591023E-2</v>
      </c>
      <c r="O139" s="3"/>
    </row>
    <row r="140" spans="1:15">
      <c r="A140" s="233">
        <v>1.4149999999999999E-2</v>
      </c>
      <c r="B140" s="203">
        <v>6225</v>
      </c>
      <c r="C140" s="232">
        <v>44027</v>
      </c>
      <c r="D140" s="232">
        <v>44028</v>
      </c>
      <c r="E140" s="68"/>
      <c r="G140" s="332">
        <f t="shared" si="17"/>
        <v>1</v>
      </c>
      <c r="H140" s="333">
        <f t="shared" si="18"/>
        <v>1.0000393055555556</v>
      </c>
      <c r="I140" s="349">
        <f t="shared" ref="I140:I203" si="26">I139*H139</f>
        <v>1.0107890496688861</v>
      </c>
      <c r="J140" s="326">
        <f t="shared" si="23"/>
        <v>2.2773479155669791E-9</v>
      </c>
      <c r="L140" s="87"/>
      <c r="M140" s="87">
        <f t="shared" si="24"/>
        <v>119</v>
      </c>
      <c r="N140" s="73">
        <f t="shared" si="25"/>
        <v>1.4150002277347916E-2</v>
      </c>
      <c r="O140" s="3"/>
    </row>
    <row r="141" spans="1:15">
      <c r="A141" s="233">
        <v>1.405E-2</v>
      </c>
      <c r="B141" s="203">
        <v>7124</v>
      </c>
      <c r="C141" s="232">
        <v>44028</v>
      </c>
      <c r="D141" s="232">
        <v>44029</v>
      </c>
      <c r="E141" s="68"/>
      <c r="G141" s="332">
        <f t="shared" si="17"/>
        <v>1</v>
      </c>
      <c r="H141" s="333">
        <f t="shared" si="18"/>
        <v>1.0000390277777778</v>
      </c>
      <c r="I141" s="349">
        <f t="shared" si="26"/>
        <v>1.0108287792940329</v>
      </c>
      <c r="J141" s="326">
        <f t="shared" si="23"/>
        <v>-6.494998057631424E-7</v>
      </c>
      <c r="L141" s="87"/>
      <c r="M141" s="87">
        <f t="shared" si="24"/>
        <v>120</v>
      </c>
      <c r="N141" s="73">
        <f t="shared" si="25"/>
        <v>1.4049350500194237E-2</v>
      </c>
      <c r="O141" s="3"/>
    </row>
    <row r="142" spans="1:15">
      <c r="A142" s="233">
        <v>1.4189999999999999E-2</v>
      </c>
      <c r="B142" s="203">
        <v>6872</v>
      </c>
      <c r="C142" s="232">
        <v>44029</v>
      </c>
      <c r="D142" s="232">
        <v>44032</v>
      </c>
      <c r="E142" s="68"/>
      <c r="G142" s="332">
        <f t="shared" si="17"/>
        <v>3</v>
      </c>
      <c r="H142" s="333">
        <f t="shared" si="18"/>
        <v>1.0001182500000001</v>
      </c>
      <c r="I142" s="349">
        <f t="shared" si="26"/>
        <v>1.0108682296950027</v>
      </c>
      <c r="J142" s="326">
        <f t="shared" si="23"/>
        <v>6.4828024459947244E-7</v>
      </c>
      <c r="L142" s="87"/>
      <c r="M142" s="87">
        <f t="shared" si="24"/>
        <v>121</v>
      </c>
      <c r="N142" s="73">
        <f t="shared" si="25"/>
        <v>1.4190648280244599E-2</v>
      </c>
      <c r="O142" s="3"/>
    </row>
    <row r="143" spans="1:15">
      <c r="A143" s="233">
        <v>1.41E-2</v>
      </c>
      <c r="B143" s="203">
        <v>10530</v>
      </c>
      <c r="C143" s="232">
        <v>44032</v>
      </c>
      <c r="D143" s="232">
        <v>44033</v>
      </c>
      <c r="E143" s="68"/>
      <c r="G143" s="332">
        <f t="shared" si="17"/>
        <v>1</v>
      </c>
      <c r="H143" s="333">
        <f t="shared" si="18"/>
        <v>1.0000391666666666</v>
      </c>
      <c r="I143" s="349">
        <f t="shared" si="26"/>
        <v>1.0109877648631642</v>
      </c>
      <c r="J143" s="326">
        <f t="shared" si="23"/>
        <v>6.8317335209965981E-10</v>
      </c>
      <c r="L143" s="87"/>
      <c r="M143" s="87">
        <f t="shared" si="24"/>
        <v>122</v>
      </c>
      <c r="N143" s="73">
        <f t="shared" si="25"/>
        <v>1.4100000683173353E-2</v>
      </c>
      <c r="O143" s="3"/>
    </row>
    <row r="144" spans="1:15">
      <c r="A144" s="233">
        <v>1.4069999999999999E-2</v>
      </c>
      <c r="B144" s="203">
        <v>9306</v>
      </c>
      <c r="C144" s="232">
        <v>44033</v>
      </c>
      <c r="D144" s="232">
        <v>44034</v>
      </c>
      <c r="E144" s="68"/>
      <c r="G144" s="332">
        <f t="shared" si="17"/>
        <v>1</v>
      </c>
      <c r="H144" s="333">
        <f t="shared" si="18"/>
        <v>1.0000390833333332</v>
      </c>
      <c r="I144" s="349">
        <f t="shared" si="26"/>
        <v>1.0110273618839547</v>
      </c>
      <c r="J144" s="326">
        <f t="shared" si="23"/>
        <v>8.653529841410324E-9</v>
      </c>
      <c r="L144" s="87"/>
      <c r="M144" s="87">
        <f t="shared" si="24"/>
        <v>123</v>
      </c>
      <c r="N144" s="73">
        <f t="shared" si="25"/>
        <v>1.407000865352984E-2</v>
      </c>
      <c r="O144" s="3"/>
    </row>
    <row r="145" spans="1:18">
      <c r="A145" s="233">
        <v>1.3690000000000001E-2</v>
      </c>
      <c r="B145" s="203">
        <v>9284</v>
      </c>
      <c r="C145" s="232">
        <v>44034</v>
      </c>
      <c r="D145" s="232">
        <v>44035</v>
      </c>
      <c r="E145" s="68"/>
      <c r="G145" s="332">
        <f t="shared" si="17"/>
        <v>1</v>
      </c>
      <c r="H145" s="333">
        <f t="shared" si="18"/>
        <v>1.0000380277777778</v>
      </c>
      <c r="I145" s="349">
        <f t="shared" si="26"/>
        <v>1.0110668762033483</v>
      </c>
      <c r="J145" s="326">
        <f t="shared" si="23"/>
        <v>-1.0247611945776971E-8</v>
      </c>
      <c r="L145" s="87"/>
      <c r="M145" s="87">
        <f t="shared" si="24"/>
        <v>124</v>
      </c>
      <c r="N145" s="73">
        <f t="shared" si="25"/>
        <v>1.3689989752388054E-2</v>
      </c>
      <c r="O145" s="3"/>
    </row>
    <row r="146" spans="1:18">
      <c r="A146" s="233">
        <v>1.414E-2</v>
      </c>
      <c r="B146" s="203">
        <v>6278</v>
      </c>
      <c r="C146" s="232">
        <v>44035</v>
      </c>
      <c r="D146" s="232">
        <v>44036</v>
      </c>
      <c r="E146" s="68"/>
      <c r="G146" s="332">
        <f t="shared" si="17"/>
        <v>1</v>
      </c>
      <c r="H146" s="333">
        <f t="shared" si="18"/>
        <v>1.0000392777777778</v>
      </c>
      <c r="I146" s="349">
        <f t="shared" si="26"/>
        <v>1.0111053248298352</v>
      </c>
      <c r="J146" s="326">
        <f t="shared" si="23"/>
        <v>-6.4605419446751678E-7</v>
      </c>
      <c r="L146" s="87"/>
      <c r="M146" s="87">
        <f t="shared" si="24"/>
        <v>125</v>
      </c>
      <c r="N146" s="73">
        <f t="shared" si="25"/>
        <v>1.4139353945805531E-2</v>
      </c>
      <c r="O146" s="3"/>
    </row>
    <row r="147" spans="1:18">
      <c r="A147" s="233">
        <v>1.417E-2</v>
      </c>
      <c r="B147" s="203">
        <v>5375</v>
      </c>
      <c r="C147" s="232">
        <v>44036</v>
      </c>
      <c r="D147" s="232">
        <v>44039</v>
      </c>
      <c r="E147" s="68"/>
      <c r="G147" s="332">
        <f t="shared" si="17"/>
        <v>3</v>
      </c>
      <c r="H147" s="333">
        <f t="shared" si="18"/>
        <v>1.0001180833333334</v>
      </c>
      <c r="I147" s="349">
        <f t="shared" si="26"/>
        <v>1.0111450388000938</v>
      </c>
      <c r="J147" s="326">
        <f t="shared" si="23"/>
        <v>6.4369690475171968E-7</v>
      </c>
      <c r="L147" s="87"/>
      <c r="M147" s="87">
        <f t="shared" si="24"/>
        <v>126</v>
      </c>
      <c r="N147" s="73">
        <f t="shared" si="25"/>
        <v>1.4170643696904753E-2</v>
      </c>
      <c r="O147" s="3"/>
    </row>
    <row r="148" spans="1:18">
      <c r="A148" s="233">
        <v>1.4239999999999999E-2</v>
      </c>
      <c r="B148" s="203">
        <v>5991</v>
      </c>
      <c r="C148" s="232">
        <v>44039</v>
      </c>
      <c r="D148" s="232">
        <v>44040</v>
      </c>
      <c r="E148" s="68"/>
      <c r="G148" s="332">
        <f t="shared" si="17"/>
        <v>1</v>
      </c>
      <c r="H148" s="333">
        <f t="shared" si="18"/>
        <v>1.0000395555555555</v>
      </c>
      <c r="I148" s="349">
        <f t="shared" si="26"/>
        <v>1.0112644381767588</v>
      </c>
      <c r="J148" s="326">
        <f t="shared" si="23"/>
        <v>1.3662839411297657E-9</v>
      </c>
      <c r="L148" s="87"/>
      <c r="M148" s="87">
        <f t="shared" si="24"/>
        <v>127</v>
      </c>
      <c r="N148" s="73">
        <f t="shared" si="25"/>
        <v>1.4240001366283941E-2</v>
      </c>
      <c r="O148" s="3"/>
    </row>
    <row r="149" spans="1:18">
      <c r="A149" s="233">
        <v>1.418E-2</v>
      </c>
      <c r="B149" s="203">
        <v>5915</v>
      </c>
      <c r="C149" s="232">
        <v>44040</v>
      </c>
      <c r="D149" s="232">
        <v>44041</v>
      </c>
      <c r="E149" s="68"/>
      <c r="G149" s="332">
        <f t="shared" si="17"/>
        <v>1</v>
      </c>
      <c r="H149" s="333">
        <f t="shared" si="18"/>
        <v>1.000039388888889</v>
      </c>
      <c r="I149" s="349">
        <f t="shared" si="26"/>
        <v>1.0113044393034243</v>
      </c>
      <c r="J149" s="326">
        <f t="shared" si="23"/>
        <v>-1.2984253896107461E-6</v>
      </c>
      <c r="L149" s="87"/>
      <c r="M149" s="87">
        <f t="shared" si="24"/>
        <v>128</v>
      </c>
      <c r="N149" s="73">
        <f t="shared" si="25"/>
        <v>1.4178701574610389E-2</v>
      </c>
      <c r="O149" s="3"/>
    </row>
    <row r="150" spans="1:18">
      <c r="A150" s="233">
        <v>1.4239999999999999E-2</v>
      </c>
      <c r="B150" s="203">
        <v>5595</v>
      </c>
      <c r="C150" s="232">
        <v>44041</v>
      </c>
      <c r="D150" s="232">
        <v>44046</v>
      </c>
      <c r="E150" s="68"/>
      <c r="G150" s="332">
        <f t="shared" si="17"/>
        <v>5</v>
      </c>
      <c r="H150" s="333">
        <f t="shared" si="18"/>
        <v>1.0001977777777777</v>
      </c>
      <c r="I150" s="349">
        <f t="shared" si="26"/>
        <v>1.0113442734616169</v>
      </c>
      <c r="J150" s="326">
        <f t="shared" si="23"/>
        <v>1.2951419870914635E-6</v>
      </c>
      <c r="L150" s="87"/>
      <c r="M150" s="87">
        <f t="shared" si="24"/>
        <v>129</v>
      </c>
      <c r="N150" s="73">
        <f t="shared" si="25"/>
        <v>1.424129514198709E-2</v>
      </c>
      <c r="O150" s="3"/>
    </row>
    <row r="151" spans="1:18">
      <c r="A151" s="233">
        <v>1.431E-2</v>
      </c>
      <c r="B151" s="203">
        <v>6375</v>
      </c>
      <c r="C151" s="232">
        <v>44046</v>
      </c>
      <c r="D151" s="232">
        <v>44047</v>
      </c>
      <c r="E151" s="68"/>
      <c r="G151" s="332">
        <f t="shared" si="17"/>
        <v>1</v>
      </c>
      <c r="H151" s="333">
        <f t="shared" si="18"/>
        <v>1.00003975</v>
      </c>
      <c r="I151" s="349">
        <f t="shared" si="26"/>
        <v>1.0115442948845903</v>
      </c>
      <c r="J151" s="326">
        <f t="shared" si="23"/>
        <v>-1.0473887464009299E-8</v>
      </c>
      <c r="L151" s="87"/>
      <c r="M151" s="87">
        <f t="shared" si="24"/>
        <v>130</v>
      </c>
      <c r="N151" s="73">
        <f t="shared" si="25"/>
        <v>1.4309989526112536E-2</v>
      </c>
      <c r="O151" s="3"/>
    </row>
    <row r="152" spans="1:18">
      <c r="A152" s="233">
        <v>1.477E-2</v>
      </c>
      <c r="B152" s="203">
        <v>6308</v>
      </c>
      <c r="C152" s="232">
        <v>44047</v>
      </c>
      <c r="D152" s="232">
        <v>44048</v>
      </c>
      <c r="E152" s="68"/>
      <c r="G152" s="332">
        <f t="shared" si="17"/>
        <v>1</v>
      </c>
      <c r="H152" s="333">
        <f t="shared" si="18"/>
        <v>1.0000410277777778</v>
      </c>
      <c r="I152" s="349">
        <f t="shared" si="26"/>
        <v>1.0115845037703119</v>
      </c>
      <c r="J152" s="326">
        <f t="shared" si="23"/>
        <v>-4.5538582855197686E-10</v>
      </c>
      <c r="L152" s="87"/>
      <c r="M152" s="87">
        <f t="shared" si="24"/>
        <v>131</v>
      </c>
      <c r="N152" s="73">
        <f t="shared" si="25"/>
        <v>1.4769999544614172E-2</v>
      </c>
      <c r="O152" s="3"/>
    </row>
    <row r="153" spans="1:18">
      <c r="A153" s="233">
        <v>1.4789999999999999E-2</v>
      </c>
      <c r="B153" s="203">
        <v>6794</v>
      </c>
      <c r="C153" s="232">
        <v>44048</v>
      </c>
      <c r="D153" s="232">
        <v>44049</v>
      </c>
      <c r="E153" s="68"/>
      <c r="G153" s="332">
        <f t="shared" si="17"/>
        <v>1</v>
      </c>
      <c r="H153" s="333">
        <f t="shared" si="18"/>
        <v>1.0000410833333333</v>
      </c>
      <c r="I153" s="349">
        <f t="shared" si="26"/>
        <v>1.0116260068345362</v>
      </c>
      <c r="J153" s="326">
        <f t="shared" si="23"/>
        <v>1.3661574128494476E-8</v>
      </c>
      <c r="L153" s="87"/>
      <c r="M153" s="87">
        <f t="shared" si="24"/>
        <v>132</v>
      </c>
      <c r="N153" s="73">
        <f t="shared" si="25"/>
        <v>1.4790013661574128E-2</v>
      </c>
      <c r="O153" s="3"/>
      <c r="P153" s="365"/>
      <c r="Q153" s="365"/>
      <c r="R153" s="365"/>
    </row>
    <row r="154" spans="1:18">
      <c r="A154" s="233">
        <v>1.4189999999999999E-2</v>
      </c>
      <c r="B154" s="203">
        <v>5430</v>
      </c>
      <c r="C154" s="232">
        <v>44049</v>
      </c>
      <c r="D154" s="232">
        <v>44050</v>
      </c>
      <c r="E154" s="68"/>
      <c r="G154" s="332">
        <f t="shared" si="17"/>
        <v>1</v>
      </c>
      <c r="H154" s="333">
        <f t="shared" si="18"/>
        <v>1.0000394166666666</v>
      </c>
      <c r="I154" s="349">
        <f t="shared" si="26"/>
        <v>1.0116675678029836</v>
      </c>
      <c r="J154" s="326">
        <f t="shared" si="23"/>
        <v>-6.4619353323674475E-7</v>
      </c>
      <c r="L154" s="87"/>
      <c r="M154" s="87">
        <f t="shared" si="24"/>
        <v>133</v>
      </c>
      <c r="N154" s="73">
        <f t="shared" si="25"/>
        <v>1.4189353806466763E-2</v>
      </c>
      <c r="O154" s="3"/>
    </row>
    <row r="155" spans="1:18">
      <c r="A155" s="233">
        <v>1.4189999999999999E-2</v>
      </c>
      <c r="B155" s="203">
        <v>5303</v>
      </c>
      <c r="C155" s="232">
        <v>44050</v>
      </c>
      <c r="D155" s="232">
        <v>44053</v>
      </c>
      <c r="E155" s="68"/>
      <c r="G155" s="332">
        <f t="shared" si="17"/>
        <v>3</v>
      </c>
      <c r="H155" s="333">
        <f t="shared" si="18"/>
        <v>1.0001182500000001</v>
      </c>
      <c r="I155" s="349">
        <f t="shared" si="26"/>
        <v>1.0117074443662812</v>
      </c>
      <c r="J155" s="326">
        <f t="shared" si="23"/>
        <v>6.4520251351960028E-7</v>
      </c>
      <c r="L155" s="87"/>
      <c r="M155" s="87">
        <f t="shared" si="24"/>
        <v>134</v>
      </c>
      <c r="N155" s="73">
        <f t="shared" si="25"/>
        <v>1.419064520251352E-2</v>
      </c>
      <c r="O155" s="3"/>
    </row>
    <row r="156" spans="1:18">
      <c r="A156" s="233">
        <v>1.423E-2</v>
      </c>
      <c r="B156" s="203">
        <v>5242</v>
      </c>
      <c r="C156" s="232">
        <v>44053</v>
      </c>
      <c r="D156" s="232">
        <v>44054</v>
      </c>
      <c r="E156" s="68"/>
      <c r="G156" s="332">
        <f t="shared" si="17"/>
        <v>1</v>
      </c>
      <c r="H156" s="333">
        <f t="shared" si="18"/>
        <v>1.0000395277777778</v>
      </c>
      <c r="I156" s="349">
        <f t="shared" si="26"/>
        <v>1.0118270787715777</v>
      </c>
      <c r="J156" s="326">
        <f t="shared" si="23"/>
        <v>4.553657762800364E-10</v>
      </c>
      <c r="L156" s="87"/>
      <c r="M156" s="87">
        <f t="shared" si="24"/>
        <v>135</v>
      </c>
      <c r="N156" s="73">
        <f t="shared" si="25"/>
        <v>1.4230000455365776E-2</v>
      </c>
      <c r="O156" s="3"/>
    </row>
    <row r="157" spans="1:18">
      <c r="A157" s="233">
        <v>1.421E-2</v>
      </c>
      <c r="B157" s="203">
        <v>5255</v>
      </c>
      <c r="C157" s="232">
        <v>44054</v>
      </c>
      <c r="D157" s="232">
        <v>44055</v>
      </c>
      <c r="E157" s="68"/>
      <c r="G157" s="332">
        <f t="shared" si="17"/>
        <v>1</v>
      </c>
      <c r="H157" s="333">
        <f t="shared" si="18"/>
        <v>1.0000394722222221</v>
      </c>
      <c r="I157" s="349">
        <f t="shared" si="26"/>
        <v>1.0118670740474971</v>
      </c>
      <c r="J157" s="326">
        <f t="shared" si="23"/>
        <v>-4.5536580085110542E-10</v>
      </c>
      <c r="L157" s="87"/>
      <c r="M157" s="87">
        <f t="shared" si="24"/>
        <v>136</v>
      </c>
      <c r="N157" s="73">
        <f t="shared" si="25"/>
        <v>1.42099995446342E-2</v>
      </c>
      <c r="O157" s="3"/>
    </row>
    <row r="158" spans="1:18">
      <c r="A158" s="233">
        <v>1.423E-2</v>
      </c>
      <c r="B158" s="203">
        <v>5913</v>
      </c>
      <c r="C158" s="232">
        <v>44055</v>
      </c>
      <c r="D158" s="232">
        <v>44056</v>
      </c>
      <c r="E158" s="68"/>
      <c r="G158" s="332">
        <f t="shared" si="17"/>
        <v>1</v>
      </c>
      <c r="H158" s="333">
        <f t="shared" si="18"/>
        <v>1.0000395277777778</v>
      </c>
      <c r="I158" s="349">
        <f t="shared" si="26"/>
        <v>1.0119070146895031</v>
      </c>
      <c r="J158" s="326">
        <f t="shared" si="23"/>
        <v>-9.6560312605507136E-7</v>
      </c>
      <c r="L158" s="87"/>
      <c r="M158" s="87">
        <f t="shared" si="24"/>
        <v>137</v>
      </c>
      <c r="N158" s="73">
        <f t="shared" si="25"/>
        <v>1.4229034396873945E-2</v>
      </c>
      <c r="O158" s="3"/>
    </row>
    <row r="159" spans="1:18">
      <c r="A159" s="233">
        <v>1.4160000000000001E-2</v>
      </c>
      <c r="B159" s="203">
        <v>5828</v>
      </c>
      <c r="C159" s="232">
        <v>44056</v>
      </c>
      <c r="D159" s="232">
        <v>44060</v>
      </c>
      <c r="E159" s="68"/>
      <c r="G159" s="332">
        <f t="shared" si="17"/>
        <v>4</v>
      </c>
      <c r="H159" s="333">
        <f t="shared" si="18"/>
        <v>1.0001573333333333</v>
      </c>
      <c r="I159" s="349">
        <f t="shared" si="26"/>
        <v>1.0119470131251116</v>
      </c>
      <c r="J159" s="326">
        <f t="shared" si="23"/>
        <v>9.6769985001009192E-7</v>
      </c>
      <c r="L159" s="87"/>
      <c r="M159" s="87">
        <f t="shared" si="24"/>
        <v>138</v>
      </c>
      <c r="N159" s="73">
        <f t="shared" si="25"/>
        <v>1.4160967699850011E-2</v>
      </c>
      <c r="O159" s="3"/>
    </row>
    <row r="160" spans="1:18">
      <c r="A160" s="233">
        <v>1.413E-2</v>
      </c>
      <c r="B160" s="203">
        <v>4650</v>
      </c>
      <c r="C160" s="232">
        <v>44060</v>
      </c>
      <c r="D160" s="232">
        <v>44061</v>
      </c>
      <c r="E160" s="68"/>
      <c r="G160" s="332">
        <f t="shared" si="17"/>
        <v>1</v>
      </c>
      <c r="H160" s="333">
        <f t="shared" si="18"/>
        <v>1.0000392499999999</v>
      </c>
      <c r="I160" s="349">
        <f t="shared" si="26"/>
        <v>1.0121062261218432</v>
      </c>
      <c r="J160" s="326">
        <f t="shared" si="23"/>
        <v>-2.2766739943578728E-9</v>
      </c>
      <c r="L160" s="87"/>
      <c r="M160" s="87">
        <f t="shared" si="24"/>
        <v>139</v>
      </c>
      <c r="N160" s="73">
        <f t="shared" si="25"/>
        <v>1.4129997723326005E-2</v>
      </c>
      <c r="O160" s="3"/>
    </row>
    <row r="161" spans="1:15">
      <c r="A161" s="233">
        <v>1.423E-2</v>
      </c>
      <c r="B161" s="203">
        <v>4771</v>
      </c>
      <c r="C161" s="232">
        <v>44061</v>
      </c>
      <c r="D161" s="232">
        <v>44062</v>
      </c>
      <c r="E161" s="68"/>
      <c r="G161" s="332">
        <f t="shared" si="17"/>
        <v>1</v>
      </c>
      <c r="H161" s="333">
        <f t="shared" si="18"/>
        <v>1.0000395277777778</v>
      </c>
      <c r="I161" s="349">
        <f t="shared" si="26"/>
        <v>1.0121459512912183</v>
      </c>
      <c r="J161" s="326">
        <f t="shared" si="23"/>
        <v>-1.2879141205304901E-6</v>
      </c>
      <c r="L161" s="87"/>
      <c r="M161" s="87">
        <f t="shared" si="24"/>
        <v>140</v>
      </c>
      <c r="N161" s="73">
        <f t="shared" si="25"/>
        <v>1.4228712085879469E-2</v>
      </c>
      <c r="O161" s="3"/>
    </row>
    <row r="162" spans="1:15">
      <c r="A162" s="233">
        <v>1.4160000000000001E-2</v>
      </c>
      <c r="B162" s="203">
        <v>7084</v>
      </c>
      <c r="C162" s="232">
        <v>44062</v>
      </c>
      <c r="D162" s="232">
        <v>44067</v>
      </c>
      <c r="E162" s="68"/>
      <c r="G162" s="332">
        <f t="shared" si="17"/>
        <v>5</v>
      </c>
      <c r="H162" s="333">
        <f t="shared" si="18"/>
        <v>1.0001966666666666</v>
      </c>
      <c r="I162" s="349">
        <f t="shared" si="26"/>
        <v>1.0121859591714597</v>
      </c>
      <c r="J162" s="326">
        <f t="shared" si="23"/>
        <v>1.2887325712053709E-6</v>
      </c>
      <c r="L162" s="87"/>
      <c r="M162" s="87">
        <f t="shared" si="24"/>
        <v>141</v>
      </c>
      <c r="N162" s="73">
        <f t="shared" si="25"/>
        <v>1.4161288732571206E-2</v>
      </c>
      <c r="O162" s="3"/>
    </row>
    <row r="163" spans="1:15">
      <c r="A163" s="233">
        <v>1.418E-2</v>
      </c>
      <c r="B163" s="203">
        <v>5651</v>
      </c>
      <c r="C163" s="232">
        <v>44067</v>
      </c>
      <c r="D163" s="232">
        <v>44068</v>
      </c>
      <c r="E163" s="68"/>
      <c r="G163" s="332">
        <f t="shared" si="17"/>
        <v>1</v>
      </c>
      <c r="H163" s="333">
        <f t="shared" si="18"/>
        <v>1.000039388888889</v>
      </c>
      <c r="I163" s="349">
        <f t="shared" si="26"/>
        <v>1.0123850224100968</v>
      </c>
      <c r="J163" s="326">
        <f t="shared" si="23"/>
        <v>9.105865440173427E-10</v>
      </c>
      <c r="L163" s="87"/>
      <c r="M163" s="87">
        <f t="shared" si="24"/>
        <v>142</v>
      </c>
      <c r="N163" s="73">
        <f t="shared" si="25"/>
        <v>1.4180000910586544E-2</v>
      </c>
      <c r="O163" s="3"/>
    </row>
    <row r="164" spans="1:15">
      <c r="A164" s="233">
        <v>1.414E-2</v>
      </c>
      <c r="B164" s="203">
        <v>6903</v>
      </c>
      <c r="C164" s="232">
        <v>44068</v>
      </c>
      <c r="D164" s="232">
        <v>44069</v>
      </c>
      <c r="E164" s="68"/>
      <c r="G164" s="332">
        <f t="shared" si="17"/>
        <v>1</v>
      </c>
      <c r="H164" s="333">
        <f t="shared" si="18"/>
        <v>1.0000392777777778</v>
      </c>
      <c r="I164" s="349">
        <f t="shared" si="26"/>
        <v>1.0124248991312574</v>
      </c>
      <c r="J164" s="326">
        <f t="shared" si="23"/>
        <v>-2.276466609809416E-9</v>
      </c>
      <c r="L164" s="87"/>
      <c r="M164" s="87">
        <f t="shared" si="24"/>
        <v>143</v>
      </c>
      <c r="N164" s="73">
        <f t="shared" si="25"/>
        <v>1.4139997723533391E-2</v>
      </c>
      <c r="O164" s="3"/>
    </row>
    <row r="165" spans="1:15">
      <c r="A165" s="233">
        <v>1.4239999999999999E-2</v>
      </c>
      <c r="B165" s="203">
        <v>4858</v>
      </c>
      <c r="C165" s="232">
        <v>44069</v>
      </c>
      <c r="D165" s="232">
        <v>44070</v>
      </c>
      <c r="E165" s="68"/>
      <c r="G165" s="332">
        <f t="shared" si="17"/>
        <v>1</v>
      </c>
      <c r="H165" s="333">
        <f t="shared" si="18"/>
        <v>1.0000395555555555</v>
      </c>
      <c r="I165" s="349">
        <f t="shared" si="26"/>
        <v>1.0124646649314621</v>
      </c>
      <c r="J165" s="326">
        <f t="shared" si="23"/>
        <v>8.1952775240350718E-9</v>
      </c>
      <c r="L165" s="87"/>
      <c r="M165" s="87">
        <f t="shared" si="24"/>
        <v>144</v>
      </c>
      <c r="N165" s="73">
        <f t="shared" si="25"/>
        <v>1.4240008195277523E-2</v>
      </c>
      <c r="O165" s="3"/>
    </row>
    <row r="166" spans="1:15">
      <c r="A166" s="233">
        <v>1.388E-2</v>
      </c>
      <c r="B166" s="203">
        <v>5940</v>
      </c>
      <c r="C166" s="232">
        <v>44070</v>
      </c>
      <c r="D166" s="232">
        <v>44071</v>
      </c>
      <c r="E166" s="68"/>
      <c r="G166" s="332">
        <f t="shared" si="17"/>
        <v>1</v>
      </c>
      <c r="H166" s="333">
        <f t="shared" si="18"/>
        <v>1.0000385555555555</v>
      </c>
      <c r="I166" s="349">
        <f t="shared" si="26"/>
        <v>1.0125047135337637</v>
      </c>
      <c r="J166" s="326">
        <f t="shared" si="23"/>
        <v>-6.5448462346811324E-7</v>
      </c>
      <c r="L166" s="87"/>
      <c r="M166" s="87">
        <f t="shared" si="24"/>
        <v>145</v>
      </c>
      <c r="N166" s="73">
        <f t="shared" si="25"/>
        <v>1.3879345515376533E-2</v>
      </c>
      <c r="O166" s="3"/>
    </row>
    <row r="167" spans="1:15">
      <c r="A167" s="233">
        <v>1.421E-2</v>
      </c>
      <c r="B167" s="203">
        <v>5336</v>
      </c>
      <c r="C167" s="232">
        <v>44071</v>
      </c>
      <c r="D167" s="232">
        <v>44074</v>
      </c>
      <c r="E167" s="68"/>
      <c r="G167" s="332">
        <f t="shared" si="17"/>
        <v>3</v>
      </c>
      <c r="H167" s="333">
        <f t="shared" si="18"/>
        <v>1.0001184166666666</v>
      </c>
      <c r="I167" s="349">
        <f t="shared" si="26"/>
        <v>1.0125437512154967</v>
      </c>
      <c r="J167" s="326">
        <f t="shared" si="23"/>
        <v>6.4711878102216046E-7</v>
      </c>
      <c r="L167" s="87"/>
      <c r="M167" s="87">
        <f t="shared" si="24"/>
        <v>146</v>
      </c>
      <c r="N167" s="73">
        <f t="shared" si="25"/>
        <v>1.4210647118781023E-2</v>
      </c>
      <c r="O167" s="3"/>
    </row>
    <row r="168" spans="1:15">
      <c r="A168" s="233">
        <v>1.4200000000000001E-2</v>
      </c>
      <c r="B168" s="203">
        <v>4311</v>
      </c>
      <c r="C168" s="232">
        <v>44074</v>
      </c>
      <c r="D168" s="232">
        <v>44075</v>
      </c>
      <c r="E168" s="68"/>
      <c r="G168" s="332">
        <f t="shared" si="17"/>
        <v>1</v>
      </c>
      <c r="H168" s="333">
        <f t="shared" si="18"/>
        <v>1.0000394444444445</v>
      </c>
      <c r="I168" s="349">
        <f t="shared" si="26"/>
        <v>1.0126636532713698</v>
      </c>
      <c r="J168" s="326">
        <f t="shared" si="23"/>
        <v>2.5039988449133683E-9</v>
      </c>
      <c r="L168" s="87"/>
      <c r="M168" s="87">
        <f t="shared" si="24"/>
        <v>147</v>
      </c>
      <c r="N168" s="73">
        <f t="shared" si="25"/>
        <v>1.4200002503998846E-2</v>
      </c>
      <c r="O168" s="3"/>
    </row>
    <row r="169" spans="1:15">
      <c r="A169" s="233">
        <v>1.409E-2</v>
      </c>
      <c r="B169" s="203">
        <v>5953</v>
      </c>
      <c r="C169" s="232">
        <v>44075</v>
      </c>
      <c r="D169" s="232">
        <v>44076</v>
      </c>
      <c r="E169" s="68"/>
      <c r="G169" s="332">
        <f t="shared" si="17"/>
        <v>1</v>
      </c>
      <c r="H169" s="333">
        <f t="shared" si="18"/>
        <v>1.000039138888889</v>
      </c>
      <c r="I169" s="349">
        <f t="shared" si="26"/>
        <v>1.0127035972265821</v>
      </c>
      <c r="J169" s="326">
        <f t="shared" si="23"/>
        <v>-4.5527265621636527E-10</v>
      </c>
      <c r="L169" s="87"/>
      <c r="M169" s="87">
        <f t="shared" si="24"/>
        <v>148</v>
      </c>
      <c r="N169" s="73">
        <f t="shared" si="25"/>
        <v>1.4089999544727344E-2</v>
      </c>
      <c r="O169" s="3"/>
    </row>
    <row r="170" spans="1:15">
      <c r="A170" s="233">
        <v>1.4109999999999999E-2</v>
      </c>
      <c r="B170" s="203">
        <v>6421</v>
      </c>
      <c r="C170" s="232">
        <v>44076</v>
      </c>
      <c r="D170" s="232">
        <v>44077</v>
      </c>
      <c r="E170" s="68"/>
      <c r="G170" s="332">
        <f t="shared" si="17"/>
        <v>1</v>
      </c>
      <c r="H170" s="333">
        <f t="shared" si="18"/>
        <v>1.0000391944444444</v>
      </c>
      <c r="I170" s="349">
        <f t="shared" si="26"/>
        <v>1.0127432333201514</v>
      </c>
      <c r="J170" s="326">
        <f t="shared" si="23"/>
        <v>-9.1054526330066075E-10</v>
      </c>
      <c r="L170" s="87"/>
      <c r="M170" s="87">
        <f t="shared" si="24"/>
        <v>149</v>
      </c>
      <c r="N170" s="73">
        <f t="shared" si="25"/>
        <v>1.4109999089454737E-2</v>
      </c>
      <c r="O170" s="3"/>
    </row>
    <row r="171" spans="1:15">
      <c r="A171" s="233">
        <v>1.4149999999999999E-2</v>
      </c>
      <c r="B171" s="203">
        <v>5218</v>
      </c>
      <c r="C171" s="232">
        <v>44077</v>
      </c>
      <c r="D171" s="232">
        <v>44078</v>
      </c>
      <c r="E171" s="68"/>
      <c r="G171" s="332">
        <f t="shared" si="17"/>
        <v>1</v>
      </c>
      <c r="H171" s="333">
        <f t="shared" si="18"/>
        <v>1.0000393055555556</v>
      </c>
      <c r="I171" s="349">
        <f t="shared" si="26"/>
        <v>1.0127829272285462</v>
      </c>
      <c r="J171" s="326">
        <f t="shared" si="23"/>
        <v>-6.3943033942598125E-7</v>
      </c>
      <c r="L171" s="87"/>
      <c r="M171" s="87">
        <f t="shared" si="24"/>
        <v>150</v>
      </c>
      <c r="N171" s="73">
        <f t="shared" si="25"/>
        <v>1.4149360569660574E-2</v>
      </c>
      <c r="O171" s="3"/>
    </row>
    <row r="172" spans="1:15">
      <c r="A172" s="233">
        <v>1.4080000000000001E-2</v>
      </c>
      <c r="B172" s="203">
        <v>7237</v>
      </c>
      <c r="C172" s="232">
        <v>44078</v>
      </c>
      <c r="D172" s="232">
        <v>44081</v>
      </c>
      <c r="E172" s="68"/>
      <c r="G172" s="332">
        <f t="shared" si="17"/>
        <v>3</v>
      </c>
      <c r="H172" s="333">
        <f t="shared" si="18"/>
        <v>1.0001173333333333</v>
      </c>
      <c r="I172" s="349">
        <f t="shared" si="26"/>
        <v>1.0128227352241583</v>
      </c>
      <c r="J172" s="326">
        <f t="shared" si="23"/>
        <v>6.3730286938561064E-7</v>
      </c>
      <c r="L172" s="87"/>
      <c r="M172" s="87">
        <f t="shared" si="24"/>
        <v>151</v>
      </c>
      <c r="N172" s="73">
        <f t="shared" si="25"/>
        <v>1.4080637302869386E-2</v>
      </c>
      <c r="O172" s="3"/>
    </row>
    <row r="173" spans="1:15">
      <c r="A173" s="233">
        <v>1.4239999999999999E-2</v>
      </c>
      <c r="B173" s="203">
        <v>5714</v>
      </c>
      <c r="C173" s="232">
        <v>44081</v>
      </c>
      <c r="D173" s="232">
        <v>44082</v>
      </c>
      <c r="E173" s="68"/>
      <c r="G173" s="332">
        <f t="shared" si="17"/>
        <v>1</v>
      </c>
      <c r="H173" s="333">
        <f t="shared" si="18"/>
        <v>1.0000395555555555</v>
      </c>
      <c r="I173" s="349">
        <f t="shared" si="26"/>
        <v>1.0129415730917579</v>
      </c>
      <c r="J173" s="326">
        <f t="shared" si="23"/>
        <v>1.8210069582454339E-9</v>
      </c>
      <c r="L173" s="87"/>
      <c r="M173" s="87">
        <f t="shared" si="24"/>
        <v>152</v>
      </c>
      <c r="N173" s="73">
        <f t="shared" si="25"/>
        <v>1.4240001821006957E-2</v>
      </c>
      <c r="O173" s="3"/>
    </row>
    <row r="174" spans="1:15">
      <c r="A174" s="233">
        <v>1.4160000000000001E-2</v>
      </c>
      <c r="B174" s="203">
        <v>5357</v>
      </c>
      <c r="C174" s="232">
        <v>44082</v>
      </c>
      <c r="D174" s="232">
        <v>44083</v>
      </c>
      <c r="E174" s="68"/>
      <c r="G174" s="332">
        <f t="shared" si="17"/>
        <v>1</v>
      </c>
      <c r="H174" s="333">
        <f t="shared" si="18"/>
        <v>1.0000393333333333</v>
      </c>
      <c r="I174" s="349">
        <f t="shared" si="26"/>
        <v>1.0129816405584269</v>
      </c>
      <c r="J174" s="326">
        <f t="shared" si="23"/>
        <v>-1.1381296014898751E-9</v>
      </c>
      <c r="L174" s="87"/>
      <c r="M174" s="87">
        <f t="shared" si="24"/>
        <v>153</v>
      </c>
      <c r="N174" s="73">
        <f t="shared" si="25"/>
        <v>1.41599988618704E-2</v>
      </c>
      <c r="O174" s="3"/>
    </row>
    <row r="175" spans="1:15">
      <c r="A175" s="233">
        <v>1.421E-2</v>
      </c>
      <c r="B175" s="203">
        <v>4703</v>
      </c>
      <c r="C175" s="232">
        <v>44083</v>
      </c>
      <c r="D175" s="232">
        <v>44084</v>
      </c>
      <c r="E175" s="68"/>
      <c r="G175" s="332">
        <f t="shared" si="17"/>
        <v>1</v>
      </c>
      <c r="H175" s="333">
        <f t="shared" si="18"/>
        <v>1.0000394722222221</v>
      </c>
      <c r="I175" s="349">
        <f t="shared" si="26"/>
        <v>1.0130214845029555</v>
      </c>
      <c r="J175" s="326">
        <f t="shared" si="23"/>
        <v>-4.5525177800090368E-10</v>
      </c>
      <c r="L175" s="87"/>
      <c r="M175" s="87">
        <f t="shared" si="24"/>
        <v>154</v>
      </c>
      <c r="N175" s="73">
        <f t="shared" si="25"/>
        <v>1.4209999544748223E-2</v>
      </c>
      <c r="O175" s="3"/>
    </row>
    <row r="176" spans="1:15">
      <c r="A176" s="233">
        <v>1.423E-2</v>
      </c>
      <c r="B176" s="203">
        <v>4489</v>
      </c>
      <c r="C176" s="232">
        <v>44084</v>
      </c>
      <c r="D176" s="232">
        <v>44085</v>
      </c>
      <c r="E176" s="68"/>
      <c r="G176" s="332">
        <f t="shared" si="17"/>
        <v>1</v>
      </c>
      <c r="H176" s="333">
        <f t="shared" si="18"/>
        <v>1.0000395277777778</v>
      </c>
      <c r="I176" s="349">
        <f t="shared" si="26"/>
        <v>1.0130614707121075</v>
      </c>
      <c r="J176" s="326">
        <f t="shared" si="23"/>
        <v>-6.4782324342987356E-7</v>
      </c>
      <c r="L176" s="87"/>
      <c r="M176" s="87">
        <f t="shared" si="24"/>
        <v>155</v>
      </c>
      <c r="N176" s="73">
        <f t="shared" si="25"/>
        <v>1.422935217675657E-2</v>
      </c>
      <c r="O176" s="3"/>
    </row>
    <row r="177" spans="1:15">
      <c r="A177" s="233">
        <v>1.423E-2</v>
      </c>
      <c r="B177" s="203">
        <v>5601</v>
      </c>
      <c r="C177" s="232">
        <v>44085</v>
      </c>
      <c r="D177" s="232">
        <v>44088</v>
      </c>
      <c r="E177" s="68"/>
      <c r="G177" s="332">
        <f t="shared" si="17"/>
        <v>3</v>
      </c>
      <c r="H177" s="333">
        <f t="shared" si="18"/>
        <v>1.0001185833333333</v>
      </c>
      <c r="I177" s="349">
        <f t="shared" si="26"/>
        <v>1.0131015147807971</v>
      </c>
      <c r="J177" s="326">
        <f t="shared" si="23"/>
        <v>6.4705975315330145E-7</v>
      </c>
      <c r="L177" s="87"/>
      <c r="M177" s="87">
        <f t="shared" si="24"/>
        <v>156</v>
      </c>
      <c r="N177" s="73">
        <f t="shared" si="25"/>
        <v>1.4230647059753153E-2</v>
      </c>
      <c r="O177" s="3"/>
    </row>
    <row r="178" spans="1:15">
      <c r="A178" s="233">
        <v>1.426E-2</v>
      </c>
      <c r="B178" s="203">
        <v>2965</v>
      </c>
      <c r="C178" s="232">
        <v>44088</v>
      </c>
      <c r="D178" s="232">
        <v>44089</v>
      </c>
      <c r="E178" s="68"/>
      <c r="G178" s="332">
        <f t="shared" si="17"/>
        <v>1</v>
      </c>
      <c r="H178" s="333">
        <f t="shared" si="18"/>
        <v>1.0000396111111112</v>
      </c>
      <c r="I178" s="349">
        <f t="shared" si="26"/>
        <v>1.0132216517354249</v>
      </c>
      <c r="J178" s="326">
        <f t="shared" si="23"/>
        <v>3.8694634067069618E-9</v>
      </c>
      <c r="L178" s="87"/>
      <c r="M178" s="87">
        <f t="shared" si="24"/>
        <v>157</v>
      </c>
      <c r="N178" s="73">
        <f t="shared" si="25"/>
        <v>1.4260003869463406E-2</v>
      </c>
      <c r="O178" s="3"/>
    </row>
    <row r="179" spans="1:15">
      <c r="A179" s="233">
        <v>1.409E-2</v>
      </c>
      <c r="B179" s="203">
        <v>7415</v>
      </c>
      <c r="C179" s="232">
        <v>44089</v>
      </c>
      <c r="D179" s="232">
        <v>44090</v>
      </c>
      <c r="E179" s="68"/>
      <c r="G179" s="332">
        <f t="shared" si="17"/>
        <v>1</v>
      </c>
      <c r="H179" s="333">
        <f t="shared" si="18"/>
        <v>1.000039138888889</v>
      </c>
      <c r="I179" s="349">
        <f t="shared" si="26"/>
        <v>1.013261786570852</v>
      </c>
      <c r="J179" s="326">
        <f t="shared" si="23"/>
        <v>-2.2761560095529949E-10</v>
      </c>
      <c r="L179" s="87"/>
      <c r="M179" s="87">
        <f t="shared" si="24"/>
        <v>158</v>
      </c>
      <c r="N179" s="73">
        <f t="shared" si="25"/>
        <v>1.4089999772384398E-2</v>
      </c>
      <c r="O179" s="3"/>
    </row>
    <row r="180" spans="1:15">
      <c r="A180" s="233">
        <v>1.41E-2</v>
      </c>
      <c r="B180" s="203">
        <v>6907</v>
      </c>
      <c r="C180" s="232">
        <v>44090</v>
      </c>
      <c r="D180" s="232">
        <v>44091</v>
      </c>
      <c r="E180" s="80"/>
      <c r="G180" s="332">
        <f t="shared" si="17"/>
        <v>1</v>
      </c>
      <c r="H180" s="333">
        <f t="shared" si="18"/>
        <v>1.0000391666666666</v>
      </c>
      <c r="I180" s="349">
        <f t="shared" si="26"/>
        <v>1.013301444511332</v>
      </c>
      <c r="J180" s="326">
        <f t="shared" si="23"/>
        <v>-2.0485403612896399E-9</v>
      </c>
      <c r="L180" s="87"/>
      <c r="M180" s="87">
        <f t="shared" si="24"/>
        <v>159</v>
      </c>
      <c r="N180" s="73">
        <f t="shared" si="25"/>
        <v>1.4099997951459638E-2</v>
      </c>
      <c r="O180" s="3"/>
    </row>
    <row r="181" spans="1:15">
      <c r="A181" s="233">
        <v>1.4189999999999999E-2</v>
      </c>
      <c r="B181" s="203">
        <v>5525</v>
      </c>
      <c r="C181" s="232">
        <v>44091</v>
      </c>
      <c r="D181" s="232">
        <v>44092</v>
      </c>
      <c r="E181" s="68"/>
      <c r="G181" s="332">
        <f t="shared" si="17"/>
        <v>1</v>
      </c>
      <c r="H181" s="333">
        <f t="shared" si="18"/>
        <v>1.0000394166666666</v>
      </c>
      <c r="I181" s="349">
        <f t="shared" si="26"/>
        <v>1.013341132151242</v>
      </c>
      <c r="J181" s="326">
        <f t="shared" si="23"/>
        <v>-6.4802143885296348E-7</v>
      </c>
      <c r="L181" s="87"/>
      <c r="M181" s="87">
        <f t="shared" si="24"/>
        <v>160</v>
      </c>
      <c r="N181" s="73">
        <f t="shared" si="25"/>
        <v>1.4189351978561146E-2</v>
      </c>
      <c r="O181" s="3"/>
    </row>
    <row r="182" spans="1:15">
      <c r="A182" s="233">
        <v>1.422E-2</v>
      </c>
      <c r="B182" s="203">
        <v>6131</v>
      </c>
      <c r="C182" s="232">
        <v>44092</v>
      </c>
      <c r="D182" s="232">
        <v>44095</v>
      </c>
      <c r="E182" s="68"/>
      <c r="F182" s="196">
        <v>90</v>
      </c>
      <c r="G182" s="334">
        <f t="shared" si="17"/>
        <v>3</v>
      </c>
      <c r="H182" s="335">
        <f t="shared" si="18"/>
        <v>1.0001184999999999</v>
      </c>
      <c r="I182" s="364">
        <f t="shared" si="26"/>
        <v>1.0133810746808676</v>
      </c>
      <c r="J182" s="327">
        <f t="shared" si="23"/>
        <v>6.4748552543514873E-7</v>
      </c>
      <c r="L182" s="87"/>
      <c r="M182" s="87">
        <f t="shared" si="24"/>
        <v>161</v>
      </c>
      <c r="N182" s="73">
        <f t="shared" si="25"/>
        <v>1.4220647485525435E-2</v>
      </c>
      <c r="O182" s="3"/>
    </row>
    <row r="183" spans="1:15">
      <c r="A183" s="233">
        <v>1.421E-2</v>
      </c>
      <c r="B183" s="203">
        <v>5843</v>
      </c>
      <c r="C183" s="232">
        <v>44095</v>
      </c>
      <c r="D183" s="232">
        <v>44096</v>
      </c>
      <c r="E183" s="68"/>
      <c r="G183" s="332">
        <f t="shared" si="17"/>
        <v>1</v>
      </c>
      <c r="H183" s="333">
        <f t="shared" si="18"/>
        <v>1.0000394722222221</v>
      </c>
      <c r="I183" s="349">
        <f t="shared" si="26"/>
        <v>1.0135011603382171</v>
      </c>
      <c r="J183" s="326">
        <f t="shared" si="23"/>
        <v>1.8208413153908758E-9</v>
      </c>
      <c r="L183" s="87"/>
      <c r="M183" s="87">
        <f t="shared" si="24"/>
        <v>162</v>
      </c>
      <c r="N183" s="73">
        <f t="shared" si="25"/>
        <v>1.4210001820841315E-2</v>
      </c>
      <c r="O183" s="3"/>
    </row>
    <row r="184" spans="1:15">
      <c r="A184" s="233">
        <v>1.413E-2</v>
      </c>
      <c r="B184" s="203">
        <v>6850</v>
      </c>
      <c r="C184" s="232">
        <v>44096</v>
      </c>
      <c r="D184" s="232">
        <v>44097</v>
      </c>
      <c r="E184" s="68"/>
      <c r="G184" s="332">
        <f t="shared" si="17"/>
        <v>1</v>
      </c>
      <c r="H184" s="333">
        <f t="shared" si="18"/>
        <v>1.0000392499999999</v>
      </c>
      <c r="I184" s="349">
        <f t="shared" si="26"/>
        <v>1.0135411654812403</v>
      </c>
      <c r="J184" s="326">
        <f t="shared" si="23"/>
        <v>-6.8281564496887016E-10</v>
      </c>
      <c r="L184" s="87"/>
      <c r="M184" s="87">
        <f t="shared" si="24"/>
        <v>163</v>
      </c>
      <c r="N184" s="73">
        <f t="shared" si="25"/>
        <v>1.4129999317184356E-2</v>
      </c>
      <c r="O184" s="3"/>
    </row>
    <row r="185" spans="1:15">
      <c r="A185" s="233">
        <v>1.4160000000000001E-2</v>
      </c>
      <c r="B185" s="203">
        <v>5762</v>
      </c>
      <c r="C185" s="232">
        <v>44097</v>
      </c>
      <c r="D185" s="232">
        <v>44098</v>
      </c>
      <c r="E185" s="68"/>
      <c r="G185" s="332">
        <f t="shared" si="17"/>
        <v>1</v>
      </c>
      <c r="H185" s="333">
        <f t="shared" si="18"/>
        <v>1.0000393333333333</v>
      </c>
      <c r="I185" s="349">
        <f t="shared" si="26"/>
        <v>1.0135809469719854</v>
      </c>
      <c r="J185" s="326">
        <f t="shared" si="23"/>
        <v>-2.0484467638775799E-9</v>
      </c>
      <c r="L185" s="87"/>
      <c r="M185" s="87">
        <f t="shared" si="24"/>
        <v>164</v>
      </c>
      <c r="N185" s="73">
        <f t="shared" si="25"/>
        <v>1.4159997951553236E-2</v>
      </c>
      <c r="O185" s="6"/>
    </row>
    <row r="186" spans="1:15">
      <c r="A186" s="233">
        <v>1.4250000000000001E-2</v>
      </c>
      <c r="B186" s="203">
        <v>4677</v>
      </c>
      <c r="C186" s="232">
        <v>44098</v>
      </c>
      <c r="D186" s="232">
        <v>44099</v>
      </c>
      <c r="E186" s="68"/>
      <c r="G186" s="332">
        <f t="shared" si="17"/>
        <v>1</v>
      </c>
      <c r="H186" s="333">
        <f t="shared" si="18"/>
        <v>1.0000395833333333</v>
      </c>
      <c r="I186" s="349">
        <f t="shared" si="26"/>
        <v>1.0136208144892329</v>
      </c>
      <c r="J186" s="326">
        <f t="shared" si="23"/>
        <v>-6.4457775400358128E-7</v>
      </c>
      <c r="L186" s="87"/>
      <c r="M186" s="87">
        <f t="shared" si="24"/>
        <v>165</v>
      </c>
      <c r="N186" s="73">
        <f t="shared" si="25"/>
        <v>1.4249355422245997E-2</v>
      </c>
      <c r="O186" s="3"/>
    </row>
    <row r="187" spans="1:15">
      <c r="A187" s="233">
        <v>1.4189999999999999E-2</v>
      </c>
      <c r="B187" s="203">
        <v>4787</v>
      </c>
      <c r="C187" s="232">
        <v>44099</v>
      </c>
      <c r="D187" s="232">
        <v>44102</v>
      </c>
      <c r="E187" s="68"/>
      <c r="G187" s="332">
        <f t="shared" si="17"/>
        <v>3</v>
      </c>
      <c r="H187" s="333">
        <f t="shared" si="18"/>
        <v>1.0001182500000001</v>
      </c>
      <c r="I187" s="349">
        <f t="shared" si="26"/>
        <v>1.0136609369798064</v>
      </c>
      <c r="J187" s="326">
        <f t="shared" si="23"/>
        <v>6.4631832886722637E-7</v>
      </c>
      <c r="L187" s="87"/>
      <c r="M187" s="87">
        <f t="shared" si="24"/>
        <v>166</v>
      </c>
      <c r="N187" s="73">
        <f t="shared" si="25"/>
        <v>1.4190646318328866E-2</v>
      </c>
      <c r="O187" s="3"/>
    </row>
    <row r="188" spans="1:15">
      <c r="A188" s="233">
        <v>1.417E-2</v>
      </c>
      <c r="B188" s="203">
        <v>6263</v>
      </c>
      <c r="C188" s="232">
        <v>44102</v>
      </c>
      <c r="D188" s="232">
        <v>44103</v>
      </c>
      <c r="E188" s="68"/>
      <c r="G188" s="332">
        <f t="shared" si="17"/>
        <v>1</v>
      </c>
      <c r="H188" s="333">
        <f t="shared" si="18"/>
        <v>1.0000393611111111</v>
      </c>
      <c r="I188" s="349">
        <f t="shared" si="26"/>
        <v>1.0137808023856043</v>
      </c>
      <c r="J188" s="326">
        <f t="shared" si="23"/>
        <v>1.8207586312655943E-9</v>
      </c>
      <c r="L188" s="87"/>
      <c r="M188" s="87">
        <f t="shared" si="24"/>
        <v>167</v>
      </c>
      <c r="N188" s="73">
        <f t="shared" si="25"/>
        <v>1.4170001820758631E-2</v>
      </c>
      <c r="O188" s="3"/>
    </row>
    <row r="189" spans="1:15">
      <c r="A189" s="233">
        <v>1.409E-2</v>
      </c>
      <c r="B189" s="203">
        <v>7316</v>
      </c>
      <c r="C189" s="232">
        <v>44103</v>
      </c>
      <c r="D189" s="232">
        <v>44104</v>
      </c>
      <c r="E189" s="68"/>
      <c r="G189" s="332">
        <f t="shared" si="17"/>
        <v>1</v>
      </c>
      <c r="H189" s="333">
        <f t="shared" si="18"/>
        <v>1.000039138888889</v>
      </c>
      <c r="I189" s="349">
        <f t="shared" si="26"/>
        <v>1.0138207059244093</v>
      </c>
      <c r="J189" s="326">
        <f t="shared" si="23"/>
        <v>-6.1450617464171239E-9</v>
      </c>
      <c r="L189" s="87"/>
      <c r="M189" s="87">
        <f t="shared" si="24"/>
        <v>168</v>
      </c>
      <c r="N189" s="73">
        <f t="shared" si="25"/>
        <v>1.4089993854938254E-2</v>
      </c>
      <c r="O189" s="3"/>
    </row>
    <row r="190" spans="1:15">
      <c r="A190" s="233">
        <v>1.436E-2</v>
      </c>
      <c r="B190" s="203">
        <v>10008</v>
      </c>
      <c r="C190" s="232">
        <v>44104</v>
      </c>
      <c r="D190" s="232">
        <v>44105</v>
      </c>
      <c r="E190" s="68"/>
      <c r="G190" s="332">
        <f t="shared" si="17"/>
        <v>1</v>
      </c>
      <c r="H190" s="333">
        <f t="shared" si="18"/>
        <v>1.0000398888888888</v>
      </c>
      <c r="I190" s="349">
        <f t="shared" si="26"/>
        <v>1.0138603857403719</v>
      </c>
      <c r="J190" s="326">
        <f t="shared" si="23"/>
        <v>2.9587312143280406E-9</v>
      </c>
      <c r="L190" s="87"/>
      <c r="M190" s="87">
        <f t="shared" si="24"/>
        <v>169</v>
      </c>
      <c r="N190" s="73">
        <f t="shared" si="25"/>
        <v>1.4360002958731214E-2</v>
      </c>
      <c r="O190" s="3"/>
    </row>
    <row r="191" spans="1:15">
      <c r="A191" s="233">
        <v>1.423E-2</v>
      </c>
      <c r="B191" s="203">
        <v>5881</v>
      </c>
      <c r="C191" s="232">
        <v>44105</v>
      </c>
      <c r="D191" s="232">
        <v>44106</v>
      </c>
      <c r="E191" s="68"/>
      <c r="G191" s="332">
        <f t="shared" si="17"/>
        <v>1</v>
      </c>
      <c r="H191" s="333">
        <f t="shared" si="18"/>
        <v>1.0000395277777778</v>
      </c>
      <c r="I191" s="349">
        <f t="shared" si="26"/>
        <v>1.0139008275046475</v>
      </c>
      <c r="J191" s="326">
        <f t="shared" si="23"/>
        <v>-6.4705199084217122E-7</v>
      </c>
      <c r="L191" s="87"/>
      <c r="M191" s="87">
        <f t="shared" si="24"/>
        <v>170</v>
      </c>
      <c r="N191" s="73">
        <f t="shared" si="25"/>
        <v>1.4229352948009158E-2</v>
      </c>
      <c r="O191" s="3"/>
    </row>
    <row r="192" spans="1:15">
      <c r="A192" s="233">
        <v>1.422E-2</v>
      </c>
      <c r="B192" s="203">
        <v>6596</v>
      </c>
      <c r="C192" s="232">
        <v>44106</v>
      </c>
      <c r="D192" s="232">
        <v>44109</v>
      </c>
      <c r="E192" s="68"/>
      <c r="G192" s="332">
        <f t="shared" si="17"/>
        <v>3</v>
      </c>
      <c r="H192" s="333">
        <f t="shared" si="18"/>
        <v>1.0001184999999999</v>
      </c>
      <c r="I192" s="349">
        <f t="shared" si="26"/>
        <v>1.0139409047512458</v>
      </c>
      <c r="J192" s="326">
        <f t="shared" si="23"/>
        <v>6.4788171297509154E-7</v>
      </c>
      <c r="L192" s="87"/>
      <c r="M192" s="87">
        <f t="shared" si="24"/>
        <v>171</v>
      </c>
      <c r="N192" s="73">
        <f t="shared" si="25"/>
        <v>1.4220647881712975E-2</v>
      </c>
      <c r="O192" s="3"/>
    </row>
    <row r="193" spans="1:15">
      <c r="A193" s="233">
        <v>1.4189999999999999E-2</v>
      </c>
      <c r="B193" s="203">
        <v>6656</v>
      </c>
      <c r="C193" s="232">
        <v>44109</v>
      </c>
      <c r="D193" s="232">
        <v>44110</v>
      </c>
      <c r="E193" s="68"/>
      <c r="G193" s="332">
        <f t="shared" si="17"/>
        <v>1</v>
      </c>
      <c r="H193" s="333">
        <f t="shared" si="18"/>
        <v>1.0000394166666666</v>
      </c>
      <c r="I193" s="349">
        <f t="shared" si="26"/>
        <v>1.0140610567484587</v>
      </c>
      <c r="J193" s="326">
        <f t="shared" si="23"/>
        <v>-4.5516891180182188E-10</v>
      </c>
      <c r="L193" s="87"/>
      <c r="M193" s="87">
        <f t="shared" si="24"/>
        <v>172</v>
      </c>
      <c r="N193" s="73">
        <f t="shared" si="25"/>
        <v>1.4189999544831088E-2</v>
      </c>
      <c r="O193" s="3"/>
    </row>
    <row r="194" spans="1:15">
      <c r="A194" s="233">
        <v>1.421E-2</v>
      </c>
      <c r="B194" s="203">
        <v>7144</v>
      </c>
      <c r="C194" s="232">
        <v>44110</v>
      </c>
      <c r="D194" s="232">
        <v>44111</v>
      </c>
      <c r="E194" s="68"/>
      <c r="G194" s="332">
        <f t="shared" ref="G194:G242" si="27">D194-C194</f>
        <v>1</v>
      </c>
      <c r="H194" s="333">
        <f t="shared" ref="H194:H241" si="28">(1+A194*(D194-C194)/360)</f>
        <v>1.0000394722222221</v>
      </c>
      <c r="I194" s="349">
        <f t="shared" si="26"/>
        <v>1.0141010276551121</v>
      </c>
      <c r="J194" s="326">
        <f t="shared" si="23"/>
        <v>9.103377744827561E-10</v>
      </c>
      <c r="L194" s="87"/>
      <c r="M194" s="87">
        <f t="shared" si="24"/>
        <v>173</v>
      </c>
      <c r="N194" s="73">
        <f t="shared" si="25"/>
        <v>1.4210000910337774E-2</v>
      </c>
      <c r="O194" s="3"/>
    </row>
    <row r="195" spans="1:15">
      <c r="A195" s="233">
        <v>1.417E-2</v>
      </c>
      <c r="B195" s="203">
        <v>6908</v>
      </c>
      <c r="C195" s="232">
        <v>44111</v>
      </c>
      <c r="D195" s="232">
        <v>44112</v>
      </c>
      <c r="E195" s="68"/>
      <c r="G195" s="332">
        <f t="shared" si="27"/>
        <v>1</v>
      </c>
      <c r="H195" s="333">
        <f t="shared" si="28"/>
        <v>1.0000393611111111</v>
      </c>
      <c r="I195" s="349">
        <f t="shared" si="26"/>
        <v>1.0141410564762314</v>
      </c>
      <c r="J195" s="326">
        <f t="shared" si="23"/>
        <v>-9.1033787454382346E-10</v>
      </c>
      <c r="L195" s="87"/>
      <c r="M195" s="87">
        <f t="shared" si="24"/>
        <v>174</v>
      </c>
      <c r="N195" s="73">
        <f t="shared" si="25"/>
        <v>1.4169999089662126E-2</v>
      </c>
      <c r="O195" s="3"/>
    </row>
    <row r="196" spans="1:15">
      <c r="A196" s="233">
        <v>1.421E-2</v>
      </c>
      <c r="B196" s="203">
        <v>7260</v>
      </c>
      <c r="C196" s="232">
        <v>44112</v>
      </c>
      <c r="D196" s="232">
        <v>44113</v>
      </c>
      <c r="E196" s="68"/>
      <c r="G196" s="332">
        <f t="shared" si="27"/>
        <v>1</v>
      </c>
      <c r="H196" s="333">
        <f t="shared" si="28"/>
        <v>1.0000394722222221</v>
      </c>
      <c r="I196" s="349">
        <f t="shared" si="26"/>
        <v>1.0141809741950378</v>
      </c>
      <c r="J196" s="326">
        <f t="shared" si="23"/>
        <v>-6.4406397606238036E-7</v>
      </c>
      <c r="L196" s="87"/>
      <c r="M196" s="87">
        <f t="shared" si="24"/>
        <v>175</v>
      </c>
      <c r="N196" s="73">
        <f t="shared" si="25"/>
        <v>1.4209355936023939E-2</v>
      </c>
      <c r="O196" s="3"/>
    </row>
    <row r="197" spans="1:15">
      <c r="A197" s="233">
        <v>1.417E-2</v>
      </c>
      <c r="B197" s="203">
        <v>6720</v>
      </c>
      <c r="C197" s="232">
        <v>44113</v>
      </c>
      <c r="D197" s="232">
        <v>44116</v>
      </c>
      <c r="E197" s="68"/>
      <c r="G197" s="332">
        <f t="shared" si="27"/>
        <v>3</v>
      </c>
      <c r="H197" s="333">
        <f t="shared" si="28"/>
        <v>1.0001180833333334</v>
      </c>
      <c r="I197" s="349">
        <f t="shared" si="26"/>
        <v>1.0142210061718246</v>
      </c>
      <c r="J197" s="326">
        <f t="shared" si="23"/>
        <v>6.4489426293695884E-7</v>
      </c>
      <c r="L197" s="87"/>
      <c r="M197" s="87">
        <f t="shared" si="24"/>
        <v>176</v>
      </c>
      <c r="N197" s="73">
        <f t="shared" si="25"/>
        <v>1.4170644894262938E-2</v>
      </c>
      <c r="O197" s="3"/>
    </row>
    <row r="198" spans="1:15">
      <c r="A198" s="233">
        <v>1.417E-2</v>
      </c>
      <c r="B198" s="203">
        <v>6169</v>
      </c>
      <c r="C198" s="232">
        <v>44116</v>
      </c>
      <c r="D198" s="232">
        <v>44117</v>
      </c>
      <c r="E198" s="68"/>
      <c r="G198" s="332">
        <f t="shared" si="27"/>
        <v>1</v>
      </c>
      <c r="H198" s="333">
        <f t="shared" si="28"/>
        <v>1.0000393611111111</v>
      </c>
      <c r="I198" s="349">
        <f t="shared" si="26"/>
        <v>1.0143407687689703</v>
      </c>
      <c r="J198" s="326">
        <f t="shared" si="23"/>
        <v>-1.820592881731569E-9</v>
      </c>
      <c r="L198" s="87"/>
      <c r="M198" s="87">
        <f t="shared" si="24"/>
        <v>177</v>
      </c>
      <c r="N198" s="73">
        <f t="shared" si="25"/>
        <v>1.4169998179407119E-2</v>
      </c>
      <c r="O198" s="3"/>
    </row>
    <row r="199" spans="1:15">
      <c r="A199" s="233">
        <v>1.4250000000000001E-2</v>
      </c>
      <c r="B199" s="203">
        <v>5971</v>
      </c>
      <c r="C199" s="232">
        <v>44117</v>
      </c>
      <c r="D199" s="232">
        <v>44118</v>
      </c>
      <c r="E199" s="68"/>
      <c r="G199" s="332">
        <f t="shared" si="27"/>
        <v>1</v>
      </c>
      <c r="H199" s="333">
        <f t="shared" si="28"/>
        <v>1.0000395833333333</v>
      </c>
      <c r="I199" s="349">
        <f t="shared" si="26"/>
        <v>1.0143806943486744</v>
      </c>
      <c r="J199" s="326">
        <f t="shared" si="23"/>
        <v>1.3654443584003241E-9</v>
      </c>
      <c r="L199" s="87"/>
      <c r="M199" s="87">
        <f t="shared" si="24"/>
        <v>178</v>
      </c>
      <c r="N199" s="73">
        <f t="shared" si="25"/>
        <v>1.4250001365444359E-2</v>
      </c>
      <c r="O199" s="3"/>
    </row>
    <row r="200" spans="1:15">
      <c r="A200" s="233">
        <v>1.4189999999999999E-2</v>
      </c>
      <c r="B200" s="203">
        <v>5604</v>
      </c>
      <c r="C200" s="232">
        <v>44118</v>
      </c>
      <c r="D200" s="232">
        <v>44119</v>
      </c>
      <c r="E200" s="68"/>
      <c r="G200" s="332">
        <f t="shared" si="27"/>
        <v>1</v>
      </c>
      <c r="H200" s="333">
        <f t="shared" si="28"/>
        <v>1.0000394166666666</v>
      </c>
      <c r="I200" s="349">
        <f t="shared" si="26"/>
        <v>1.0144208469178257</v>
      </c>
      <c r="J200" s="326">
        <f t="shared" si="23"/>
        <v>8.6478157079536922E-9</v>
      </c>
      <c r="L200" s="87"/>
      <c r="M200" s="87">
        <f t="shared" si="24"/>
        <v>179</v>
      </c>
      <c r="N200" s="73">
        <f t="shared" si="25"/>
        <v>1.4190008647815708E-2</v>
      </c>
      <c r="O200" s="3"/>
    </row>
    <row r="201" spans="1:15">
      <c r="A201" s="233">
        <v>1.3809999999999999E-2</v>
      </c>
      <c r="B201" s="203">
        <v>7150</v>
      </c>
      <c r="C201" s="232">
        <v>44119</v>
      </c>
      <c r="D201" s="232">
        <v>44120</v>
      </c>
      <c r="E201" s="68"/>
      <c r="G201" s="332">
        <f t="shared" si="27"/>
        <v>1</v>
      </c>
      <c r="H201" s="333">
        <f t="shared" si="28"/>
        <v>1.0000383611111112</v>
      </c>
      <c r="I201" s="349">
        <f t="shared" si="26"/>
        <v>1.0144608320062083</v>
      </c>
      <c r="J201" s="326">
        <f t="shared" si="23"/>
        <v>-6.5245562651683173E-7</v>
      </c>
      <c r="L201" s="87"/>
      <c r="M201" s="87">
        <f t="shared" si="24"/>
        <v>180</v>
      </c>
      <c r="N201" s="73">
        <f t="shared" si="25"/>
        <v>1.3809347544373483E-2</v>
      </c>
      <c r="O201" s="3"/>
    </row>
    <row r="202" spans="1:15">
      <c r="A202" s="233">
        <v>1.4160000000000001E-2</v>
      </c>
      <c r="B202" s="203">
        <v>7751</v>
      </c>
      <c r="C202" s="232">
        <v>44120</v>
      </c>
      <c r="D202" s="232">
        <v>44123</v>
      </c>
      <c r="E202" s="68"/>
      <c r="G202" s="332">
        <f t="shared" si="27"/>
        <v>3</v>
      </c>
      <c r="H202" s="333">
        <f t="shared" si="28"/>
        <v>1.0001180000000001</v>
      </c>
      <c r="I202" s="349">
        <f t="shared" si="26"/>
        <v>1.0144997478509028</v>
      </c>
      <c r="J202" s="326">
        <f t="shared" si="23"/>
        <v>6.4122423085821178E-7</v>
      </c>
      <c r="L202" s="87"/>
      <c r="M202" s="87">
        <f t="shared" si="24"/>
        <v>181</v>
      </c>
      <c r="N202" s="73">
        <f t="shared" si="25"/>
        <v>1.4160641224230859E-2</v>
      </c>
      <c r="O202" s="3"/>
    </row>
    <row r="203" spans="1:15">
      <c r="A203" s="233">
        <v>1.43E-2</v>
      </c>
      <c r="B203" s="203">
        <v>6203</v>
      </c>
      <c r="C203" s="232">
        <v>44123</v>
      </c>
      <c r="D203" s="232">
        <v>44124</v>
      </c>
      <c r="E203" s="68"/>
      <c r="F203" s="196">
        <v>60</v>
      </c>
      <c r="G203" s="334">
        <f t="shared" si="27"/>
        <v>1</v>
      </c>
      <c r="H203" s="335">
        <f t="shared" si="28"/>
        <v>1.0000397222222221</v>
      </c>
      <c r="I203" s="364">
        <f t="shared" si="26"/>
        <v>1.0146194588211492</v>
      </c>
      <c r="J203" s="327">
        <f>((H204/H203-1)*360/(M203-D203))</f>
        <v>0</v>
      </c>
      <c r="L203" s="87"/>
      <c r="M203" s="87">
        <f t="shared" ref="M203:M241" si="29">M202+1</f>
        <v>182</v>
      </c>
      <c r="N203" s="73">
        <f t="shared" ref="N203:N242" si="30">A203+J203</f>
        <v>1.43E-2</v>
      </c>
      <c r="O203" s="3"/>
    </row>
    <row r="204" spans="1:15">
      <c r="A204" s="233">
        <v>1.43E-2</v>
      </c>
      <c r="B204" s="203">
        <v>5559</v>
      </c>
      <c r="C204" s="232">
        <v>44124</v>
      </c>
      <c r="D204" s="232">
        <v>44125</v>
      </c>
      <c r="E204" s="68"/>
      <c r="G204" s="332">
        <f t="shared" si="27"/>
        <v>1</v>
      </c>
      <c r="H204" s="333">
        <f t="shared" si="28"/>
        <v>1.0000397222222221</v>
      </c>
      <c r="I204" s="349">
        <f t="shared" ref="I204:I242" si="31">I203*H203</f>
        <v>1.0146597617607633</v>
      </c>
      <c r="J204" s="326">
        <f t="shared" ref="J204:J241" si="32">((H205/H204-1)*360/(M204-D204))</f>
        <v>1.8205093606663389E-9</v>
      </c>
      <c r="L204" s="87"/>
      <c r="M204" s="87">
        <f t="shared" si="29"/>
        <v>183</v>
      </c>
      <c r="N204" s="73">
        <f t="shared" si="30"/>
        <v>1.4300001820509362E-2</v>
      </c>
      <c r="O204" s="3"/>
    </row>
    <row r="205" spans="1:15">
      <c r="A205" s="233">
        <v>1.422E-2</v>
      </c>
      <c r="B205" s="203">
        <v>6061</v>
      </c>
      <c r="C205" s="232">
        <v>44125</v>
      </c>
      <c r="D205" s="232">
        <v>44126</v>
      </c>
      <c r="E205" s="68"/>
      <c r="G205" s="332">
        <f t="shared" si="27"/>
        <v>1</v>
      </c>
      <c r="H205" s="333">
        <f t="shared" si="28"/>
        <v>1.0000395</v>
      </c>
      <c r="I205" s="349">
        <f t="shared" si="31"/>
        <v>1.0147000663012999</v>
      </c>
      <c r="J205" s="326">
        <f t="shared" si="32"/>
        <v>-1.1378186036161351E-9</v>
      </c>
      <c r="L205" s="87"/>
      <c r="M205" s="87">
        <f t="shared" si="29"/>
        <v>184</v>
      </c>
      <c r="N205" s="73">
        <f t="shared" si="30"/>
        <v>1.4219998862181397E-2</v>
      </c>
      <c r="O205" s="3"/>
    </row>
    <row r="206" spans="1:15">
      <c r="A206" s="233">
        <v>1.427E-2</v>
      </c>
      <c r="B206" s="203">
        <v>6305</v>
      </c>
      <c r="C206" s="232">
        <v>44126</v>
      </c>
      <c r="D206" s="232">
        <v>44127</v>
      </c>
      <c r="E206" s="68"/>
      <c r="G206" s="332">
        <f t="shared" si="27"/>
        <v>1</v>
      </c>
      <c r="H206" s="333">
        <f t="shared" si="28"/>
        <v>1.0000396388888888</v>
      </c>
      <c r="I206" s="349">
        <f t="shared" si="31"/>
        <v>1.0147401469539188</v>
      </c>
      <c r="J206" s="326">
        <f t="shared" si="32"/>
        <v>-6.4946676871796104E-7</v>
      </c>
      <c r="L206" s="87"/>
      <c r="M206" s="87">
        <f t="shared" si="29"/>
        <v>185</v>
      </c>
      <c r="N206" s="73">
        <f t="shared" si="30"/>
        <v>1.4269350533231282E-2</v>
      </c>
      <c r="O206" s="3"/>
    </row>
    <row r="207" spans="1:15">
      <c r="A207" s="233">
        <v>1.427E-2</v>
      </c>
      <c r="B207" s="203">
        <v>6382</v>
      </c>
      <c r="C207" s="232">
        <v>44127</v>
      </c>
      <c r="D207" s="232">
        <v>44130</v>
      </c>
      <c r="E207" s="68"/>
      <c r="G207" s="332">
        <f t="shared" si="27"/>
        <v>3</v>
      </c>
      <c r="H207" s="333">
        <f t="shared" si="28"/>
        <v>1.0001189166666666</v>
      </c>
      <c r="I207" s="349">
        <f t="shared" si="31"/>
        <v>1.0147803701258549</v>
      </c>
      <c r="J207" s="326">
        <f t="shared" si="32"/>
        <v>6.5916974772040875E-7</v>
      </c>
      <c r="L207" s="87"/>
      <c r="M207" s="87">
        <f t="shared" si="29"/>
        <v>186</v>
      </c>
      <c r="N207" s="73">
        <f t="shared" si="30"/>
        <v>1.4270659169747721E-2</v>
      </c>
      <c r="O207" s="3"/>
    </row>
    <row r="208" spans="1:15">
      <c r="A208" s="233">
        <v>1.384E-2</v>
      </c>
      <c r="B208" s="203">
        <v>7823</v>
      </c>
      <c r="C208" s="232">
        <v>44130</v>
      </c>
      <c r="D208" s="232">
        <v>44131</v>
      </c>
      <c r="E208" s="68"/>
      <c r="G208" s="332">
        <f t="shared" si="27"/>
        <v>1</v>
      </c>
      <c r="H208" s="333">
        <f t="shared" si="28"/>
        <v>1.0000384444444443</v>
      </c>
      <c r="I208" s="349">
        <f t="shared" si="31"/>
        <v>1.0149010444248689</v>
      </c>
      <c r="J208" s="326">
        <f t="shared" si="32"/>
        <v>-8.4194833446288683E-9</v>
      </c>
      <c r="L208" s="87"/>
      <c r="M208" s="87">
        <f t="shared" si="29"/>
        <v>187</v>
      </c>
      <c r="N208" s="73">
        <f t="shared" si="30"/>
        <v>1.3839991580516655E-2</v>
      </c>
      <c r="O208" s="3"/>
    </row>
    <row r="209" spans="1:15">
      <c r="A209" s="233">
        <v>1.421E-2</v>
      </c>
      <c r="B209" s="203">
        <v>5887</v>
      </c>
      <c r="C209" s="232">
        <v>44131</v>
      </c>
      <c r="D209" s="232">
        <v>44132</v>
      </c>
      <c r="E209" s="68"/>
      <c r="G209" s="332">
        <f t="shared" si="27"/>
        <v>1</v>
      </c>
      <c r="H209" s="333">
        <f t="shared" si="28"/>
        <v>1.0000394722222221</v>
      </c>
      <c r="I209" s="349">
        <f t="shared" si="31"/>
        <v>1.0149400617316879</v>
      </c>
      <c r="J209" s="326">
        <f t="shared" si="32"/>
        <v>-1.3184442260542218E-6</v>
      </c>
      <c r="L209" s="87"/>
      <c r="M209" s="87">
        <f t="shared" si="29"/>
        <v>188</v>
      </c>
      <c r="N209" s="73">
        <f t="shared" si="30"/>
        <v>1.4208681555773947E-2</v>
      </c>
      <c r="O209" s="3"/>
    </row>
    <row r="210" spans="1:15">
      <c r="A210" s="233">
        <v>1.443E-2</v>
      </c>
      <c r="B210" s="203">
        <v>8408</v>
      </c>
      <c r="C210" s="232">
        <v>44132</v>
      </c>
      <c r="D210" s="232">
        <v>44137</v>
      </c>
      <c r="E210" s="68"/>
      <c r="G210" s="332">
        <f t="shared" si="27"/>
        <v>5</v>
      </c>
      <c r="H210" s="333">
        <f t="shared" si="28"/>
        <v>1.0002004166666667</v>
      </c>
      <c r="I210" s="349">
        <f t="shared" si="31"/>
        <v>1.0149801236713467</v>
      </c>
      <c r="J210" s="326">
        <f t="shared" si="32"/>
        <v>1.3172021070405648E-6</v>
      </c>
      <c r="L210" s="87"/>
      <c r="M210" s="87">
        <f t="shared" si="29"/>
        <v>189</v>
      </c>
      <c r="N210" s="73">
        <f t="shared" si="30"/>
        <v>1.443131720210704E-2</v>
      </c>
      <c r="O210" s="3"/>
    </row>
    <row r="211" spans="1:15">
      <c r="A211" s="233">
        <v>1.4250000000000001E-2</v>
      </c>
      <c r="B211" s="203">
        <v>5922</v>
      </c>
      <c r="C211" s="232">
        <v>44137</v>
      </c>
      <c r="D211" s="232">
        <v>44138</v>
      </c>
      <c r="E211" s="68"/>
      <c r="G211" s="332">
        <f t="shared" si="27"/>
        <v>1</v>
      </c>
      <c r="H211" s="333">
        <f t="shared" si="28"/>
        <v>1.0000395833333333</v>
      </c>
      <c r="I211" s="349">
        <f t="shared" si="31"/>
        <v>1.015183542604466</v>
      </c>
      <c r="J211" s="326">
        <f t="shared" si="32"/>
        <v>-4.5506526734709388E-10</v>
      </c>
      <c r="L211" s="87"/>
      <c r="M211" s="87">
        <f t="shared" si="29"/>
        <v>190</v>
      </c>
      <c r="N211" s="73">
        <f t="shared" si="30"/>
        <v>1.4249999544934734E-2</v>
      </c>
      <c r="O211" s="3"/>
    </row>
    <row r="212" spans="1:15">
      <c r="A212" s="233">
        <v>1.427E-2</v>
      </c>
      <c r="B212" s="203">
        <v>5650</v>
      </c>
      <c r="C212" s="232">
        <v>44138</v>
      </c>
      <c r="D212" s="232">
        <v>44139</v>
      </c>
      <c r="E212" s="68"/>
      <c r="G212" s="332">
        <f t="shared" si="27"/>
        <v>1</v>
      </c>
      <c r="H212" s="333">
        <f t="shared" si="28"/>
        <v>1.0000396388888888</v>
      </c>
      <c r="I212" s="349">
        <f t="shared" si="31"/>
        <v>1.0152237269530273</v>
      </c>
      <c r="J212" s="326">
        <f t="shared" si="32"/>
        <v>9.1013048285615985E-10</v>
      </c>
      <c r="L212" s="87"/>
      <c r="M212" s="87">
        <f t="shared" si="29"/>
        <v>191</v>
      </c>
      <c r="N212" s="73">
        <f t="shared" si="30"/>
        <v>1.4270000910130483E-2</v>
      </c>
      <c r="O212" s="3"/>
    </row>
    <row r="213" spans="1:15">
      <c r="A213" s="233">
        <v>1.423E-2</v>
      </c>
      <c r="B213" s="203">
        <v>6176</v>
      </c>
      <c r="C213" s="232">
        <v>44139</v>
      </c>
      <c r="D213" s="232">
        <v>44140</v>
      </c>
      <c r="E213" s="68"/>
      <c r="G213" s="332">
        <f t="shared" si="27"/>
        <v>1</v>
      </c>
      <c r="H213" s="333">
        <f t="shared" si="28"/>
        <v>1.0000395277777778</v>
      </c>
      <c r="I213" s="349">
        <f t="shared" si="31"/>
        <v>1.0152639692935372</v>
      </c>
      <c r="J213" s="326">
        <f t="shared" si="32"/>
        <v>-9.7952804215081906E-7</v>
      </c>
      <c r="L213" s="87"/>
      <c r="M213" s="87">
        <f t="shared" si="29"/>
        <v>192</v>
      </c>
      <c r="N213" s="73">
        <f t="shared" si="30"/>
        <v>1.4229020471957848E-2</v>
      </c>
      <c r="O213" s="3"/>
    </row>
    <row r="214" spans="1:15">
      <c r="A214" s="233">
        <v>1.4319999999999999E-2</v>
      </c>
      <c r="B214" s="203">
        <v>6608</v>
      </c>
      <c r="C214" s="232">
        <v>44140</v>
      </c>
      <c r="D214" s="232">
        <v>44144</v>
      </c>
      <c r="E214" s="68"/>
      <c r="G214" s="332">
        <f t="shared" si="27"/>
        <v>4</v>
      </c>
      <c r="H214" s="333">
        <f t="shared" si="28"/>
        <v>1.0001591111111112</v>
      </c>
      <c r="I214" s="349">
        <f t="shared" si="31"/>
        <v>1.0153041004221013</v>
      </c>
      <c r="J214" s="326">
        <f t="shared" si="32"/>
        <v>9.7957156300313167E-7</v>
      </c>
      <c r="L214" s="87"/>
      <c r="M214" s="87">
        <f t="shared" si="29"/>
        <v>193</v>
      </c>
      <c r="N214" s="73">
        <f t="shared" si="30"/>
        <v>1.4320979571563003E-2</v>
      </c>
      <c r="O214" s="3"/>
    </row>
    <row r="215" spans="1:15">
      <c r="A215" s="233">
        <v>1.422E-2</v>
      </c>
      <c r="B215" s="203">
        <v>5430</v>
      </c>
      <c r="C215" s="232">
        <v>44144</v>
      </c>
      <c r="D215" s="232">
        <v>44145</v>
      </c>
      <c r="E215" s="68"/>
      <c r="G215" s="332">
        <f t="shared" si="27"/>
        <v>1</v>
      </c>
      <c r="H215" s="333">
        <f t="shared" si="28"/>
        <v>1.0000395</v>
      </c>
      <c r="I215" s="349">
        <f t="shared" si="31"/>
        <v>1.0154656465856353</v>
      </c>
      <c r="J215" s="326">
        <f t="shared" si="32"/>
        <v>9.1006848572543359E-10</v>
      </c>
      <c r="L215" s="87"/>
      <c r="M215" s="87">
        <f t="shared" si="29"/>
        <v>194</v>
      </c>
      <c r="N215" s="73">
        <f t="shared" si="30"/>
        <v>1.4220000910068486E-2</v>
      </c>
      <c r="O215" s="3"/>
    </row>
    <row r="216" spans="1:15">
      <c r="A216" s="233">
        <v>1.418E-2</v>
      </c>
      <c r="B216" s="203">
        <v>7162</v>
      </c>
      <c r="C216" s="232">
        <v>44145</v>
      </c>
      <c r="D216" s="232">
        <v>44146</v>
      </c>
      <c r="E216" s="68"/>
      <c r="G216" s="332">
        <f t="shared" si="27"/>
        <v>1</v>
      </c>
      <c r="H216" s="333">
        <f t="shared" si="28"/>
        <v>1.000039388888889</v>
      </c>
      <c r="I216" s="349">
        <f t="shared" si="31"/>
        <v>1.0155057574786754</v>
      </c>
      <c r="J216" s="326">
        <f t="shared" si="32"/>
        <v>-3.1852400574241818E-9</v>
      </c>
      <c r="L216" s="87"/>
      <c r="M216" s="87">
        <f t="shared" si="29"/>
        <v>195</v>
      </c>
      <c r="N216" s="73">
        <f t="shared" si="30"/>
        <v>1.4179996814759942E-2</v>
      </c>
      <c r="O216" s="3"/>
    </row>
    <row r="217" spans="1:15">
      <c r="A217" s="233">
        <v>1.4319999999999999E-2</v>
      </c>
      <c r="B217" s="203">
        <v>7928</v>
      </c>
      <c r="C217" s="232">
        <v>44146</v>
      </c>
      <c r="D217" s="232">
        <v>44147</v>
      </c>
      <c r="E217" s="68"/>
      <c r="G217" s="332">
        <f t="shared" si="27"/>
        <v>1</v>
      </c>
      <c r="H217" s="333">
        <f t="shared" si="28"/>
        <v>1.0000397777777779</v>
      </c>
      <c r="I217" s="349">
        <f t="shared" si="31"/>
        <v>1.0155457571221229</v>
      </c>
      <c r="J217" s="326">
        <f t="shared" si="32"/>
        <v>2.0476535267950377E-9</v>
      </c>
      <c r="L217" s="87"/>
      <c r="M217" s="87">
        <f t="shared" si="29"/>
        <v>196</v>
      </c>
      <c r="N217" s="73">
        <f t="shared" si="30"/>
        <v>1.4320002047653527E-2</v>
      </c>
      <c r="O217" s="3"/>
    </row>
    <row r="218" spans="1:15">
      <c r="A218" s="233">
        <v>1.423E-2</v>
      </c>
      <c r="B218" s="203">
        <v>6702</v>
      </c>
      <c r="C218" s="232">
        <v>44147</v>
      </c>
      <c r="D218" s="232">
        <v>44148</v>
      </c>
      <c r="E218" s="68"/>
      <c r="G218" s="332">
        <f t="shared" si="27"/>
        <v>1</v>
      </c>
      <c r="H218" s="333">
        <f t="shared" si="28"/>
        <v>1.0000395277777778</v>
      </c>
      <c r="I218" s="349">
        <f t="shared" si="31"/>
        <v>1.015586153275573</v>
      </c>
      <c r="J218" s="326">
        <f t="shared" si="32"/>
        <v>-6.4341840228067496E-7</v>
      </c>
      <c r="L218" s="87"/>
      <c r="M218" s="87">
        <f t="shared" si="29"/>
        <v>197</v>
      </c>
      <c r="N218" s="73">
        <f t="shared" si="30"/>
        <v>1.4229356581597718E-2</v>
      </c>
      <c r="O218" s="3"/>
    </row>
    <row r="219" spans="1:15">
      <c r="A219" s="233">
        <v>1.417E-2</v>
      </c>
      <c r="B219" s="203">
        <v>8190</v>
      </c>
      <c r="C219" s="232">
        <v>44148</v>
      </c>
      <c r="D219" s="232">
        <v>44151</v>
      </c>
      <c r="E219" s="68"/>
      <c r="G219" s="332">
        <f t="shared" si="27"/>
        <v>3</v>
      </c>
      <c r="H219" s="333">
        <f t="shared" si="28"/>
        <v>1.0001180833333334</v>
      </c>
      <c r="I219" s="349">
        <f t="shared" si="31"/>
        <v>1.0156262971393539</v>
      </c>
      <c r="J219" s="326">
        <f t="shared" si="32"/>
        <v>6.4402105557146045E-7</v>
      </c>
      <c r="L219" s="87"/>
      <c r="M219" s="87">
        <f t="shared" si="29"/>
        <v>198</v>
      </c>
      <c r="N219" s="73">
        <f t="shared" si="30"/>
        <v>1.4170644021055572E-2</v>
      </c>
      <c r="O219" s="3"/>
    </row>
    <row r="220" spans="1:15">
      <c r="A220" s="233">
        <v>1.4200000000000001E-2</v>
      </c>
      <c r="B220" s="203">
        <v>6460</v>
      </c>
      <c r="C220" s="232">
        <v>44151</v>
      </c>
      <c r="D220" s="232">
        <v>44152</v>
      </c>
      <c r="E220" s="68"/>
      <c r="G220" s="332">
        <f t="shared" si="27"/>
        <v>1</v>
      </c>
      <c r="H220" s="333">
        <f t="shared" si="28"/>
        <v>1.0000394444444445</v>
      </c>
      <c r="I220" s="349">
        <f t="shared" si="31"/>
        <v>1.0157462256779413</v>
      </c>
      <c r="J220" s="326">
        <f t="shared" si="32"/>
        <v>-3.2214960272708709E-7</v>
      </c>
      <c r="L220" s="87"/>
      <c r="M220" s="87">
        <f t="shared" si="29"/>
        <v>199</v>
      </c>
      <c r="N220" s="73">
        <f t="shared" si="30"/>
        <v>1.4199677850397274E-2</v>
      </c>
      <c r="O220" s="3"/>
    </row>
    <row r="221" spans="1:15">
      <c r="A221" s="233">
        <v>1.418E-2</v>
      </c>
      <c r="B221" s="203">
        <v>6770</v>
      </c>
      <c r="C221" s="232">
        <v>44152</v>
      </c>
      <c r="D221" s="232">
        <v>44154</v>
      </c>
      <c r="E221" s="68"/>
      <c r="F221" s="196">
        <v>31</v>
      </c>
      <c r="G221" s="334">
        <f t="shared" si="27"/>
        <v>2</v>
      </c>
      <c r="H221" s="335">
        <f t="shared" si="28"/>
        <v>1.0000787777777778</v>
      </c>
      <c r="I221" s="364">
        <f t="shared" si="31"/>
        <v>1.0157862912235096</v>
      </c>
      <c r="J221" s="327">
        <f t="shared" si="32"/>
        <v>3.223570962103793E-7</v>
      </c>
      <c r="L221" s="87"/>
      <c r="M221" s="87">
        <f t="shared" si="29"/>
        <v>200</v>
      </c>
      <c r="N221" s="73">
        <f t="shared" si="30"/>
        <v>1.4180322357096211E-2</v>
      </c>
      <c r="O221" s="3"/>
    </row>
    <row r="222" spans="1:15">
      <c r="A222" s="233">
        <v>1.4189999999999999E-2</v>
      </c>
      <c r="B222" s="203">
        <v>7025</v>
      </c>
      <c r="C222" s="232">
        <v>44154</v>
      </c>
      <c r="D222" s="232">
        <v>44155</v>
      </c>
      <c r="E222" s="80"/>
      <c r="G222" s="332">
        <f t="shared" si="27"/>
        <v>1</v>
      </c>
      <c r="H222" s="333">
        <f t="shared" si="28"/>
        <v>1.0000394166666666</v>
      </c>
      <c r="I222" s="349">
        <f t="shared" si="31"/>
        <v>1.0158663126102294</v>
      </c>
      <c r="J222" s="326">
        <f t="shared" si="32"/>
        <v>-6.463320793708925E-7</v>
      </c>
      <c r="L222" s="87"/>
      <c r="M222" s="87">
        <f t="shared" si="29"/>
        <v>201</v>
      </c>
      <c r="N222" s="73">
        <f t="shared" si="30"/>
        <v>1.4189353667920629E-2</v>
      </c>
      <c r="O222" s="3"/>
    </row>
    <row r="223" spans="1:15">
      <c r="A223" s="233">
        <v>1.4200000000000001E-2</v>
      </c>
      <c r="B223" s="203">
        <v>7133</v>
      </c>
      <c r="C223" s="232">
        <v>44155</v>
      </c>
      <c r="D223" s="232">
        <v>44158</v>
      </c>
      <c r="E223" s="68"/>
      <c r="G223" s="332">
        <f t="shared" si="27"/>
        <v>3</v>
      </c>
      <c r="H223" s="333">
        <f t="shared" si="28"/>
        <v>1.0001183333333334</v>
      </c>
      <c r="I223" s="349">
        <f t="shared" si="31"/>
        <v>1.0159063546740514</v>
      </c>
      <c r="J223" s="326">
        <f t="shared" si="32"/>
        <v>6.4738903976363354E-7</v>
      </c>
      <c r="L223" s="87"/>
      <c r="M223" s="87">
        <f t="shared" si="29"/>
        <v>202</v>
      </c>
      <c r="N223" s="73">
        <f t="shared" si="30"/>
        <v>1.4200647389039764E-2</v>
      </c>
      <c r="O223" s="3"/>
    </row>
    <row r="224" spans="1:15">
      <c r="A224" s="233">
        <v>1.414E-2</v>
      </c>
      <c r="B224" s="203">
        <v>8213</v>
      </c>
      <c r="C224" s="232">
        <v>44158</v>
      </c>
      <c r="D224" s="232">
        <v>44159</v>
      </c>
      <c r="E224" s="68"/>
      <c r="G224" s="332">
        <f t="shared" si="27"/>
        <v>1</v>
      </c>
      <c r="H224" s="333">
        <f t="shared" si="28"/>
        <v>1.0000392777777778</v>
      </c>
      <c r="I224" s="349">
        <f t="shared" si="31"/>
        <v>1.0160265702593547</v>
      </c>
      <c r="J224" s="326">
        <f t="shared" si="32"/>
        <v>-1.3649477526041377E-9</v>
      </c>
      <c r="L224" s="87"/>
      <c r="M224" s="87">
        <f t="shared" si="29"/>
        <v>203</v>
      </c>
      <c r="N224" s="73">
        <f t="shared" si="30"/>
        <v>1.4139998635052248E-2</v>
      </c>
      <c r="O224" s="3"/>
    </row>
    <row r="225" spans="1:15">
      <c r="A225" s="233">
        <v>1.4200000000000001E-2</v>
      </c>
      <c r="B225" s="203">
        <v>6714</v>
      </c>
      <c r="C225" s="232">
        <v>44159</v>
      </c>
      <c r="D225" s="232">
        <v>44160</v>
      </c>
      <c r="E225" s="68"/>
      <c r="G225" s="332">
        <f t="shared" si="27"/>
        <v>1</v>
      </c>
      <c r="H225" s="333">
        <f t="shared" si="28"/>
        <v>1.0000394444444445</v>
      </c>
      <c r="I225" s="349">
        <f t="shared" si="31"/>
        <v>1.0160664775251977</v>
      </c>
      <c r="J225" s="326">
        <f t="shared" si="32"/>
        <v>-6.8247376264287299E-10</v>
      </c>
      <c r="L225" s="87"/>
      <c r="M225" s="87">
        <f t="shared" si="29"/>
        <v>204</v>
      </c>
      <c r="N225" s="73">
        <f t="shared" si="30"/>
        <v>1.4199999317526238E-2</v>
      </c>
      <c r="O225" s="3"/>
    </row>
    <row r="226" spans="1:15">
      <c r="A226" s="233">
        <v>1.423E-2</v>
      </c>
      <c r="B226" s="203">
        <v>6321</v>
      </c>
      <c r="C226" s="232">
        <v>44160</v>
      </c>
      <c r="D226" s="232">
        <v>44161</v>
      </c>
      <c r="E226" s="68"/>
      <c r="G226" s="332">
        <f t="shared" si="27"/>
        <v>1</v>
      </c>
      <c r="H226" s="333">
        <f t="shared" si="28"/>
        <v>1.0000395277777778</v>
      </c>
      <c r="I226" s="349">
        <f t="shared" si="31"/>
        <v>1.0161065557029223</v>
      </c>
      <c r="J226" s="326">
        <f t="shared" si="32"/>
        <v>7.9621932352459367E-9</v>
      </c>
      <c r="L226" s="87"/>
      <c r="M226" s="87">
        <f t="shared" si="29"/>
        <v>205</v>
      </c>
      <c r="N226" s="73">
        <f t="shared" si="30"/>
        <v>1.4230007962193234E-2</v>
      </c>
      <c r="O226" s="3"/>
    </row>
    <row r="227" spans="1:15">
      <c r="A227" s="233">
        <v>1.388E-2</v>
      </c>
      <c r="B227" s="203">
        <v>7261</v>
      </c>
      <c r="C227" s="232">
        <v>44161</v>
      </c>
      <c r="D227" s="232">
        <v>44162</v>
      </c>
      <c r="E227" s="68"/>
      <c r="G227" s="332">
        <f t="shared" si="27"/>
        <v>1</v>
      </c>
      <c r="H227" s="333">
        <f t="shared" si="28"/>
        <v>1.0000385555555555</v>
      </c>
      <c r="I227" s="349">
        <f t="shared" si="31"/>
        <v>1.0161467201370546</v>
      </c>
      <c r="J227" s="326">
        <f t="shared" si="32"/>
        <v>-6.5540288600598534E-7</v>
      </c>
      <c r="L227" s="87"/>
      <c r="M227" s="87">
        <f t="shared" si="29"/>
        <v>206</v>
      </c>
      <c r="N227" s="73">
        <f t="shared" si="30"/>
        <v>1.3879344597113994E-2</v>
      </c>
      <c r="O227" s="3"/>
    </row>
    <row r="228" spans="1:15">
      <c r="A228" s="233">
        <v>1.423E-2</v>
      </c>
      <c r="B228" s="203">
        <v>6222</v>
      </c>
      <c r="C228" s="232">
        <v>44162</v>
      </c>
      <c r="D228" s="232">
        <v>44165</v>
      </c>
      <c r="E228" s="68"/>
      <c r="G228" s="332">
        <f t="shared" si="27"/>
        <v>3</v>
      </c>
      <c r="H228" s="333">
        <f t="shared" si="28"/>
        <v>1.0001185833333333</v>
      </c>
      <c r="I228" s="349">
        <f t="shared" si="31"/>
        <v>1.0161858982383756</v>
      </c>
      <c r="J228" s="326">
        <f t="shared" si="32"/>
        <v>6.4622210853400472E-7</v>
      </c>
      <c r="L228" s="87"/>
      <c r="M228" s="87">
        <f t="shared" si="29"/>
        <v>207</v>
      </c>
      <c r="N228" s="73">
        <f t="shared" si="30"/>
        <v>1.4230646222108534E-2</v>
      </c>
      <c r="O228" s="3"/>
    </row>
    <row r="229" spans="1:15">
      <c r="A229" s="233">
        <v>1.4279999999999999E-2</v>
      </c>
      <c r="B229" s="203">
        <v>6435</v>
      </c>
      <c r="C229" s="232">
        <v>44165</v>
      </c>
      <c r="D229" s="232">
        <v>44166</v>
      </c>
      <c r="E229" s="68"/>
      <c r="G229" s="332">
        <f t="shared" si="27"/>
        <v>1</v>
      </c>
      <c r="H229" s="333">
        <f t="shared" si="28"/>
        <v>1.0000396666666667</v>
      </c>
      <c r="I229" s="349">
        <f t="shared" si="31"/>
        <v>1.0163064009494749</v>
      </c>
      <c r="J229" s="326">
        <f t="shared" si="32"/>
        <v>-9.0992341465402872E-10</v>
      </c>
      <c r="L229" s="87"/>
      <c r="M229" s="87">
        <f t="shared" si="29"/>
        <v>208</v>
      </c>
      <c r="N229" s="73">
        <f t="shared" si="30"/>
        <v>1.4279999090076585E-2</v>
      </c>
      <c r="O229" s="3"/>
    </row>
    <row r="230" spans="1:15">
      <c r="A230" s="233">
        <v>1.4319999999999999E-2</v>
      </c>
      <c r="B230" s="203">
        <v>6596</v>
      </c>
      <c r="C230" s="232">
        <v>44166</v>
      </c>
      <c r="D230" s="232">
        <v>44167</v>
      </c>
      <c r="E230" s="68"/>
      <c r="G230" s="332">
        <f t="shared" si="27"/>
        <v>1</v>
      </c>
      <c r="H230" s="333">
        <f t="shared" si="28"/>
        <v>1.0000397777777779</v>
      </c>
      <c r="I230" s="349">
        <f t="shared" si="31"/>
        <v>1.0163467144367127</v>
      </c>
      <c r="J230" s="326">
        <f t="shared" si="32"/>
        <v>1.3648849683208018E-9</v>
      </c>
      <c r="L230" s="87"/>
      <c r="M230" s="87">
        <f t="shared" si="29"/>
        <v>209</v>
      </c>
      <c r="N230" s="73">
        <f t="shared" si="30"/>
        <v>1.4320001364884968E-2</v>
      </c>
      <c r="O230" s="3"/>
    </row>
    <row r="231" spans="1:15">
      <c r="A231" s="233">
        <v>1.426E-2</v>
      </c>
      <c r="B231" s="203">
        <v>7078</v>
      </c>
      <c r="C231" s="232">
        <v>44167</v>
      </c>
      <c r="D231" s="232">
        <v>44168</v>
      </c>
      <c r="E231" s="68"/>
      <c r="G231" s="332">
        <f t="shared" si="27"/>
        <v>1</v>
      </c>
      <c r="H231" s="333">
        <f t="shared" si="28"/>
        <v>1.0000396111111112</v>
      </c>
      <c r="I231" s="349">
        <f t="shared" si="31"/>
        <v>1.0163871424504647</v>
      </c>
      <c r="J231" s="326">
        <f t="shared" si="32"/>
        <v>0</v>
      </c>
      <c r="L231" s="87"/>
      <c r="M231" s="87">
        <f t="shared" si="29"/>
        <v>210</v>
      </c>
      <c r="N231" s="73">
        <f t="shared" si="30"/>
        <v>1.426E-2</v>
      </c>
      <c r="O231" s="3"/>
    </row>
    <row r="232" spans="1:15">
      <c r="A232" s="233">
        <v>1.426E-2</v>
      </c>
      <c r="B232" s="203">
        <v>6786</v>
      </c>
      <c r="C232" s="232">
        <v>44168</v>
      </c>
      <c r="D232" s="232">
        <v>44169</v>
      </c>
      <c r="E232" s="68"/>
      <c r="G232" s="332">
        <f t="shared" si="27"/>
        <v>1</v>
      </c>
      <c r="H232" s="333">
        <f t="shared" si="28"/>
        <v>1.0000396111111112</v>
      </c>
      <c r="I232" s="349">
        <f t="shared" si="31"/>
        <v>1.0164274026744962</v>
      </c>
      <c r="J232" s="326">
        <f t="shared" si="32"/>
        <v>-6.4945787223066407E-7</v>
      </c>
      <c r="L232" s="87"/>
      <c r="M232" s="87">
        <f t="shared" si="29"/>
        <v>211</v>
      </c>
      <c r="N232" s="73">
        <f t="shared" si="30"/>
        <v>1.425935054212777E-2</v>
      </c>
      <c r="O232" s="3"/>
    </row>
    <row r="233" spans="1:15">
      <c r="A233" s="233">
        <v>1.427E-2</v>
      </c>
      <c r="B233" s="203">
        <v>7487</v>
      </c>
      <c r="C233" s="232">
        <v>44169</v>
      </c>
      <c r="D233" s="232">
        <v>44172</v>
      </c>
      <c r="E233" s="68"/>
      <c r="F233" s="196">
        <v>14</v>
      </c>
      <c r="G233" s="334">
        <f t="shared" si="27"/>
        <v>3</v>
      </c>
      <c r="H233" s="335">
        <f t="shared" si="28"/>
        <v>1.0001189166666666</v>
      </c>
      <c r="I233" s="364">
        <f t="shared" si="31"/>
        <v>1.01646766449328</v>
      </c>
      <c r="J233" s="327">
        <f t="shared" si="32"/>
        <v>6.4892192244998705E-7</v>
      </c>
      <c r="L233" s="87"/>
      <c r="M233" s="87">
        <f t="shared" si="29"/>
        <v>212</v>
      </c>
      <c r="N233" s="73">
        <f t="shared" si="30"/>
        <v>1.427064892192245E-2</v>
      </c>
      <c r="O233" s="3"/>
    </row>
    <row r="234" spans="1:15">
      <c r="A234" s="233">
        <v>1.4279999999999999E-2</v>
      </c>
      <c r="B234" s="203">
        <v>5981</v>
      </c>
      <c r="C234" s="232">
        <v>44172</v>
      </c>
      <c r="D234" s="232">
        <v>44173</v>
      </c>
      <c r="E234" s="80"/>
      <c r="G234" s="332">
        <f t="shared" si="27"/>
        <v>1</v>
      </c>
      <c r="H234" s="333">
        <f t="shared" si="28"/>
        <v>1.0000396666666667</v>
      </c>
      <c r="I234" s="349">
        <f t="shared" si="31"/>
        <v>1.0165885394397158</v>
      </c>
      <c r="J234" s="326">
        <f t="shared" si="32"/>
        <v>1.1373525188076016E-9</v>
      </c>
      <c r="L234" s="87"/>
      <c r="M234" s="87">
        <f t="shared" si="29"/>
        <v>213</v>
      </c>
      <c r="N234" s="73">
        <f t="shared" si="30"/>
        <v>1.4280001137352519E-2</v>
      </c>
      <c r="O234" s="3"/>
    </row>
    <row r="235" spans="1:15">
      <c r="A235" s="233">
        <v>1.423E-2</v>
      </c>
      <c r="B235" s="203">
        <v>6657</v>
      </c>
      <c r="C235" s="232">
        <v>44173</v>
      </c>
      <c r="D235" s="232">
        <v>44174</v>
      </c>
      <c r="E235" s="68"/>
      <c r="G235" s="332">
        <f t="shared" si="27"/>
        <v>1</v>
      </c>
      <c r="H235" s="333">
        <f t="shared" si="28"/>
        <v>1.0000395277777778</v>
      </c>
      <c r="I235" s="349">
        <f t="shared" si="31"/>
        <v>1.0166288641184469</v>
      </c>
      <c r="J235" s="326">
        <f t="shared" si="32"/>
        <v>-1.5922937472640139E-9</v>
      </c>
      <c r="L235" s="87"/>
      <c r="M235" s="87">
        <f t="shared" si="29"/>
        <v>214</v>
      </c>
      <c r="N235" s="73">
        <f t="shared" si="30"/>
        <v>1.4229998407706253E-2</v>
      </c>
      <c r="O235" s="3"/>
    </row>
    <row r="236" spans="1:15">
      <c r="A236" s="233">
        <v>1.43E-2</v>
      </c>
      <c r="B236" s="203">
        <v>7121</v>
      </c>
      <c r="C236" s="232">
        <v>44174</v>
      </c>
      <c r="D236" s="232">
        <v>44175</v>
      </c>
      <c r="E236" s="68"/>
      <c r="G236" s="332">
        <f t="shared" si="27"/>
        <v>1</v>
      </c>
      <c r="H236" s="333">
        <f t="shared" si="28"/>
        <v>1.0000397222222221</v>
      </c>
      <c r="I236" s="349">
        <f t="shared" si="31"/>
        <v>1.0166690491982704</v>
      </c>
      <c r="J236" s="326">
        <f t="shared" si="32"/>
        <v>1.3648229471062831E-9</v>
      </c>
      <c r="L236" s="87"/>
      <c r="M236" s="87">
        <f t="shared" si="29"/>
        <v>215</v>
      </c>
      <c r="N236" s="73">
        <f t="shared" si="30"/>
        <v>1.4300001364822948E-2</v>
      </c>
      <c r="O236" s="3"/>
    </row>
    <row r="237" spans="1:15">
      <c r="A237" s="233">
        <v>1.4239999999999999E-2</v>
      </c>
      <c r="B237" s="203">
        <v>6321</v>
      </c>
      <c r="C237" s="232">
        <v>44175</v>
      </c>
      <c r="D237" s="232">
        <v>44176</v>
      </c>
      <c r="E237" s="68"/>
      <c r="G237" s="332">
        <f t="shared" si="27"/>
        <v>1</v>
      </c>
      <c r="H237" s="333">
        <f t="shared" si="28"/>
        <v>1.0000395555555555</v>
      </c>
      <c r="I237" s="349">
        <f t="shared" si="31"/>
        <v>1.0167094335521689</v>
      </c>
      <c r="J237" s="326">
        <f t="shared" si="32"/>
        <v>-6.4920089010696905E-7</v>
      </c>
      <c r="L237" s="87"/>
      <c r="M237" s="87">
        <f t="shared" si="29"/>
        <v>216</v>
      </c>
      <c r="N237" s="73">
        <f t="shared" si="30"/>
        <v>1.4239350799109892E-2</v>
      </c>
      <c r="O237" s="3"/>
    </row>
    <row r="238" spans="1:15">
      <c r="A238" s="233">
        <v>1.426E-2</v>
      </c>
      <c r="B238" s="203">
        <v>6468</v>
      </c>
      <c r="C238" s="232">
        <v>44176</v>
      </c>
      <c r="D238" s="232">
        <v>44179</v>
      </c>
      <c r="E238" s="68"/>
      <c r="F238" s="196">
        <v>7</v>
      </c>
      <c r="G238" s="334">
        <f t="shared" si="27"/>
        <v>3</v>
      </c>
      <c r="H238" s="335">
        <f t="shared" si="28"/>
        <v>1.0001188333333333</v>
      </c>
      <c r="I238" s="364">
        <f t="shared" si="31"/>
        <v>1.0167496500586515</v>
      </c>
      <c r="J238" s="327">
        <f t="shared" si="32"/>
        <v>6.5162176037355719E-7</v>
      </c>
      <c r="L238" s="87"/>
      <c r="M238" s="87">
        <f t="shared" si="29"/>
        <v>217</v>
      </c>
      <c r="N238" s="73">
        <f t="shared" si="30"/>
        <v>1.4260651621760373E-2</v>
      </c>
      <c r="O238" s="3"/>
    </row>
    <row r="239" spans="1:15">
      <c r="A239" s="233">
        <v>1.413E-2</v>
      </c>
      <c r="B239" s="203">
        <v>8954</v>
      </c>
      <c r="C239" s="232">
        <v>44179</v>
      </c>
      <c r="D239" s="232">
        <v>44180</v>
      </c>
      <c r="E239" s="68"/>
      <c r="G239" s="332">
        <f t="shared" si="27"/>
        <v>1</v>
      </c>
      <c r="H239" s="333">
        <f t="shared" si="28"/>
        <v>1.0000392499999999</v>
      </c>
      <c r="I239" s="349">
        <f t="shared" si="31"/>
        <v>1.0168704738087333</v>
      </c>
      <c r="J239" s="326">
        <f t="shared" si="32"/>
        <v>-2.2746025017102608E-9</v>
      </c>
      <c r="L239" s="87"/>
      <c r="M239" s="87">
        <f t="shared" si="29"/>
        <v>218</v>
      </c>
      <c r="N239" s="73">
        <f t="shared" si="30"/>
        <v>1.4129997725397499E-2</v>
      </c>
      <c r="O239" s="3"/>
    </row>
    <row r="240" spans="1:15">
      <c r="A240" s="233">
        <v>1.423E-2</v>
      </c>
      <c r="B240" s="203">
        <v>7081</v>
      </c>
      <c r="C240" s="232">
        <v>44180</v>
      </c>
      <c r="D240" s="232">
        <v>44181</v>
      </c>
      <c r="E240" s="69"/>
      <c r="G240" s="332">
        <f t="shared" si="27"/>
        <v>1</v>
      </c>
      <c r="H240" s="333">
        <f t="shared" si="28"/>
        <v>1.0000395277777778</v>
      </c>
      <c r="I240" s="349">
        <f t="shared" si="31"/>
        <v>1.0169103859748303</v>
      </c>
      <c r="J240" s="326">
        <f t="shared" si="32"/>
        <v>3.4119028043224971E-9</v>
      </c>
      <c r="L240" s="87"/>
      <c r="M240" s="87">
        <f t="shared" si="29"/>
        <v>219</v>
      </c>
      <c r="N240" s="73">
        <f t="shared" si="30"/>
        <v>1.4230003411902803E-2</v>
      </c>
      <c r="O240" s="3"/>
    </row>
    <row r="241" spans="1:18">
      <c r="A241" s="234">
        <v>1.4080000000000001E-2</v>
      </c>
      <c r="B241" s="203">
        <v>7812</v>
      </c>
      <c r="C241" s="236">
        <v>44181</v>
      </c>
      <c r="D241" s="236">
        <v>44182</v>
      </c>
      <c r="E241" s="237"/>
      <c r="G241" s="332">
        <f t="shared" si="27"/>
        <v>1</v>
      </c>
      <c r="H241" s="333">
        <f t="shared" si="28"/>
        <v>1.0000391111111111</v>
      </c>
      <c r="I241" s="349">
        <f t="shared" si="31"/>
        <v>1.016950582182587</v>
      </c>
      <c r="J241" s="326">
        <f t="shared" si="32"/>
        <v>-2.2746028180942757E-9</v>
      </c>
      <c r="K241" s="346"/>
      <c r="L241" s="87"/>
      <c r="M241" s="87">
        <f t="shared" si="29"/>
        <v>220</v>
      </c>
      <c r="N241" s="251">
        <f t="shared" si="30"/>
        <v>1.4079997725397182E-2</v>
      </c>
      <c r="O241" s="23"/>
      <c r="P241" s="348"/>
      <c r="Q241" s="348"/>
      <c r="R241" s="348"/>
    </row>
    <row r="242" spans="1:18" ht="17" thickBot="1">
      <c r="A242" s="238">
        <v>1.418E-2</v>
      </c>
      <c r="B242" s="207">
        <v>7658</v>
      </c>
      <c r="C242" s="240">
        <v>44182</v>
      </c>
      <c r="D242" s="240">
        <v>44183</v>
      </c>
      <c r="E242" s="250"/>
      <c r="F242" s="197" t="s">
        <v>89</v>
      </c>
      <c r="G242" s="336">
        <f t="shared" si="27"/>
        <v>1</v>
      </c>
      <c r="H242" s="337">
        <f>(1+A242*(D242-C242)/360)</f>
        <v>1.000039388888889</v>
      </c>
      <c r="I242" s="366">
        <f t="shared" si="31"/>
        <v>1.0169903562498013</v>
      </c>
      <c r="J242" s="328"/>
      <c r="K242" s="197"/>
      <c r="L242" s="229"/>
      <c r="M242" s="229">
        <f t="shared" ref="M242" si="33">M241+1</f>
        <v>221</v>
      </c>
      <c r="N242" s="252">
        <f t="shared" si="30"/>
        <v>1.418E-2</v>
      </c>
      <c r="O242" s="228"/>
      <c r="P242" s="367"/>
      <c r="Q242" s="367"/>
      <c r="R242" s="367"/>
    </row>
    <row r="243" spans="1:18">
      <c r="B243" s="203">
        <f>AVERAGE(B2:B242)</f>
        <v>7147.1825726141078</v>
      </c>
      <c r="F243" s="368">
        <f>SUM(G182:G242)</f>
        <v>91</v>
      </c>
      <c r="G243" s="329">
        <f>SUM(G2:G242)</f>
        <v>352</v>
      </c>
      <c r="H243" s="338"/>
      <c r="I243" s="330"/>
      <c r="J243" s="331">
        <f>SUM(J2:J242)</f>
        <v>-6.5089302340707713E-5</v>
      </c>
      <c r="K243" s="241"/>
      <c r="L243" s="241"/>
      <c r="M243" s="3"/>
      <c r="N243" s="3"/>
      <c r="O243" s="3"/>
    </row>
    <row r="244" spans="1:18">
      <c r="I244" s="1"/>
      <c r="J244" s="369"/>
      <c r="K244" s="3"/>
      <c r="L244" s="3"/>
      <c r="M244" s="3"/>
      <c r="N244" s="3"/>
      <c r="O244" s="3"/>
    </row>
    <row r="245" spans="1:18">
      <c r="I245" s="1"/>
      <c r="J245" s="369"/>
      <c r="K245" s="3"/>
      <c r="L245" s="3"/>
      <c r="M245" s="3"/>
      <c r="N245" s="3"/>
      <c r="O245" s="3"/>
    </row>
    <row r="246" spans="1:18">
      <c r="I246" s="1"/>
      <c r="J246" s="369"/>
      <c r="K246" s="3"/>
      <c r="L246" s="3"/>
      <c r="M246" s="3"/>
      <c r="N246" s="3"/>
      <c r="O246" s="3"/>
    </row>
    <row r="247" spans="1:18">
      <c r="I247" s="1"/>
      <c r="J247" s="369"/>
      <c r="K247" s="3"/>
      <c r="L247" s="3"/>
      <c r="M247" s="3"/>
      <c r="N247" s="3"/>
      <c r="O247" s="3"/>
    </row>
    <row r="248" spans="1:18">
      <c r="I248" s="1"/>
      <c r="J248" s="369"/>
      <c r="K248" s="3"/>
      <c r="L248" s="3"/>
      <c r="M248" s="3"/>
      <c r="N248" s="3"/>
      <c r="O248" s="3"/>
    </row>
    <row r="249" spans="1:18">
      <c r="I249" s="1"/>
      <c r="J249" s="369"/>
      <c r="K249" s="3"/>
      <c r="L249" s="3"/>
      <c r="M249" s="3"/>
      <c r="N249" s="3"/>
      <c r="O249" s="3"/>
    </row>
    <row r="250" spans="1:18">
      <c r="I250" s="1"/>
      <c r="J250" s="369"/>
      <c r="K250" s="3"/>
      <c r="L250" s="3"/>
      <c r="M250" s="3"/>
      <c r="N250" s="3"/>
      <c r="O250" s="3"/>
    </row>
    <row r="251" spans="1:18">
      <c r="I251" s="1"/>
      <c r="J251" s="369"/>
      <c r="K251" s="3"/>
      <c r="L251" s="3"/>
      <c r="M251" s="3"/>
      <c r="N251" s="3"/>
      <c r="O251" s="3"/>
    </row>
    <row r="252" spans="1:18">
      <c r="I252" s="1"/>
      <c r="J252" s="369"/>
      <c r="K252" s="3"/>
      <c r="L252" s="3"/>
      <c r="M252" s="3"/>
      <c r="N252" s="3"/>
      <c r="O252" s="3"/>
    </row>
    <row r="253" spans="1:18">
      <c r="I253" s="1"/>
      <c r="J253" s="369"/>
      <c r="K253" s="3"/>
      <c r="L253" s="3"/>
      <c r="M253" s="3"/>
      <c r="N253" s="3"/>
      <c r="O253" s="3"/>
    </row>
    <row r="254" spans="1:18">
      <c r="I254" s="1"/>
      <c r="J254" s="369"/>
      <c r="K254" s="3"/>
      <c r="L254" s="3"/>
      <c r="M254" s="3"/>
      <c r="N254" s="3"/>
      <c r="O254" s="3"/>
    </row>
    <row r="255" spans="1:18">
      <c r="I255" s="1"/>
      <c r="J255" s="369"/>
      <c r="K255" s="3"/>
      <c r="L255" s="3"/>
      <c r="M255" s="3"/>
      <c r="N255" s="3"/>
      <c r="O255" s="3"/>
    </row>
    <row r="256" spans="1:18">
      <c r="I256" s="1"/>
      <c r="J256" s="369"/>
      <c r="K256" s="3"/>
      <c r="L256" s="3"/>
      <c r="M256" s="3"/>
      <c r="N256" s="3"/>
      <c r="O256" s="3"/>
    </row>
    <row r="257" spans="9:15">
      <c r="I257" s="1"/>
      <c r="J257" s="369"/>
      <c r="K257" s="3"/>
      <c r="L257" s="3"/>
      <c r="M257" s="3"/>
      <c r="N257" s="3"/>
      <c r="O257" s="3"/>
    </row>
    <row r="258" spans="9:15">
      <c r="I258" s="1"/>
      <c r="J258" s="369"/>
      <c r="K258" s="3"/>
      <c r="L258" s="3"/>
      <c r="M258" s="3"/>
      <c r="N258" s="3"/>
      <c r="O258" s="3"/>
    </row>
    <row r="259" spans="9:15">
      <c r="I259" s="1"/>
      <c r="J259" s="369"/>
      <c r="K259" s="3"/>
      <c r="L259" s="3"/>
      <c r="M259" s="3"/>
      <c r="N259" s="3"/>
      <c r="O259" s="3"/>
    </row>
    <row r="260" spans="9:15">
      <c r="I260" s="1"/>
      <c r="J260" s="369"/>
      <c r="K260" s="3"/>
      <c r="L260" s="3"/>
      <c r="M260" s="3"/>
      <c r="N260" s="3"/>
      <c r="O260" s="3"/>
    </row>
    <row r="261" spans="9:15">
      <c r="I261" s="1"/>
      <c r="J261" s="369"/>
      <c r="K261" s="3"/>
      <c r="L261" s="3"/>
      <c r="M261" s="3"/>
      <c r="N261" s="3"/>
      <c r="O261" s="3"/>
    </row>
    <row r="262" spans="9:15">
      <c r="I262" s="1"/>
      <c r="J262" s="369"/>
      <c r="K262" s="3"/>
      <c r="L262" s="3"/>
      <c r="M262" s="3"/>
      <c r="N262" s="3"/>
      <c r="O262" s="3"/>
    </row>
    <row r="263" spans="9:15">
      <c r="I263" s="1"/>
      <c r="J263" s="369"/>
      <c r="K263" s="3"/>
      <c r="L263" s="3"/>
      <c r="M263" s="3"/>
      <c r="N263" s="3"/>
      <c r="O263" s="3"/>
    </row>
  </sheetData>
  <autoFilter ref="A1:J1" xr:uid="{7E2BDD3E-32FF-A444-85A3-05C890464151}"/>
  <conditionalFormatting sqref="A2:A242">
    <cfRule type="colorScale" priority="3">
      <colorScale>
        <cfvo type="min"/>
        <cfvo type="percentile" val="50"/>
        <cfvo type="max"/>
        <color rgb="FFF8696B"/>
        <color rgb="FFFFEB84"/>
        <color rgb="FF63BE7B"/>
      </colorScale>
    </cfRule>
  </conditionalFormatting>
  <conditionalFormatting sqref="B2:B243">
    <cfRule type="colorScale" priority="2">
      <colorScale>
        <cfvo type="min"/>
        <cfvo type="percentile" val="50"/>
        <cfvo type="max"/>
        <color rgb="FFF8696B"/>
        <color rgb="FFFCFCFF"/>
        <color rgb="FF5A8AC6"/>
      </colorScale>
    </cfRule>
  </conditionalFormatting>
  <conditionalFormatting sqref="R12:R18">
    <cfRule type="colorScale" priority="1">
      <colorScale>
        <cfvo type="min"/>
        <cfvo type="percentile" val="50"/>
        <cfvo type="max"/>
        <color rgb="FFF8696B"/>
        <color rgb="FFFFEB84"/>
        <color rgb="FF63BE7B"/>
      </colorScale>
    </cfRule>
  </conditionalFormatting>
  <hyperlinks>
    <hyperlink ref="Q41" r:id="rId1" xr:uid="{27B65177-DE30-C945-B468-2D2FC8332548}"/>
    <hyperlink ref="Q40" r:id="rId2" xr:uid="{D59FE34F-A78A-964C-85C1-39875C5A52C0}"/>
    <hyperlink ref="Q20" r:id="rId3" xr:uid="{967F1A6A-B1F8-F84B-B7EB-5ACE6710FD10}"/>
  </hyperlinks>
  <pageMargins left="0.7" right="0.7" top="0.75" bottom="0.75" header="0.3" footer="0.3"/>
  <drawing r:id="rId4"/>
  <legacy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485A3-049C-9740-9308-7B723E5A62AB}">
  <sheetPr>
    <tabColor theme="1" tint="0.14999847407452621"/>
  </sheetPr>
  <dimension ref="A1:BK263"/>
  <sheetViews>
    <sheetView showGridLines="0" topLeftCell="O1" workbookViewId="0">
      <pane ySplit="1" topLeftCell="A2" activePane="bottomLeft" state="frozen"/>
      <selection activeCell="D31" sqref="D31"/>
      <selection pane="bottomLeft" activeCell="D31" sqref="D31"/>
    </sheetView>
  </sheetViews>
  <sheetFormatPr baseColWidth="10" defaultRowHeight="16" outlineLevelCol="1"/>
  <cols>
    <col min="1" max="1" width="17.28515625" customWidth="1" outlineLevel="1"/>
    <col min="2" max="2" width="14.85546875" customWidth="1" outlineLevel="1"/>
    <col min="3" max="3" width="20.42578125" customWidth="1" outlineLevel="1"/>
    <col min="4" max="4" width="22.28515625" customWidth="1" outlineLevel="1"/>
    <col min="5" max="5" width="17.28515625" customWidth="1"/>
    <col min="6" max="6" width="26.7109375" customWidth="1"/>
    <col min="7" max="7" width="4.42578125" customWidth="1"/>
    <col min="8" max="8" width="17.85546875" customWidth="1"/>
    <col min="9" max="9" width="23.5703125" style="2" customWidth="1"/>
    <col min="10" max="10" width="16.85546875" style="2" customWidth="1" outlineLevel="1"/>
    <col min="11" max="11" width="23.7109375" style="2" customWidth="1" outlineLevel="1"/>
    <col min="12" max="12" width="16.85546875" style="2" customWidth="1"/>
    <col min="13" max="13" width="20.28515625" style="2" customWidth="1"/>
    <col min="14" max="14" width="16.7109375" style="2" customWidth="1" outlineLevel="1"/>
    <col min="15" max="15" width="21.85546875" style="2" customWidth="1" outlineLevel="1"/>
    <col min="16" max="16" width="20.28515625" style="2" customWidth="1"/>
    <col min="17" max="17" width="2" customWidth="1"/>
    <col min="18" max="18" width="40.85546875" customWidth="1"/>
    <col min="19" max="19" width="7.42578125" customWidth="1"/>
    <col min="20" max="20" width="16.85546875" customWidth="1"/>
    <col min="21" max="21" width="25.5703125" customWidth="1"/>
    <col min="22" max="22" width="25.42578125" customWidth="1"/>
    <col min="23" max="23" width="14.85546875" customWidth="1"/>
    <col min="24" max="24" width="20.7109375" customWidth="1"/>
    <col min="25" max="26" width="7.28515625" customWidth="1"/>
    <col min="27" max="27" width="9" customWidth="1"/>
    <col min="28" max="28" width="15.7109375" customWidth="1"/>
    <col min="29" max="29" width="14.28515625" customWidth="1"/>
    <col min="30" max="30" width="15.42578125" customWidth="1"/>
    <col min="31" max="31" width="18.85546875" customWidth="1"/>
    <col min="32" max="32" width="19.85546875" customWidth="1"/>
    <col min="33" max="33" width="40.42578125" customWidth="1"/>
  </cols>
  <sheetData>
    <row r="1" spans="1:35">
      <c r="A1" s="339" t="s">
        <v>84</v>
      </c>
      <c r="B1" s="339" t="s">
        <v>16</v>
      </c>
      <c r="C1" s="339" t="s">
        <v>85</v>
      </c>
      <c r="D1" s="339" t="s">
        <v>17</v>
      </c>
      <c r="E1" s="344"/>
      <c r="F1" s="340" t="s">
        <v>95</v>
      </c>
      <c r="G1" s="341"/>
      <c r="H1" s="342" t="s">
        <v>90</v>
      </c>
      <c r="I1" s="342" t="s">
        <v>86</v>
      </c>
      <c r="J1" s="343" t="s">
        <v>87</v>
      </c>
      <c r="K1" s="342" t="s">
        <v>1</v>
      </c>
      <c r="L1" s="345"/>
      <c r="M1" s="247"/>
      <c r="N1" s="257" t="s">
        <v>0</v>
      </c>
      <c r="O1" s="257" t="s">
        <v>2</v>
      </c>
      <c r="P1" s="257"/>
      <c r="Q1" s="267"/>
      <c r="R1" s="266"/>
      <c r="S1" s="266"/>
      <c r="T1" s="74"/>
      <c r="U1" s="74"/>
      <c r="V1" s="74"/>
      <c r="W1" s="74"/>
      <c r="X1" s="74"/>
      <c r="Y1" s="74"/>
      <c r="Z1" s="74"/>
      <c r="AA1" s="74"/>
      <c r="AB1" s="74"/>
      <c r="AC1" s="74"/>
      <c r="AD1" s="74"/>
      <c r="AE1" s="74"/>
      <c r="AF1" s="74"/>
    </row>
    <row r="2" spans="1:35" s="7" customFormat="1">
      <c r="A2" s="234">
        <v>2.223E-2</v>
      </c>
      <c r="B2" s="293">
        <v>10343</v>
      </c>
      <c r="C2" s="236">
        <v>43830</v>
      </c>
      <c r="D2" s="236">
        <v>43832</v>
      </c>
      <c r="F2" s="273">
        <f>A2-0.005</f>
        <v>1.7229999999999999E-2</v>
      </c>
      <c r="G2" s="19"/>
      <c r="H2" s="89">
        <f t="shared" ref="H2:H65" si="0">D2-C2</f>
        <v>2</v>
      </c>
      <c r="I2" s="90">
        <f t="shared" ref="I2:I65" si="1">(1+F2*(D2-C2)/360)</f>
        <v>1.0000957222222222</v>
      </c>
      <c r="J2" s="253">
        <v>1</v>
      </c>
      <c r="K2" s="84">
        <f t="shared" ref="K2:K65" si="2">((I3/I2-1)*360/(N2-D2))</f>
        <v>-4.9682744257173953E-5</v>
      </c>
      <c r="L2" s="244" t="str">
        <f ca="1">_xlfn.FORMULATEXT(I2)</f>
        <v>=(1+F2*(D2-C2)/360)</v>
      </c>
      <c r="M2" s="243"/>
      <c r="N2" s="78">
        <f>D242+1</f>
        <v>44184</v>
      </c>
      <c r="O2" s="73">
        <f t="shared" ref="O2:O65" si="3">A2+K2</f>
        <v>2.2180317255742824E-2</v>
      </c>
      <c r="P2" s="70"/>
      <c r="Q2" s="71"/>
      <c r="R2" s="81"/>
      <c r="S2" s="91"/>
      <c r="T2" s="74"/>
      <c r="U2" s="71"/>
      <c r="V2" s="71"/>
      <c r="W2" s="71"/>
      <c r="X2" s="71"/>
      <c r="Y2" s="71"/>
      <c r="Z2" s="71"/>
      <c r="AA2" s="71"/>
      <c r="AB2" s="71"/>
      <c r="AC2" s="71"/>
      <c r="AD2" s="71"/>
      <c r="AE2" s="71"/>
      <c r="AF2" s="71"/>
    </row>
    <row r="3" spans="1:35" s="7" customFormat="1">
      <c r="A3" s="233">
        <v>2.197E-2</v>
      </c>
      <c r="B3" s="293">
        <v>7770</v>
      </c>
      <c r="C3" s="232">
        <v>43832</v>
      </c>
      <c r="D3" s="232">
        <v>43833</v>
      </c>
      <c r="F3" s="273">
        <f t="shared" ref="F3:F66" si="4">A3-0.005</f>
        <v>1.6969999999999999E-2</v>
      </c>
      <c r="G3"/>
      <c r="H3" s="89">
        <f t="shared" si="0"/>
        <v>1</v>
      </c>
      <c r="I3" s="90">
        <f t="shared" si="1"/>
        <v>1.000047138888889</v>
      </c>
      <c r="J3" s="253">
        <f>J2*I2</f>
        <v>1.0000957222222222</v>
      </c>
      <c r="K3" s="84">
        <f t="shared" si="2"/>
        <v>9.5222784031027835E-5</v>
      </c>
      <c r="L3" s="244"/>
      <c r="M3" s="70"/>
      <c r="N3" s="78">
        <f>N2+1</f>
        <v>44185</v>
      </c>
      <c r="O3" s="73">
        <f t="shared" si="3"/>
        <v>2.2065222784031027E-2</v>
      </c>
      <c r="P3" s="70"/>
      <c r="Q3" s="75"/>
      <c r="R3" s="305" t="s">
        <v>96</v>
      </c>
      <c r="S3" s="306">
        <f>(PRODUCT(I2:I242)-1)*(360/S4)</f>
        <v>1.2380316912714287E-2</v>
      </c>
      <c r="T3" s="71"/>
      <c r="Y3" s="257"/>
      <c r="Z3" s="257"/>
      <c r="AA3" s="257"/>
      <c r="AB3" s="257"/>
      <c r="AC3" s="257"/>
      <c r="AD3" s="67"/>
      <c r="AE3" s="67"/>
      <c r="AF3" s="67"/>
    </row>
    <row r="4" spans="1:35" s="7" customFormat="1">
      <c r="A4" s="233">
        <v>2.1829999999999999E-2</v>
      </c>
      <c r="B4" s="293">
        <v>8632</v>
      </c>
      <c r="C4" s="232">
        <v>43833</v>
      </c>
      <c r="D4" s="232">
        <v>43836</v>
      </c>
      <c r="F4" s="273">
        <f t="shared" si="4"/>
        <v>1.6829999999999998E-2</v>
      </c>
      <c r="G4"/>
      <c r="H4" s="89">
        <f t="shared" si="0"/>
        <v>3</v>
      </c>
      <c r="I4" s="90">
        <f t="shared" si="1"/>
        <v>1.0001402500000001</v>
      </c>
      <c r="J4" s="253">
        <f t="shared" ref="J4:J67" si="5">J3*I3</f>
        <v>1.0001428656233504</v>
      </c>
      <c r="K4" s="84">
        <f t="shared" si="2"/>
        <v>-9.5872268200177961E-5</v>
      </c>
      <c r="L4" s="244"/>
      <c r="M4" s="70"/>
      <c r="N4" s="78">
        <f t="shared" ref="N4:N67" si="6">N3+1</f>
        <v>44186</v>
      </c>
      <c r="O4" s="73">
        <f t="shared" si="3"/>
        <v>2.1734127731799821E-2</v>
      </c>
      <c r="P4" s="70"/>
      <c r="Q4" s="71"/>
      <c r="R4" s="300" t="s">
        <v>5</v>
      </c>
      <c r="S4" s="301">
        <f>H243</f>
        <v>351</v>
      </c>
      <c r="T4" s="71"/>
      <c r="Y4" s="258"/>
      <c r="Z4" s="258"/>
      <c r="AA4" s="259"/>
      <c r="AB4" s="251"/>
      <c r="AC4" s="251"/>
      <c r="AD4" s="71"/>
      <c r="AE4" s="71"/>
      <c r="AF4" s="71"/>
    </row>
    <row r="5" spans="1:35" s="7" customFormat="1">
      <c r="A5" s="233">
        <v>2.1930000000000002E-2</v>
      </c>
      <c r="B5" s="293">
        <v>9050</v>
      </c>
      <c r="C5" s="232">
        <v>43836</v>
      </c>
      <c r="D5" s="232">
        <v>43837</v>
      </c>
      <c r="F5" s="273">
        <f t="shared" si="4"/>
        <v>1.6930000000000001E-2</v>
      </c>
      <c r="G5"/>
      <c r="H5" s="89">
        <f t="shared" si="0"/>
        <v>1</v>
      </c>
      <c r="I5" s="90">
        <f t="shared" si="1"/>
        <v>1.0000470277777778</v>
      </c>
      <c r="J5" s="253">
        <f t="shared" si="5"/>
        <v>1.0002831356602542</v>
      </c>
      <c r="K5" s="84">
        <f t="shared" si="2"/>
        <v>-5.9997178471097151E-7</v>
      </c>
      <c r="L5" s="244"/>
      <c r="M5" s="70"/>
      <c r="N5" s="78">
        <f t="shared" si="6"/>
        <v>44187</v>
      </c>
      <c r="O5" s="73">
        <f t="shared" si="3"/>
        <v>2.1929400028215289E-2</v>
      </c>
      <c r="P5" s="70"/>
      <c r="Q5" s="71"/>
      <c r="R5" s="300" t="s">
        <v>6</v>
      </c>
      <c r="S5" s="304">
        <f>A242</f>
        <v>1.418E-2</v>
      </c>
      <c r="T5" s="71"/>
      <c r="Y5" s="258"/>
      <c r="Z5" s="258"/>
      <c r="AA5" s="259"/>
      <c r="AB5" s="251"/>
      <c r="AC5" s="251"/>
      <c r="AD5" s="71"/>
      <c r="AE5" s="71"/>
      <c r="AF5" s="71"/>
    </row>
    <row r="6" spans="1:35" s="7" customFormat="1">
      <c r="A6" s="233">
        <v>2.172E-2</v>
      </c>
      <c r="B6" s="293">
        <v>6809</v>
      </c>
      <c r="C6" s="232">
        <v>43837</v>
      </c>
      <c r="D6" s="232">
        <v>43838</v>
      </c>
      <c r="F6" s="273">
        <f t="shared" si="4"/>
        <v>1.6719999999999999E-2</v>
      </c>
      <c r="G6"/>
      <c r="H6" s="89">
        <f t="shared" si="0"/>
        <v>1</v>
      </c>
      <c r="I6" s="90">
        <f t="shared" si="1"/>
        <v>1.0000464444444443</v>
      </c>
      <c r="J6" s="253">
        <f t="shared" si="5"/>
        <v>1.0003301767532728</v>
      </c>
      <c r="K6" s="84">
        <f t="shared" si="2"/>
        <v>1.1428040662358237E-7</v>
      </c>
      <c r="L6" s="244"/>
      <c r="M6" s="70"/>
      <c r="N6" s="78">
        <f t="shared" si="6"/>
        <v>44188</v>
      </c>
      <c r="O6" s="73">
        <f t="shared" si="3"/>
        <v>2.1720114280406624E-2</v>
      </c>
      <c r="P6" s="70"/>
      <c r="Q6" s="71"/>
      <c r="R6" s="300" t="s">
        <v>7</v>
      </c>
      <c r="S6" s="302">
        <f>S3-S5</f>
        <v>-1.7996830872857132E-3</v>
      </c>
      <c r="T6" s="71"/>
      <c r="Y6" s="258"/>
      <c r="Z6" s="258"/>
      <c r="AA6" s="259"/>
      <c r="AB6" s="251"/>
      <c r="AC6" s="251"/>
      <c r="AD6" s="71"/>
      <c r="AE6" s="71"/>
      <c r="AF6" s="71"/>
    </row>
    <row r="7" spans="1:35" s="7" customFormat="1">
      <c r="A7" s="233">
        <v>2.1760000000000002E-2</v>
      </c>
      <c r="B7" s="293">
        <v>8600</v>
      </c>
      <c r="C7" s="232">
        <v>43838</v>
      </c>
      <c r="D7" s="232">
        <v>43839</v>
      </c>
      <c r="F7" s="273">
        <f t="shared" si="4"/>
        <v>1.6760000000000001E-2</v>
      </c>
      <c r="G7"/>
      <c r="H7" s="89">
        <f t="shared" si="0"/>
        <v>1</v>
      </c>
      <c r="I7" s="90">
        <f t="shared" si="1"/>
        <v>1.0000465555555555</v>
      </c>
      <c r="J7" s="253">
        <f t="shared" si="5"/>
        <v>1.000376636532593</v>
      </c>
      <c r="K7" s="84">
        <f t="shared" si="2"/>
        <v>-1.1428039394800749E-7</v>
      </c>
      <c r="L7" s="244"/>
      <c r="M7" s="70"/>
      <c r="N7" s="78">
        <f t="shared" si="6"/>
        <v>44189</v>
      </c>
      <c r="O7" s="73">
        <f t="shared" si="3"/>
        <v>2.1759885719606055E-2</v>
      </c>
      <c r="P7" s="70"/>
      <c r="Q7" s="71"/>
      <c r="R7" s="307" t="s">
        <v>88</v>
      </c>
      <c r="S7" s="308">
        <f>O242</f>
        <v>1.418E-2</v>
      </c>
      <c r="T7" s="71"/>
      <c r="Y7" s="258"/>
      <c r="Z7" s="258"/>
      <c r="AA7" s="259"/>
      <c r="AB7" s="251"/>
      <c r="AC7" s="251"/>
      <c r="AD7" s="71"/>
      <c r="AE7" s="71"/>
      <c r="AF7" s="71"/>
    </row>
    <row r="8" spans="1:35" s="7" customFormat="1">
      <c r="A8" s="233">
        <v>2.172E-2</v>
      </c>
      <c r="B8" s="293">
        <v>7606</v>
      </c>
      <c r="C8" s="232">
        <v>43839</v>
      </c>
      <c r="D8" s="232">
        <v>43840</v>
      </c>
      <c r="F8" s="273">
        <f t="shared" si="4"/>
        <v>1.6719999999999999E-2</v>
      </c>
      <c r="G8"/>
      <c r="H8" s="89">
        <f t="shared" si="0"/>
        <v>1</v>
      </c>
      <c r="I8" s="90">
        <f t="shared" si="1"/>
        <v>1.0000464444444443</v>
      </c>
      <c r="J8" s="253">
        <f t="shared" si="5"/>
        <v>1.0004232096226715</v>
      </c>
      <c r="K8" s="84">
        <f t="shared" si="2"/>
        <v>9.6224102353760699E-5</v>
      </c>
      <c r="L8" s="244"/>
      <c r="M8" s="70"/>
      <c r="N8" s="78">
        <f t="shared" si="6"/>
        <v>44190</v>
      </c>
      <c r="O8" s="73">
        <f t="shared" si="3"/>
        <v>2.181622410235376E-2</v>
      </c>
      <c r="P8" s="70"/>
      <c r="Q8" s="71"/>
      <c r="R8" s="29"/>
      <c r="S8" s="29"/>
      <c r="T8" s="71"/>
      <c r="Y8" s="258"/>
      <c r="Z8" s="258"/>
      <c r="AA8" s="259"/>
      <c r="AB8" s="251"/>
      <c r="AC8" s="251"/>
      <c r="AD8" s="67"/>
      <c r="AE8" s="67"/>
      <c r="AF8" s="67"/>
    </row>
    <row r="9" spans="1:35" s="7" customFormat="1">
      <c r="A9" s="233">
        <v>2.18E-2</v>
      </c>
      <c r="B9" s="293">
        <v>8606</v>
      </c>
      <c r="C9" s="232">
        <v>43840</v>
      </c>
      <c r="D9" s="232">
        <v>43843</v>
      </c>
      <c r="F9" s="273">
        <f t="shared" si="4"/>
        <v>1.6799999999999999E-2</v>
      </c>
      <c r="G9"/>
      <c r="H9" s="89">
        <f t="shared" si="0"/>
        <v>3</v>
      </c>
      <c r="I9" s="90">
        <f t="shared" si="1"/>
        <v>1.00014</v>
      </c>
      <c r="J9" s="253">
        <f t="shared" si="5"/>
        <v>1.0004696737228516</v>
      </c>
      <c r="K9" s="84">
        <f t="shared" si="2"/>
        <v>-9.5963576593414456E-5</v>
      </c>
      <c r="L9" s="244"/>
      <c r="M9" s="70"/>
      <c r="N9" s="78">
        <f t="shared" si="6"/>
        <v>44191</v>
      </c>
      <c r="O9" s="73">
        <f t="shared" si="3"/>
        <v>2.1704036423406587E-2</v>
      </c>
      <c r="P9" s="70"/>
      <c r="Q9" s="71"/>
      <c r="R9" s="255"/>
      <c r="S9" s="256"/>
      <c r="T9" s="71"/>
      <c r="AD9" s="67"/>
      <c r="AE9" s="67"/>
      <c r="AF9" s="67"/>
    </row>
    <row r="10" spans="1:35" s="7" customFormat="1">
      <c r="A10" s="233">
        <v>2.1999999999999999E-2</v>
      </c>
      <c r="B10" s="293">
        <v>7872</v>
      </c>
      <c r="C10" s="232">
        <v>43843</v>
      </c>
      <c r="D10" s="232">
        <v>43844</v>
      </c>
      <c r="F10" s="273">
        <f t="shared" si="4"/>
        <v>1.6999999999999998E-2</v>
      </c>
      <c r="G10"/>
      <c r="H10" s="89">
        <f t="shared" si="0"/>
        <v>1</v>
      </c>
      <c r="I10" s="90">
        <f t="shared" si="1"/>
        <v>1.0000472222222223</v>
      </c>
      <c r="J10" s="253">
        <f t="shared" si="5"/>
        <v>1.0006097394771727</v>
      </c>
      <c r="K10" s="84">
        <f t="shared" si="2"/>
        <v>-6.8962260695074724E-7</v>
      </c>
      <c r="L10" s="244"/>
      <c r="M10" s="70"/>
      <c r="N10" s="78">
        <f t="shared" si="6"/>
        <v>44192</v>
      </c>
      <c r="O10" s="73">
        <f t="shared" si="3"/>
        <v>2.1999310377393048E-2</v>
      </c>
      <c r="P10" s="70"/>
      <c r="Q10" s="71"/>
      <c r="R10" s="74"/>
      <c r="S10" s="74"/>
      <c r="T10" s="71"/>
      <c r="V10" s="79"/>
      <c r="Y10" s="71"/>
      <c r="Z10" s="71"/>
      <c r="AA10" s="71"/>
      <c r="AB10" s="71"/>
      <c r="AC10" s="71"/>
      <c r="AD10" s="71"/>
      <c r="AE10" s="71"/>
      <c r="AF10" s="71"/>
      <c r="AG10" s="8"/>
      <c r="AH10" s="8"/>
      <c r="AI10" s="8"/>
    </row>
    <row r="11" spans="1:35" s="7" customFormat="1">
      <c r="A11" s="233">
        <v>2.1760000000000002E-2</v>
      </c>
      <c r="B11" s="293">
        <v>6975</v>
      </c>
      <c r="C11" s="232">
        <v>43844</v>
      </c>
      <c r="D11" s="232">
        <v>43845</v>
      </c>
      <c r="F11" s="273">
        <f t="shared" si="4"/>
        <v>1.6760000000000001E-2</v>
      </c>
      <c r="G11"/>
      <c r="H11" s="89">
        <f t="shared" si="0"/>
        <v>1</v>
      </c>
      <c r="I11" s="90">
        <f t="shared" si="1"/>
        <v>1.0000465555555555</v>
      </c>
      <c r="J11" s="253">
        <f t="shared" si="5"/>
        <v>1.0006569904926481</v>
      </c>
      <c r="K11" s="84">
        <f t="shared" si="2"/>
        <v>-3.4481153334896506E-7</v>
      </c>
      <c r="L11" s="244"/>
      <c r="M11" s="70"/>
      <c r="N11" s="78">
        <f t="shared" si="6"/>
        <v>44193</v>
      </c>
      <c r="O11" s="73">
        <f t="shared" si="3"/>
        <v>2.1759655188466651E-2</v>
      </c>
      <c r="P11" s="70"/>
      <c r="Q11" s="309"/>
      <c r="R11" s="310" t="s">
        <v>110</v>
      </c>
      <c r="S11" s="311"/>
      <c r="V11" s="265"/>
      <c r="W11" s="81"/>
      <c r="X11" s="81"/>
      <c r="Y11" s="71"/>
      <c r="Z11" s="71"/>
      <c r="AA11" s="71"/>
      <c r="AB11" s="71"/>
      <c r="AC11" s="71"/>
      <c r="AD11" s="71"/>
      <c r="AE11" s="71"/>
      <c r="AF11" s="71"/>
    </row>
    <row r="12" spans="1:35" s="7" customFormat="1">
      <c r="A12" s="233">
        <v>2.164E-2</v>
      </c>
      <c r="B12" s="293">
        <v>7883</v>
      </c>
      <c r="C12" s="232">
        <v>43845</v>
      </c>
      <c r="D12" s="232">
        <v>43846</v>
      </c>
      <c r="F12" s="273">
        <f t="shared" si="4"/>
        <v>1.6639999999999999E-2</v>
      </c>
      <c r="G12"/>
      <c r="H12" s="89">
        <f t="shared" si="0"/>
        <v>1</v>
      </c>
      <c r="I12" s="90">
        <f t="shared" si="1"/>
        <v>1.0000462222222222</v>
      </c>
      <c r="J12" s="253">
        <f t="shared" si="5"/>
        <v>1.0007035766347609</v>
      </c>
      <c r="K12" s="84">
        <f t="shared" si="2"/>
        <v>-8.6202912049905692E-8</v>
      </c>
      <c r="L12" s="244"/>
      <c r="M12" s="70"/>
      <c r="N12" s="78">
        <f t="shared" si="6"/>
        <v>44194</v>
      </c>
      <c r="O12" s="73">
        <f t="shared" si="3"/>
        <v>2.1639913797087948E-2</v>
      </c>
      <c r="P12" s="70"/>
      <c r="Q12" s="299">
        <v>1</v>
      </c>
      <c r="R12" s="323" t="s">
        <v>103</v>
      </c>
      <c r="S12" s="264">
        <f>A242</f>
        <v>1.418E-2</v>
      </c>
      <c r="T12" s="303" t="str" cm="1">
        <f t="array" aca="1" ref="T12:T18" ca="1">_xlfn.FORMULATEXT(S12:S18)</f>
        <v>=A242</v>
      </c>
      <c r="V12" s="76"/>
      <c r="W12" s="230"/>
      <c r="X12" s="230"/>
      <c r="Y12" s="71"/>
      <c r="Z12" s="71"/>
      <c r="AA12" s="71"/>
      <c r="AB12" s="71"/>
      <c r="AC12" s="71"/>
      <c r="AD12" s="71"/>
      <c r="AE12" s="71"/>
      <c r="AF12" s="71"/>
    </row>
    <row r="13" spans="1:35" s="7" customFormat="1">
      <c r="A13" s="233">
        <v>2.1610000000000001E-2</v>
      </c>
      <c r="B13" s="293">
        <v>7139</v>
      </c>
      <c r="C13" s="232">
        <v>43846</v>
      </c>
      <c r="D13" s="232">
        <v>43847</v>
      </c>
      <c r="F13" s="273">
        <f t="shared" si="4"/>
        <v>1.661E-2</v>
      </c>
      <c r="G13"/>
      <c r="H13" s="89">
        <f t="shared" si="0"/>
        <v>1</v>
      </c>
      <c r="I13" s="90">
        <f t="shared" si="1"/>
        <v>1.0000461388888888</v>
      </c>
      <c r="J13" s="253">
        <f t="shared" si="5"/>
        <v>1.0007498313778587</v>
      </c>
      <c r="K13" s="84">
        <f t="shared" si="2"/>
        <v>9.8817279760978841E-5</v>
      </c>
      <c r="L13" s="244"/>
      <c r="M13" s="70"/>
      <c r="N13" s="78">
        <f t="shared" si="6"/>
        <v>44195</v>
      </c>
      <c r="O13" s="73">
        <f t="shared" si="3"/>
        <v>2.170881727976098E-2</v>
      </c>
      <c r="P13" s="70"/>
      <c r="Q13" s="299">
        <v>2</v>
      </c>
      <c r="R13" s="323" t="s">
        <v>104</v>
      </c>
      <c r="S13" s="200">
        <f>(PRODUCT(I238:I242)-1)*(360/7)</f>
        <v>9.2006032654065196E-3</v>
      </c>
      <c r="T13" s="7" t="str">
        <f ca="1"/>
        <v>=(PRODUCT(I238:I242)-1)*(360/7)</v>
      </c>
      <c r="V13" s="76"/>
      <c r="W13" s="81"/>
      <c r="X13" s="81"/>
      <c r="Y13" s="71"/>
      <c r="Z13" s="71"/>
      <c r="AA13" s="71"/>
      <c r="AB13" s="82"/>
      <c r="AC13" s="71"/>
      <c r="AD13" s="71"/>
      <c r="AE13" s="71"/>
      <c r="AF13" s="71"/>
    </row>
    <row r="14" spans="1:35" s="7" customFormat="1">
      <c r="A14" s="233">
        <v>2.1999999999999999E-2</v>
      </c>
      <c r="B14" s="293">
        <v>6876</v>
      </c>
      <c r="C14" s="232">
        <v>43847</v>
      </c>
      <c r="D14" s="232">
        <v>43850</v>
      </c>
      <c r="F14" s="273">
        <f t="shared" si="4"/>
        <v>1.6999999999999998E-2</v>
      </c>
      <c r="G14"/>
      <c r="H14" s="89">
        <f t="shared" si="0"/>
        <v>3</v>
      </c>
      <c r="I14" s="90">
        <f t="shared" si="1"/>
        <v>1.0001416666666667</v>
      </c>
      <c r="J14" s="253">
        <f t="shared" si="5"/>
        <v>1.0007960048631341</v>
      </c>
      <c r="K14" s="84">
        <f t="shared" si="2"/>
        <v>-9.8916622649934772E-5</v>
      </c>
      <c r="L14" s="244"/>
      <c r="M14" s="70"/>
      <c r="N14" s="78">
        <f t="shared" si="6"/>
        <v>44196</v>
      </c>
      <c r="O14" s="73">
        <f t="shared" si="3"/>
        <v>2.1901083377350063E-2</v>
      </c>
      <c r="P14" s="70"/>
      <c r="Q14" s="299">
        <v>3</v>
      </c>
      <c r="R14" s="324" t="s">
        <v>105</v>
      </c>
      <c r="S14" s="200">
        <f>(PRODUCT(I233:I242)-1)*(360/14)</f>
        <v>9.2342942329423239E-3</v>
      </c>
      <c r="T14" s="7" t="str">
        <f ca="1"/>
        <v>=(PRODUCT(I233:I242)-1)*(360/14)</v>
      </c>
      <c r="V14" s="76"/>
      <c r="W14" s="81"/>
      <c r="X14" s="81"/>
      <c r="Y14" s="71"/>
      <c r="Z14" s="71"/>
      <c r="AA14" s="71"/>
      <c r="AB14" s="71"/>
      <c r="AC14" s="71"/>
      <c r="AD14" s="71"/>
      <c r="AE14" s="71"/>
      <c r="AF14" s="71"/>
    </row>
    <row r="15" spans="1:35" s="7" customFormat="1">
      <c r="A15" s="233">
        <v>2.1770000000000001E-2</v>
      </c>
      <c r="B15" s="293">
        <v>7920</v>
      </c>
      <c r="C15" s="232">
        <v>43850</v>
      </c>
      <c r="D15" s="232">
        <v>43851</v>
      </c>
      <c r="F15" s="273">
        <f t="shared" si="4"/>
        <v>1.677E-2</v>
      </c>
      <c r="G15"/>
      <c r="H15" s="89">
        <f t="shared" si="0"/>
        <v>1</v>
      </c>
      <c r="I15" s="90">
        <f t="shared" si="1"/>
        <v>1.0000465833333334</v>
      </c>
      <c r="J15" s="253">
        <f t="shared" si="5"/>
        <v>1.0009377842971565</v>
      </c>
      <c r="K15" s="84">
        <f t="shared" si="2"/>
        <v>-5.4910736882318665E-7</v>
      </c>
      <c r="L15" s="244"/>
      <c r="M15" s="70"/>
      <c r="N15" s="78">
        <f t="shared" si="6"/>
        <v>44197</v>
      </c>
      <c r="O15" s="73">
        <f t="shared" si="3"/>
        <v>2.1769450892631177E-2</v>
      </c>
      <c r="P15" s="70"/>
      <c r="Q15" s="299">
        <v>4</v>
      </c>
      <c r="R15" s="324" t="s">
        <v>106</v>
      </c>
      <c r="S15" s="200">
        <f>(PRODUCT(I221:I242)-1)*(360/30)</f>
        <v>9.5258877298940448E-3</v>
      </c>
      <c r="T15" s="7" t="str">
        <f ca="1"/>
        <v>=(PRODUCT(I221:I242)-1)*(360/30)</v>
      </c>
      <c r="V15" s="76"/>
      <c r="W15" s="71"/>
      <c r="X15" s="71"/>
      <c r="Y15" s="71"/>
      <c r="Z15" s="71"/>
      <c r="AA15" s="71"/>
      <c r="AB15" s="71"/>
      <c r="AC15" s="71"/>
      <c r="AD15" s="71"/>
      <c r="AE15" s="71"/>
      <c r="AF15" s="71"/>
    </row>
    <row r="16" spans="1:35" s="7" customFormat="1">
      <c r="A16" s="233">
        <v>2.1579999999999998E-2</v>
      </c>
      <c r="B16" s="293">
        <v>7903</v>
      </c>
      <c r="C16" s="232">
        <v>43851</v>
      </c>
      <c r="D16" s="232">
        <v>43852</v>
      </c>
      <c r="F16" s="273">
        <f t="shared" si="4"/>
        <v>1.6579999999999998E-2</v>
      </c>
      <c r="G16"/>
      <c r="H16" s="89">
        <f t="shared" si="0"/>
        <v>1</v>
      </c>
      <c r="I16" s="90">
        <f t="shared" si="1"/>
        <v>1.0000460555555555</v>
      </c>
      <c r="J16" s="253">
        <f t="shared" si="5"/>
        <v>1.0009844113156083</v>
      </c>
      <c r="K16" s="84">
        <f t="shared" si="2"/>
        <v>-4.046056430935714E-7</v>
      </c>
      <c r="L16" s="244"/>
      <c r="M16" s="70"/>
      <c r="N16" s="78">
        <f t="shared" si="6"/>
        <v>44198</v>
      </c>
      <c r="O16" s="73">
        <f t="shared" si="3"/>
        <v>2.1579595394356905E-2</v>
      </c>
      <c r="P16" s="70"/>
      <c r="Q16" s="299">
        <v>5</v>
      </c>
      <c r="R16" s="324" t="s">
        <v>107</v>
      </c>
      <c r="S16" s="200">
        <f>(PRODUCT(I182:I242)-1)*(360/90)</f>
        <v>9.3344002126736214E-3</v>
      </c>
      <c r="T16" s="7" t="str">
        <f ca="1"/>
        <v>=(PRODUCT(I182:I242)-1)*(360/90)</v>
      </c>
      <c r="V16" s="76"/>
      <c r="W16" s="71"/>
      <c r="X16" s="71"/>
      <c r="Y16" s="71"/>
      <c r="Z16" s="71"/>
      <c r="AA16" s="71"/>
      <c r="AB16" s="71"/>
      <c r="AC16" s="71"/>
      <c r="AD16" s="71"/>
      <c r="AE16" s="71"/>
      <c r="AF16" s="71"/>
    </row>
    <row r="17" spans="1:32" s="7" customFormat="1">
      <c r="A17" s="233">
        <v>2.1440000000000001E-2</v>
      </c>
      <c r="B17" s="293">
        <v>8167</v>
      </c>
      <c r="C17" s="232">
        <v>43852</v>
      </c>
      <c r="D17" s="232">
        <v>43853</v>
      </c>
      <c r="F17" s="273">
        <f t="shared" si="4"/>
        <v>1.644E-2</v>
      </c>
      <c r="G17"/>
      <c r="H17" s="89">
        <f t="shared" si="0"/>
        <v>1</v>
      </c>
      <c r="I17" s="90">
        <f t="shared" si="1"/>
        <v>1.0000456666666666</v>
      </c>
      <c r="J17" s="253">
        <f t="shared" si="5"/>
        <v>1.0010305122087739</v>
      </c>
      <c r="K17" s="84">
        <f t="shared" si="2"/>
        <v>9.5371367265989469E-7</v>
      </c>
      <c r="L17" s="244"/>
      <c r="M17" s="70"/>
      <c r="N17" s="78">
        <f t="shared" si="6"/>
        <v>44199</v>
      </c>
      <c r="O17" s="73">
        <f t="shared" si="3"/>
        <v>2.1440953713672661E-2</v>
      </c>
      <c r="P17" s="70"/>
      <c r="Q17" s="299">
        <v>6</v>
      </c>
      <c r="R17" s="77" t="s">
        <v>108</v>
      </c>
      <c r="S17" s="200">
        <f>(PRODUCT(I122:I242)-1)*(360/180)</f>
        <v>9.2721723337065853E-3</v>
      </c>
      <c r="T17" s="7" t="str">
        <f ca="1"/>
        <v>=(PRODUCT(I122:I242)-1)*(360/180)</v>
      </c>
      <c r="W17" s="71"/>
      <c r="X17" s="71"/>
      <c r="Y17" s="71"/>
      <c r="Z17" s="71"/>
      <c r="AA17" s="71"/>
      <c r="AB17" s="71"/>
      <c r="AC17" s="71"/>
      <c r="AD17" s="71"/>
      <c r="AE17" s="71"/>
      <c r="AF17" s="71"/>
    </row>
    <row r="18" spans="1:32" s="7" customFormat="1">
      <c r="A18" s="233">
        <v>2.1770000000000001E-2</v>
      </c>
      <c r="B18" s="293">
        <v>8716</v>
      </c>
      <c r="C18" s="232">
        <v>43853</v>
      </c>
      <c r="D18" s="232">
        <v>43854</v>
      </c>
      <c r="F18" s="273">
        <f t="shared" si="4"/>
        <v>1.677E-2</v>
      </c>
      <c r="G18"/>
      <c r="H18" s="89">
        <f t="shared" si="0"/>
        <v>1</v>
      </c>
      <c r="I18" s="90">
        <f t="shared" si="1"/>
        <v>1.0000465833333334</v>
      </c>
      <c r="J18" s="253">
        <f t="shared" si="5"/>
        <v>1.0010762259354982</v>
      </c>
      <c r="K18" s="84">
        <f t="shared" si="2"/>
        <v>1.0109355662117248E-4</v>
      </c>
      <c r="L18" s="244"/>
      <c r="M18" s="70"/>
      <c r="N18" s="78">
        <f t="shared" si="6"/>
        <v>44200</v>
      </c>
      <c r="O18" s="73">
        <f t="shared" si="3"/>
        <v>2.1871093556621174E-2</v>
      </c>
      <c r="P18" s="70"/>
      <c r="Q18" s="312">
        <v>7</v>
      </c>
      <c r="R18" s="309" t="s">
        <v>109</v>
      </c>
      <c r="S18" s="313">
        <f>(PRODUCT(I2:I244)-1)*(360/352)</f>
        <v>1.2345145557848622E-2</v>
      </c>
      <c r="T18" s="7" t="str">
        <f ca="1"/>
        <v>=(PRODUCT(I2:I244)-1)*(360/352)</v>
      </c>
      <c r="V18" s="71"/>
      <c r="W18" s="71"/>
      <c r="X18" s="71"/>
      <c r="Y18" s="71"/>
      <c r="Z18" s="71"/>
      <c r="AA18" s="71"/>
      <c r="AB18" s="71"/>
      <c r="AC18" s="71"/>
      <c r="AD18" s="71"/>
      <c r="AE18" s="71"/>
      <c r="AF18" s="71"/>
    </row>
    <row r="19" spans="1:32" s="7" customFormat="1">
      <c r="A19" s="233">
        <v>2.2249999999999999E-2</v>
      </c>
      <c r="B19" s="293">
        <v>7691</v>
      </c>
      <c r="C19" s="232">
        <v>43854</v>
      </c>
      <c r="D19" s="232">
        <v>43857</v>
      </c>
      <c r="F19" s="273">
        <f t="shared" si="4"/>
        <v>1.7249999999999998E-2</v>
      </c>
      <c r="G19"/>
      <c r="H19" s="89">
        <f t="shared" si="0"/>
        <v>3</v>
      </c>
      <c r="I19" s="90">
        <f t="shared" si="1"/>
        <v>1.0001437500000001</v>
      </c>
      <c r="J19" s="253">
        <f t="shared" si="5"/>
        <v>1.001122859403023</v>
      </c>
      <c r="K19" s="84">
        <f t="shared" si="2"/>
        <v>-1.001890861909651E-4</v>
      </c>
      <c r="L19" s="244"/>
      <c r="M19" s="70"/>
      <c r="N19" s="78">
        <f t="shared" si="6"/>
        <v>44201</v>
      </c>
      <c r="O19" s="73">
        <f t="shared" si="3"/>
        <v>2.2149810913809034E-2</v>
      </c>
      <c r="P19" s="70"/>
      <c r="Q19" s="71"/>
      <c r="T19" s="71"/>
      <c r="U19" s="71"/>
      <c r="V19" s="71"/>
      <c r="W19" s="71"/>
      <c r="X19" s="71"/>
      <c r="Y19" s="71"/>
      <c r="Z19" s="71"/>
      <c r="AA19" s="71"/>
      <c r="AB19" s="71"/>
      <c r="AD19" s="71"/>
      <c r="AE19" s="71"/>
      <c r="AF19" s="71"/>
    </row>
    <row r="20" spans="1:32" s="7" customFormat="1">
      <c r="A20" s="233">
        <v>2.2280000000000001E-2</v>
      </c>
      <c r="B20" s="293">
        <v>7770</v>
      </c>
      <c r="C20" s="232">
        <v>43857</v>
      </c>
      <c r="D20" s="232">
        <v>43858</v>
      </c>
      <c r="F20" s="273">
        <f t="shared" si="4"/>
        <v>1.728E-2</v>
      </c>
      <c r="G20"/>
      <c r="H20" s="89">
        <f t="shared" si="0"/>
        <v>1</v>
      </c>
      <c r="I20" s="90">
        <f t="shared" si="1"/>
        <v>1.000048</v>
      </c>
      <c r="J20" s="253">
        <f t="shared" si="5"/>
        <v>1.0012667708140623</v>
      </c>
      <c r="K20" s="84">
        <f t="shared" si="2"/>
        <v>5.5229907089587213E-7</v>
      </c>
      <c r="L20" s="244"/>
      <c r="M20" s="70"/>
      <c r="N20" s="78">
        <f t="shared" si="6"/>
        <v>44202</v>
      </c>
      <c r="O20" s="73">
        <f t="shared" si="3"/>
        <v>2.2280552299070899E-2</v>
      </c>
      <c r="P20" s="70"/>
      <c r="Q20" s="71"/>
      <c r="S20" s="71"/>
      <c r="T20" s="71"/>
      <c r="U20" s="71"/>
      <c r="V20" s="71"/>
      <c r="W20" s="71"/>
      <c r="X20" s="71"/>
      <c r="Y20" s="71"/>
      <c r="Z20" s="71"/>
      <c r="AA20" s="71"/>
      <c r="AB20" s="71"/>
      <c r="AC20" s="71"/>
      <c r="AD20" s="71"/>
      <c r="AE20" s="71"/>
      <c r="AF20" s="71"/>
    </row>
    <row r="21" spans="1:32" s="7" customFormat="1">
      <c r="A21" s="233">
        <v>2.247E-2</v>
      </c>
      <c r="B21" s="293">
        <v>7383</v>
      </c>
      <c r="C21" s="232">
        <v>43858</v>
      </c>
      <c r="D21" s="232">
        <v>43859</v>
      </c>
      <c r="F21" s="273">
        <f t="shared" si="4"/>
        <v>1.7469999999999999E-2</v>
      </c>
      <c r="G21"/>
      <c r="H21" s="89">
        <f t="shared" si="0"/>
        <v>1</v>
      </c>
      <c r="I21" s="90">
        <f t="shared" si="1"/>
        <v>1.0000485277777778</v>
      </c>
      <c r="J21" s="253">
        <f t="shared" si="5"/>
        <v>1.0013148316190614</v>
      </c>
      <c r="K21" s="84">
        <f t="shared" si="2"/>
        <v>1.1045975592344859E-6</v>
      </c>
      <c r="L21" s="244"/>
      <c r="M21" s="70"/>
      <c r="N21" s="78">
        <f t="shared" si="6"/>
        <v>44203</v>
      </c>
      <c r="O21" s="73">
        <f t="shared" si="3"/>
        <v>2.2471104597559233E-2</v>
      </c>
      <c r="P21" s="70"/>
      <c r="Q21" s="71"/>
      <c r="S21" s="71"/>
      <c r="T21" s="71"/>
      <c r="U21" s="71"/>
      <c r="V21" s="71"/>
      <c r="W21" s="71"/>
      <c r="X21" s="71"/>
      <c r="Y21" s="71"/>
      <c r="Z21" s="71"/>
      <c r="AA21" s="71"/>
      <c r="AB21" s="71"/>
      <c r="AC21" s="71"/>
      <c r="AD21" s="71"/>
      <c r="AE21" s="71"/>
      <c r="AF21" s="71"/>
    </row>
    <row r="22" spans="1:32" s="7" customFormat="1">
      <c r="A22" s="233">
        <v>2.2849999999999999E-2</v>
      </c>
      <c r="B22" s="293">
        <v>7574</v>
      </c>
      <c r="C22" s="232">
        <v>43859</v>
      </c>
      <c r="D22" s="232">
        <v>43860</v>
      </c>
      <c r="F22" s="273">
        <f t="shared" si="4"/>
        <v>1.7849999999999998E-2</v>
      </c>
      <c r="G22"/>
      <c r="H22" s="89">
        <f t="shared" si="0"/>
        <v>1</v>
      </c>
      <c r="I22" s="90">
        <f t="shared" si="1"/>
        <v>1.0000495833333334</v>
      </c>
      <c r="J22" s="253">
        <f t="shared" si="5"/>
        <v>1.0013634232026958</v>
      </c>
      <c r="K22" s="84">
        <f t="shared" si="2"/>
        <v>-1.9475778513167433E-6</v>
      </c>
      <c r="L22" s="244"/>
      <c r="M22" s="70"/>
      <c r="N22" s="78">
        <f t="shared" si="6"/>
        <v>44204</v>
      </c>
      <c r="O22" s="73">
        <f t="shared" si="3"/>
        <v>2.2848052422148681E-2</v>
      </c>
      <c r="P22" s="70"/>
      <c r="Q22" s="71"/>
      <c r="R22" s="71"/>
      <c r="S22" s="71"/>
      <c r="T22" s="71"/>
      <c r="U22" s="71"/>
      <c r="V22" s="71"/>
      <c r="W22" s="71"/>
      <c r="X22" s="71"/>
      <c r="Y22" s="71"/>
      <c r="Z22" s="71"/>
      <c r="AA22" s="71"/>
      <c r="AB22" s="71"/>
      <c r="AC22" s="71"/>
      <c r="AD22" s="71"/>
      <c r="AE22" s="71"/>
      <c r="AF22" s="71"/>
    </row>
    <row r="23" spans="1:32" s="7" customFormat="1">
      <c r="A23" s="233">
        <v>2.2179999999999998E-2</v>
      </c>
      <c r="B23" s="293">
        <v>4892</v>
      </c>
      <c r="C23" s="232">
        <v>43860</v>
      </c>
      <c r="D23" s="232">
        <v>43861</v>
      </c>
      <c r="F23" s="273">
        <f t="shared" si="4"/>
        <v>1.7179999999999997E-2</v>
      </c>
      <c r="G23"/>
      <c r="H23" s="89">
        <f t="shared" si="0"/>
        <v>1</v>
      </c>
      <c r="I23" s="90">
        <f t="shared" si="1"/>
        <v>1.0000477222222222</v>
      </c>
      <c r="J23" s="253">
        <f t="shared" si="5"/>
        <v>1.0014130741390963</v>
      </c>
      <c r="K23" s="84">
        <f t="shared" si="2"/>
        <v>1.0240790356486838E-4</v>
      </c>
      <c r="L23" s="244"/>
      <c r="M23" s="70"/>
      <c r="N23" s="78">
        <f t="shared" si="6"/>
        <v>44205</v>
      </c>
      <c r="O23" s="73">
        <f t="shared" si="3"/>
        <v>2.2282407903564866E-2</v>
      </c>
      <c r="P23" s="70"/>
      <c r="Q23" s="71"/>
      <c r="R23" s="71"/>
      <c r="S23" s="71"/>
      <c r="T23" s="71"/>
      <c r="U23" s="71"/>
      <c r="V23" s="71"/>
      <c r="W23" s="71"/>
      <c r="X23" s="71"/>
      <c r="Y23" s="71"/>
      <c r="Z23" s="71"/>
      <c r="AA23" s="71"/>
      <c r="AB23" s="71"/>
      <c r="AC23" s="71"/>
      <c r="AD23" s="71"/>
      <c r="AE23" s="71"/>
      <c r="AF23" s="71"/>
    </row>
    <row r="24" spans="1:32" s="7" customFormat="1">
      <c r="A24" s="233">
        <v>2.247E-2</v>
      </c>
      <c r="B24" s="293">
        <v>6231</v>
      </c>
      <c r="C24" s="232">
        <v>43861</v>
      </c>
      <c r="D24" s="232">
        <v>43864</v>
      </c>
      <c r="F24" s="273">
        <f t="shared" si="4"/>
        <v>1.7469999999999999E-2</v>
      </c>
      <c r="G24"/>
      <c r="H24" s="89">
        <f t="shared" si="0"/>
        <v>3</v>
      </c>
      <c r="I24" s="90">
        <f t="shared" si="1"/>
        <v>1.0001455833333333</v>
      </c>
      <c r="J24" s="253">
        <f t="shared" si="5"/>
        <v>1.0014608637963565</v>
      </c>
      <c r="K24" s="84">
        <f t="shared" si="2"/>
        <v>-1.0320134987240019E-4</v>
      </c>
      <c r="L24" s="244"/>
      <c r="M24" s="70"/>
      <c r="N24" s="78">
        <f t="shared" si="6"/>
        <v>44206</v>
      </c>
      <c r="O24" s="73">
        <f t="shared" si="3"/>
        <v>2.2366798650127601E-2</v>
      </c>
      <c r="P24" s="70"/>
      <c r="Q24" s="71"/>
      <c r="R24" s="71"/>
      <c r="S24" s="71"/>
      <c r="T24" s="71"/>
      <c r="U24" s="71"/>
      <c r="V24" s="71"/>
      <c r="W24" s="71"/>
      <c r="X24" s="71"/>
      <c r="Y24" s="71"/>
      <c r="Z24" s="71"/>
      <c r="AA24" s="71"/>
      <c r="AB24" s="71"/>
      <c r="AC24" s="71"/>
      <c r="AD24" s="71"/>
      <c r="AE24" s="71"/>
      <c r="AF24" s="71"/>
    </row>
    <row r="25" spans="1:32" s="7" customFormat="1">
      <c r="A25" s="233">
        <v>2.2110000000000001E-2</v>
      </c>
      <c r="B25" s="293">
        <v>7044</v>
      </c>
      <c r="C25" s="232">
        <v>43864</v>
      </c>
      <c r="D25" s="232">
        <v>43865</v>
      </c>
      <c r="F25" s="273">
        <f t="shared" si="4"/>
        <v>1.711E-2</v>
      </c>
      <c r="G25"/>
      <c r="H25" s="89">
        <f t="shared" si="0"/>
        <v>1</v>
      </c>
      <c r="I25" s="90">
        <f t="shared" si="1"/>
        <v>1.0000475277777778</v>
      </c>
      <c r="J25" s="253">
        <f t="shared" si="5"/>
        <v>1.0016066598071107</v>
      </c>
      <c r="K25" s="84">
        <f t="shared" si="2"/>
        <v>-9.6486642289929745E-7</v>
      </c>
      <c r="L25" s="244"/>
      <c r="M25" s="70"/>
      <c r="N25" s="78">
        <f t="shared" si="6"/>
        <v>44207</v>
      </c>
      <c r="O25" s="73">
        <f t="shared" si="3"/>
        <v>2.2109035133577103E-2</v>
      </c>
      <c r="P25" s="83"/>
      <c r="Q25" s="81"/>
      <c r="R25" s="71"/>
      <c r="S25" s="71"/>
      <c r="T25" s="71"/>
      <c r="U25" s="71"/>
      <c r="V25" s="71"/>
      <c r="W25" s="71"/>
      <c r="X25" s="71"/>
      <c r="Y25" s="71"/>
      <c r="Z25" s="71"/>
      <c r="AA25" s="71"/>
      <c r="AB25" s="71"/>
      <c r="AC25" s="71"/>
      <c r="AD25" s="71"/>
      <c r="AE25" s="71"/>
      <c r="AF25" s="71"/>
    </row>
    <row r="26" spans="1:32" s="7" customFormat="1">
      <c r="A26" s="233">
        <v>2.1780000000000001E-2</v>
      </c>
      <c r="B26" s="293">
        <v>10191</v>
      </c>
      <c r="C26" s="232">
        <v>43865</v>
      </c>
      <c r="D26" s="232">
        <v>43866</v>
      </c>
      <c r="F26" s="273">
        <f t="shared" si="4"/>
        <v>1.678E-2</v>
      </c>
      <c r="G26"/>
      <c r="H26" s="89">
        <f t="shared" si="0"/>
        <v>1</v>
      </c>
      <c r="I26" s="90">
        <f t="shared" si="1"/>
        <v>1.000046611111111</v>
      </c>
      <c r="J26" s="253">
        <f t="shared" si="5"/>
        <v>1.0016542639458588</v>
      </c>
      <c r="K26" s="84">
        <f t="shared" si="2"/>
        <v>-1.1110593232578406E-6</v>
      </c>
      <c r="L26" s="244"/>
      <c r="M26" s="70"/>
      <c r="N26" s="78">
        <f t="shared" si="6"/>
        <v>44208</v>
      </c>
      <c r="O26" s="73">
        <f t="shared" si="3"/>
        <v>2.1778888940676745E-2</v>
      </c>
      <c r="P26" s="83"/>
      <c r="Q26" s="81"/>
      <c r="R26" s="71"/>
      <c r="S26" s="71"/>
      <c r="T26" s="71"/>
      <c r="U26" s="71"/>
      <c r="V26" s="71"/>
      <c r="W26" s="71"/>
      <c r="X26" s="71"/>
      <c r="Y26" s="71"/>
      <c r="Z26" s="71"/>
      <c r="AA26" s="71"/>
      <c r="AB26" s="71"/>
      <c r="AC26" s="71"/>
      <c r="AD26" s="71"/>
      <c r="AE26" s="71"/>
      <c r="AF26" s="71"/>
    </row>
    <row r="27" spans="1:32" s="7" customFormat="1">
      <c r="A27" s="233">
        <v>2.1399999999999999E-2</v>
      </c>
      <c r="B27" s="293">
        <v>8614</v>
      </c>
      <c r="C27" s="232">
        <v>43866</v>
      </c>
      <c r="D27" s="232">
        <v>43867</v>
      </c>
      <c r="F27" s="273">
        <f t="shared" si="4"/>
        <v>1.6399999999999998E-2</v>
      </c>
      <c r="G27"/>
      <c r="H27" s="89">
        <f t="shared" si="0"/>
        <v>1</v>
      </c>
      <c r="I27" s="90">
        <f t="shared" si="1"/>
        <v>1.0000455555555556</v>
      </c>
      <c r="J27" s="253">
        <f t="shared" si="5"/>
        <v>1.0017009521640503</v>
      </c>
      <c r="K27" s="84">
        <f t="shared" si="2"/>
        <v>8.7715302319791909E-7</v>
      </c>
      <c r="L27" s="244"/>
      <c r="M27" s="70"/>
      <c r="N27" s="78">
        <f t="shared" si="6"/>
        <v>44209</v>
      </c>
      <c r="O27" s="73">
        <f t="shared" si="3"/>
        <v>2.1400877153023197E-2</v>
      </c>
      <c r="P27" s="83"/>
      <c r="Q27" s="81"/>
      <c r="R27" s="71"/>
      <c r="S27" s="71"/>
      <c r="T27" s="71"/>
      <c r="U27" s="71"/>
      <c r="V27" s="71"/>
      <c r="W27" s="71"/>
      <c r="X27" s="71"/>
      <c r="Y27" s="71"/>
      <c r="Z27" s="71"/>
      <c r="AA27" s="71"/>
      <c r="AB27" s="71"/>
      <c r="AC27" s="71"/>
      <c r="AD27" s="71"/>
      <c r="AE27" s="71"/>
      <c r="AF27" s="71"/>
    </row>
    <row r="28" spans="1:32" s="7" customFormat="1">
      <c r="A28" s="233">
        <v>2.1700000000000001E-2</v>
      </c>
      <c r="B28" s="293">
        <v>7525</v>
      </c>
      <c r="C28" s="232">
        <v>43867</v>
      </c>
      <c r="D28" s="232">
        <v>43868</v>
      </c>
      <c r="F28" s="273">
        <f t="shared" si="4"/>
        <v>1.67E-2</v>
      </c>
      <c r="G28"/>
      <c r="H28" s="89">
        <f t="shared" si="0"/>
        <v>1</v>
      </c>
      <c r="I28" s="90">
        <f t="shared" si="1"/>
        <v>1.0000463888888889</v>
      </c>
      <c r="J28" s="253">
        <f t="shared" si="5"/>
        <v>1.0017465852074268</v>
      </c>
      <c r="K28" s="84">
        <f t="shared" si="2"/>
        <v>9.7919434234433901E-5</v>
      </c>
      <c r="L28" s="244"/>
      <c r="M28" s="70"/>
      <c r="N28" s="78">
        <f t="shared" si="6"/>
        <v>44210</v>
      </c>
      <c r="O28" s="73">
        <f t="shared" si="3"/>
        <v>2.1797919434234436E-2</v>
      </c>
      <c r="P28" s="83"/>
      <c r="Q28" s="81"/>
      <c r="R28" s="71"/>
      <c r="S28" s="71"/>
      <c r="T28" s="71"/>
      <c r="U28" s="71"/>
      <c r="V28" s="71"/>
      <c r="W28" s="71"/>
      <c r="X28" s="71"/>
      <c r="Y28" s="71"/>
      <c r="Z28" s="71"/>
      <c r="AA28" s="71"/>
      <c r="AB28" s="71"/>
      <c r="AC28" s="71"/>
      <c r="AD28" s="71"/>
      <c r="AE28" s="71"/>
      <c r="AF28" s="71"/>
    </row>
    <row r="29" spans="1:32" s="7" customFormat="1">
      <c r="A29" s="233">
        <v>2.1729999999999999E-2</v>
      </c>
      <c r="B29" s="293">
        <v>7631</v>
      </c>
      <c r="C29" s="232">
        <v>43868</v>
      </c>
      <c r="D29" s="232">
        <v>43871</v>
      </c>
      <c r="F29" s="273">
        <f t="shared" si="4"/>
        <v>1.6729999999999998E-2</v>
      </c>
      <c r="G29"/>
      <c r="H29" s="89">
        <f t="shared" si="0"/>
        <v>3</v>
      </c>
      <c r="I29" s="90">
        <f t="shared" si="1"/>
        <v>1.0001394166666666</v>
      </c>
      <c r="J29" s="253">
        <f t="shared" si="5"/>
        <v>1.0017930551184628</v>
      </c>
      <c r="K29" s="84">
        <f t="shared" si="2"/>
        <v>-9.8456861707742779E-5</v>
      </c>
      <c r="L29" s="244"/>
      <c r="M29" s="70"/>
      <c r="N29" s="78">
        <f t="shared" si="6"/>
        <v>44211</v>
      </c>
      <c r="O29" s="73">
        <f t="shared" si="3"/>
        <v>2.1631543138292256E-2</v>
      </c>
      <c r="P29" s="84"/>
      <c r="Q29" s="81"/>
      <c r="R29" s="260" t="s">
        <v>3</v>
      </c>
      <c r="S29" s="71"/>
      <c r="T29" s="71"/>
      <c r="U29" s="71"/>
      <c r="V29" s="71"/>
      <c r="W29" s="71"/>
      <c r="X29" s="71"/>
      <c r="Y29" s="71"/>
      <c r="Z29" s="71"/>
      <c r="AA29" s="71"/>
      <c r="AB29" s="71"/>
      <c r="AC29" s="71"/>
      <c r="AD29" s="71"/>
      <c r="AE29" s="71"/>
      <c r="AF29" s="71"/>
    </row>
    <row r="30" spans="1:32" s="7" customFormat="1">
      <c r="A30" s="233">
        <v>2.171E-2</v>
      </c>
      <c r="B30" s="293">
        <v>6812</v>
      </c>
      <c r="C30" s="232">
        <v>43871</v>
      </c>
      <c r="D30" s="232">
        <v>43872</v>
      </c>
      <c r="F30" s="273">
        <f t="shared" si="4"/>
        <v>1.6709999999999999E-2</v>
      </c>
      <c r="G30"/>
      <c r="H30" s="89">
        <f t="shared" si="0"/>
        <v>1</v>
      </c>
      <c r="I30" s="90">
        <f t="shared" si="1"/>
        <v>1.0000464166666667</v>
      </c>
      <c r="J30" s="253">
        <f t="shared" si="5"/>
        <v>1.0019327217668972</v>
      </c>
      <c r="K30" s="84">
        <f t="shared" si="2"/>
        <v>-2.9410399586293113E-7</v>
      </c>
      <c r="L30" s="244"/>
      <c r="M30" s="70"/>
      <c r="N30" s="78">
        <f t="shared" si="6"/>
        <v>44212</v>
      </c>
      <c r="O30" s="73">
        <f t="shared" si="3"/>
        <v>2.1709705896004138E-2</v>
      </c>
      <c r="P30" s="84"/>
      <c r="Q30" s="81"/>
      <c r="R30" s="260" t="s">
        <v>4</v>
      </c>
      <c r="S30" s="71"/>
      <c r="T30" s="71"/>
      <c r="U30" s="71"/>
      <c r="V30" s="71"/>
      <c r="W30" s="71"/>
      <c r="X30" s="71"/>
      <c r="Y30" s="71"/>
      <c r="Z30" s="71"/>
      <c r="AA30" s="71"/>
      <c r="AB30" s="71"/>
      <c r="AC30" s="71"/>
      <c r="AD30" s="71"/>
      <c r="AE30" s="71"/>
      <c r="AF30" s="71"/>
    </row>
    <row r="31" spans="1:32" s="7" customFormat="1">
      <c r="A31" s="233">
        <v>2.1610000000000001E-2</v>
      </c>
      <c r="B31" s="293">
        <v>7372</v>
      </c>
      <c r="C31" s="232">
        <v>43872</v>
      </c>
      <c r="D31" s="232">
        <v>43873</v>
      </c>
      <c r="F31" s="273">
        <f t="shared" si="4"/>
        <v>1.661E-2</v>
      </c>
      <c r="G31"/>
      <c r="H31" s="89"/>
      <c r="I31" s="90">
        <f t="shared" si="1"/>
        <v>1.0000461388888888</v>
      </c>
      <c r="J31" s="253">
        <f t="shared" si="5"/>
        <v>1.0019792281440658</v>
      </c>
      <c r="K31" s="84">
        <f t="shared" si="2"/>
        <v>4.9997693162077726E-7</v>
      </c>
      <c r="L31" s="244"/>
      <c r="M31" s="70"/>
      <c r="N31" s="78">
        <f t="shared" si="6"/>
        <v>44213</v>
      </c>
      <c r="O31" s="73">
        <f t="shared" si="3"/>
        <v>2.1610499976931621E-2</v>
      </c>
      <c r="P31" s="84"/>
      <c r="Q31" s="81"/>
      <c r="R31" s="71"/>
      <c r="S31" s="71"/>
      <c r="T31" s="71"/>
      <c r="U31" s="71"/>
      <c r="V31" s="71"/>
      <c r="W31" s="71"/>
      <c r="X31" s="71"/>
      <c r="Y31" s="71"/>
      <c r="Z31" s="71"/>
      <c r="AA31" s="71"/>
      <c r="AB31" s="71"/>
      <c r="AC31" s="71"/>
      <c r="AD31" s="71"/>
      <c r="AE31" s="71"/>
      <c r="AF31" s="71"/>
    </row>
    <row r="32" spans="1:32" s="7" customFormat="1">
      <c r="A32" s="233">
        <v>2.1780000000000001E-2</v>
      </c>
      <c r="B32" s="293">
        <v>6804</v>
      </c>
      <c r="C32" s="232">
        <v>43873</v>
      </c>
      <c r="D32" s="232">
        <v>43874</v>
      </c>
      <c r="F32" s="273">
        <f t="shared" si="4"/>
        <v>1.678E-2</v>
      </c>
      <c r="G32"/>
      <c r="H32" s="89">
        <f t="shared" si="0"/>
        <v>1</v>
      </c>
      <c r="I32" s="90">
        <f t="shared" si="1"/>
        <v>1.000046611111111</v>
      </c>
      <c r="J32" s="253">
        <f t="shared" si="5"/>
        <v>1.002025458352342</v>
      </c>
      <c r="K32" s="84">
        <f t="shared" si="2"/>
        <v>2.9410393861460744E-7</v>
      </c>
      <c r="L32" s="244"/>
      <c r="M32" s="70"/>
      <c r="N32" s="78">
        <f t="shared" si="6"/>
        <v>44214</v>
      </c>
      <c r="O32" s="73">
        <f t="shared" si="3"/>
        <v>2.1780294103938617E-2</v>
      </c>
      <c r="P32" s="70"/>
      <c r="Q32" s="71"/>
      <c r="R32" s="71"/>
      <c r="S32" s="71"/>
      <c r="T32" s="71"/>
      <c r="U32" s="71"/>
      <c r="V32" s="71"/>
      <c r="W32" s="71"/>
      <c r="X32" s="71"/>
      <c r="Y32" s="71"/>
      <c r="Z32" s="71"/>
      <c r="AA32" s="71"/>
      <c r="AB32" s="71"/>
      <c r="AC32" s="71"/>
      <c r="AD32" s="71"/>
      <c r="AE32" s="71"/>
      <c r="AF32" s="71"/>
    </row>
    <row r="33" spans="1:32" s="7" customFormat="1">
      <c r="A33" s="233">
        <v>2.188E-2</v>
      </c>
      <c r="B33" s="293">
        <v>6939</v>
      </c>
      <c r="C33" s="232">
        <v>43874</v>
      </c>
      <c r="D33" s="232">
        <v>43875</v>
      </c>
      <c r="F33" s="273">
        <f t="shared" si="4"/>
        <v>1.6879999999999999E-2</v>
      </c>
      <c r="G33"/>
      <c r="H33" s="89">
        <f t="shared" si="0"/>
        <v>1</v>
      </c>
      <c r="I33" s="90">
        <f t="shared" si="1"/>
        <v>1.0000468888888889</v>
      </c>
      <c r="J33" s="253">
        <f t="shared" si="5"/>
        <v>1.0020721638723173</v>
      </c>
      <c r="K33" s="84">
        <f t="shared" si="2"/>
        <v>9.8671843975025003E-5</v>
      </c>
      <c r="L33" s="244"/>
      <c r="M33" s="70"/>
      <c r="N33" s="78">
        <f t="shared" si="6"/>
        <v>44215</v>
      </c>
      <c r="O33" s="73">
        <f t="shared" si="3"/>
        <v>2.1978671843975024E-2</v>
      </c>
      <c r="P33" s="70"/>
      <c r="Q33" s="71"/>
      <c r="R33" s="71"/>
      <c r="S33" s="71"/>
      <c r="T33" s="71"/>
      <c r="U33" s="71"/>
      <c r="V33" s="71"/>
      <c r="W33" s="71"/>
      <c r="X33" s="71"/>
      <c r="Y33" s="71"/>
      <c r="Z33" s="71"/>
      <c r="AA33" s="71"/>
      <c r="AB33" s="71"/>
      <c r="AC33" s="71"/>
      <c r="AD33" s="71"/>
      <c r="AE33" s="71"/>
      <c r="AF33" s="71"/>
    </row>
    <row r="34" spans="1:32" s="7" customFormat="1">
      <c r="A34" s="233">
        <v>2.181E-2</v>
      </c>
      <c r="B34" s="293">
        <v>6351</v>
      </c>
      <c r="C34" s="232">
        <v>43875</v>
      </c>
      <c r="D34" s="232">
        <v>43878</v>
      </c>
      <c r="F34" s="273">
        <f t="shared" si="4"/>
        <v>1.6809999999999999E-2</v>
      </c>
      <c r="G34"/>
      <c r="H34" s="89">
        <f t="shared" si="0"/>
        <v>3</v>
      </c>
      <c r="I34" s="90">
        <f t="shared" si="1"/>
        <v>1.0001400833333334</v>
      </c>
      <c r="J34" s="253">
        <f t="shared" si="5"/>
        <v>1.0021191499226678</v>
      </c>
      <c r="K34" s="84">
        <f t="shared" si="2"/>
        <v>-9.9926830318862337E-5</v>
      </c>
      <c r="L34" s="244"/>
      <c r="M34" s="70"/>
      <c r="N34" s="68">
        <f t="shared" si="6"/>
        <v>44216</v>
      </c>
      <c r="O34" s="73">
        <f t="shared" si="3"/>
        <v>2.1710073169681137E-2</v>
      </c>
      <c r="P34" s="70"/>
      <c r="Q34" s="71"/>
      <c r="R34" s="71"/>
      <c r="S34" s="71"/>
      <c r="T34" s="71"/>
      <c r="U34" s="71"/>
      <c r="V34" s="71"/>
      <c r="W34" s="71"/>
      <c r="X34" s="71"/>
      <c r="Y34" s="71"/>
      <c r="Z34" s="71"/>
      <c r="AA34" s="71"/>
      <c r="AB34" s="71"/>
      <c r="AC34" s="71"/>
      <c r="AD34" s="71"/>
      <c r="AE34" s="71"/>
      <c r="AF34" s="71"/>
    </row>
    <row r="35" spans="1:32" s="7" customFormat="1">
      <c r="A35" s="233">
        <v>2.1649999999999999E-2</v>
      </c>
      <c r="B35" s="293">
        <v>11091</v>
      </c>
      <c r="C35" s="232">
        <v>43878</v>
      </c>
      <c r="D35" s="232">
        <v>43879</v>
      </c>
      <c r="F35" s="273">
        <f t="shared" si="4"/>
        <v>1.6649999999999998E-2</v>
      </c>
      <c r="G35"/>
      <c r="H35" s="89">
        <f t="shared" si="0"/>
        <v>1</v>
      </c>
      <c r="I35" s="90">
        <f t="shared" si="1"/>
        <v>1.00004625</v>
      </c>
      <c r="J35" s="253">
        <f t="shared" si="5"/>
        <v>1.0022595301135862</v>
      </c>
      <c r="K35" s="84">
        <f t="shared" si="2"/>
        <v>1.1833772215396047E-6</v>
      </c>
      <c r="L35" s="244"/>
      <c r="M35" s="70"/>
      <c r="N35" s="68">
        <f t="shared" si="6"/>
        <v>44217</v>
      </c>
      <c r="O35" s="73">
        <f t="shared" si="3"/>
        <v>2.165118337722154E-2</v>
      </c>
      <c r="P35" s="70"/>
      <c r="Q35" s="71"/>
      <c r="R35" s="71"/>
      <c r="S35" s="71"/>
      <c r="T35" s="71"/>
      <c r="U35" s="71"/>
      <c r="V35" s="71"/>
      <c r="W35" s="71"/>
      <c r="X35" s="71"/>
      <c r="Y35" s="71"/>
      <c r="Z35" s="71"/>
      <c r="AA35" s="71"/>
      <c r="AB35" s="71"/>
      <c r="AC35" s="71"/>
      <c r="AD35" s="71"/>
      <c r="AE35" s="71"/>
      <c r="AF35" s="71"/>
    </row>
    <row r="36" spans="1:32" s="7" customFormat="1">
      <c r="A36" s="233">
        <v>2.205E-2</v>
      </c>
      <c r="B36" s="293">
        <v>8190</v>
      </c>
      <c r="C36" s="232">
        <v>43879</v>
      </c>
      <c r="D36" s="232">
        <v>43880</v>
      </c>
      <c r="F36" s="273">
        <f t="shared" si="4"/>
        <v>1.7049999999999999E-2</v>
      </c>
      <c r="G36"/>
      <c r="H36" s="89">
        <f t="shared" si="0"/>
        <v>1</v>
      </c>
      <c r="I36" s="90">
        <f t="shared" si="1"/>
        <v>1.0000473611111111</v>
      </c>
      <c r="J36" s="253">
        <f t="shared" si="5"/>
        <v>1.002305884616854</v>
      </c>
      <c r="K36" s="84">
        <f t="shared" si="2"/>
        <v>-2.3667518122842196E-7</v>
      </c>
      <c r="L36" s="244"/>
      <c r="M36" s="70"/>
      <c r="N36" s="68">
        <f t="shared" si="6"/>
        <v>44218</v>
      </c>
      <c r="O36" s="73">
        <f t="shared" si="3"/>
        <v>2.2049763324818773E-2</v>
      </c>
      <c r="P36" s="70"/>
      <c r="Q36" s="71"/>
      <c r="R36" s="71"/>
      <c r="S36" s="71"/>
      <c r="T36" s="71"/>
      <c r="U36" s="71"/>
      <c r="V36" s="71"/>
      <c r="W36" s="71"/>
      <c r="X36" s="71"/>
      <c r="Y36" s="71"/>
      <c r="Z36" s="71"/>
      <c r="AA36" s="71"/>
      <c r="AB36" s="71"/>
      <c r="AC36" s="71"/>
      <c r="AD36" s="71"/>
      <c r="AE36" s="71"/>
      <c r="AF36" s="71"/>
    </row>
    <row r="37" spans="1:32" s="7" customFormat="1">
      <c r="A37" s="233">
        <v>2.197E-2</v>
      </c>
      <c r="B37" s="293">
        <v>4100</v>
      </c>
      <c r="C37" s="232">
        <v>43880</v>
      </c>
      <c r="D37" s="232">
        <v>43881</v>
      </c>
      <c r="F37" s="273">
        <f t="shared" si="4"/>
        <v>1.6969999999999999E-2</v>
      </c>
      <c r="G37"/>
      <c r="H37" s="89">
        <f t="shared" si="0"/>
        <v>1</v>
      </c>
      <c r="I37" s="90">
        <f t="shared" si="1"/>
        <v>1.000047138888889</v>
      </c>
      <c r="J37" s="253">
        <f t="shared" si="5"/>
        <v>1.0023533549372228</v>
      </c>
      <c r="K37" s="84">
        <f t="shared" si="2"/>
        <v>8.8753212826424069E-8</v>
      </c>
      <c r="L37" s="244"/>
      <c r="M37" s="70"/>
      <c r="N37" s="68">
        <f t="shared" si="6"/>
        <v>44219</v>
      </c>
      <c r="O37" s="73">
        <f t="shared" si="3"/>
        <v>2.1970088753212828E-2</v>
      </c>
      <c r="P37" s="70"/>
      <c r="Q37" s="71"/>
      <c r="R37" s="71"/>
      <c r="S37" s="71"/>
      <c r="T37" s="71"/>
      <c r="U37" s="71"/>
      <c r="V37" s="71"/>
      <c r="W37" s="71"/>
      <c r="X37" s="71"/>
      <c r="Y37" s="71"/>
      <c r="Z37" s="71"/>
      <c r="AA37" s="71"/>
      <c r="AB37" s="71"/>
      <c r="AC37" s="71"/>
      <c r="AD37" s="71"/>
      <c r="AE37" s="71"/>
      <c r="AF37" s="71"/>
    </row>
    <row r="38" spans="1:32" s="7" customFormat="1">
      <c r="A38" s="233">
        <v>2.1999999999999999E-2</v>
      </c>
      <c r="B38" s="293">
        <v>4934</v>
      </c>
      <c r="C38" s="232">
        <v>43881</v>
      </c>
      <c r="D38" s="232">
        <v>43882</v>
      </c>
      <c r="F38" s="273">
        <f t="shared" si="4"/>
        <v>1.6999999999999998E-2</v>
      </c>
      <c r="G38"/>
      <c r="H38" s="89">
        <f t="shared" si="0"/>
        <v>1</v>
      </c>
      <c r="I38" s="90">
        <f t="shared" si="1"/>
        <v>1.0000472222222223</v>
      </c>
      <c r="J38" s="253">
        <f t="shared" si="5"/>
        <v>1.0024006047606486</v>
      </c>
      <c r="K38" s="84">
        <f t="shared" si="2"/>
        <v>9.9876940393417045E-5</v>
      </c>
      <c r="L38" s="244"/>
      <c r="M38" s="70"/>
      <c r="N38" s="68">
        <f t="shared" si="6"/>
        <v>44220</v>
      </c>
      <c r="O38" s="73">
        <f t="shared" si="3"/>
        <v>2.2099876940393417E-2</v>
      </c>
      <c r="P38" s="70"/>
      <c r="Q38" s="71"/>
      <c r="R38" s="71"/>
      <c r="S38" s="71"/>
      <c r="T38" s="71"/>
      <c r="U38" s="71"/>
      <c r="V38" s="71"/>
      <c r="W38" s="71"/>
      <c r="X38" s="71"/>
      <c r="Y38" s="71"/>
      <c r="Z38" s="71"/>
      <c r="AA38" s="71"/>
      <c r="AB38" s="71"/>
      <c r="AC38" s="71"/>
      <c r="AD38" s="71"/>
      <c r="AE38" s="71"/>
      <c r="AF38" s="71"/>
    </row>
    <row r="39" spans="1:32" s="7" customFormat="1">
      <c r="A39" s="233">
        <v>2.1919999999999999E-2</v>
      </c>
      <c r="B39" s="293">
        <v>5260</v>
      </c>
      <c r="C39" s="232">
        <v>43882</v>
      </c>
      <c r="D39" s="232">
        <v>43885</v>
      </c>
      <c r="F39" s="273">
        <f t="shared" si="4"/>
        <v>1.6919999999999998E-2</v>
      </c>
      <c r="G39"/>
      <c r="H39" s="89">
        <f t="shared" si="0"/>
        <v>3</v>
      </c>
      <c r="I39" s="90">
        <f t="shared" si="1"/>
        <v>1.0001409999999999</v>
      </c>
      <c r="J39" s="253">
        <f t="shared" si="5"/>
        <v>1.0024479403447624</v>
      </c>
      <c r="K39" s="84">
        <f t="shared" si="2"/>
        <v>-1.0067032929308597E-4</v>
      </c>
      <c r="L39" s="244"/>
      <c r="M39" s="70"/>
      <c r="N39" s="68">
        <f t="shared" si="6"/>
        <v>44221</v>
      </c>
      <c r="O39" s="73">
        <f t="shared" si="3"/>
        <v>2.1819329670706912E-2</v>
      </c>
      <c r="P39" s="70"/>
      <c r="Q39" s="71"/>
      <c r="R39" s="71"/>
      <c r="S39" s="71"/>
      <c r="T39" s="71"/>
      <c r="U39" s="71"/>
      <c r="V39" s="71"/>
      <c r="W39" s="71"/>
      <c r="X39" s="71"/>
      <c r="Y39" s="71"/>
      <c r="Z39" s="71"/>
      <c r="AA39" s="71"/>
      <c r="AB39" s="71"/>
      <c r="AC39" s="71"/>
      <c r="AD39" s="71"/>
      <c r="AE39" s="71"/>
      <c r="AF39" s="71"/>
    </row>
    <row r="40" spans="1:32" s="7" customFormat="1">
      <c r="A40" s="233">
        <v>2.1930000000000002E-2</v>
      </c>
      <c r="B40" s="293">
        <v>6774</v>
      </c>
      <c r="C40" s="232">
        <v>43885</v>
      </c>
      <c r="D40" s="232">
        <v>43886</v>
      </c>
      <c r="F40" s="273">
        <f t="shared" si="4"/>
        <v>1.6930000000000001E-2</v>
      </c>
      <c r="G40"/>
      <c r="H40" s="89">
        <f t="shared" si="0"/>
        <v>1</v>
      </c>
      <c r="I40" s="90">
        <f t="shared" si="1"/>
        <v>1.0000470277777778</v>
      </c>
      <c r="J40" s="253">
        <f t="shared" si="5"/>
        <v>1.002589285504351</v>
      </c>
      <c r="K40" s="84">
        <f t="shared" si="2"/>
        <v>5.9521010263376336E-8</v>
      </c>
      <c r="L40" s="244"/>
      <c r="M40" s="70"/>
      <c r="N40" s="68">
        <f t="shared" si="6"/>
        <v>44222</v>
      </c>
      <c r="O40" s="73">
        <f t="shared" si="3"/>
        <v>2.1930059521010264E-2</v>
      </c>
      <c r="P40" s="70"/>
      <c r="Q40" s="71"/>
      <c r="R40" s="71"/>
      <c r="S40" s="71"/>
      <c r="T40" s="71"/>
      <c r="U40" s="71"/>
      <c r="V40" s="71"/>
      <c r="W40" s="71"/>
      <c r="X40" s="71"/>
      <c r="Y40" s="71"/>
      <c r="Z40" s="71"/>
      <c r="AA40" s="71"/>
      <c r="AB40" s="71"/>
      <c r="AC40" s="71"/>
      <c r="AD40" s="71"/>
      <c r="AE40" s="71"/>
      <c r="AF40" s="71"/>
    </row>
    <row r="41" spans="1:32" s="7" customFormat="1">
      <c r="A41" s="233">
        <v>2.1950000000000001E-2</v>
      </c>
      <c r="B41" s="293">
        <v>6025</v>
      </c>
      <c r="C41" s="232">
        <v>43886</v>
      </c>
      <c r="D41" s="232">
        <v>43887</v>
      </c>
      <c r="F41" s="273">
        <f t="shared" si="4"/>
        <v>1.695E-2</v>
      </c>
      <c r="G41"/>
      <c r="H41" s="89">
        <f t="shared" si="0"/>
        <v>1</v>
      </c>
      <c r="I41" s="90">
        <f t="shared" si="1"/>
        <v>1.0000470833333333</v>
      </c>
      <c r="J41" s="253">
        <f t="shared" si="5"/>
        <v>1.0026364350504722</v>
      </c>
      <c r="K41" s="84">
        <f t="shared" si="2"/>
        <v>8.9281510518013363E-8</v>
      </c>
      <c r="L41" s="244"/>
      <c r="M41" s="70"/>
      <c r="N41" s="68">
        <f t="shared" si="6"/>
        <v>44223</v>
      </c>
      <c r="O41" s="73">
        <f t="shared" si="3"/>
        <v>2.1950089281510519E-2</v>
      </c>
      <c r="P41" s="70"/>
      <c r="Q41" s="71"/>
      <c r="R41" s="71"/>
      <c r="S41" s="71"/>
      <c r="T41" s="71"/>
      <c r="U41" s="71"/>
      <c r="V41" s="71"/>
      <c r="W41" s="71"/>
      <c r="X41" s="71"/>
      <c r="Y41" s="71"/>
      <c r="Z41" s="71"/>
      <c r="AA41" s="71"/>
      <c r="AB41" s="71"/>
      <c r="AC41" s="71"/>
      <c r="AD41" s="71"/>
      <c r="AE41" s="71"/>
      <c r="AF41" s="71"/>
    </row>
    <row r="42" spans="1:32" s="7" customFormat="1">
      <c r="A42" s="233">
        <v>2.198E-2</v>
      </c>
      <c r="B42" s="293">
        <v>4913</v>
      </c>
      <c r="C42" s="232">
        <v>43887</v>
      </c>
      <c r="D42" s="232">
        <v>43888</v>
      </c>
      <c r="F42" s="273">
        <f t="shared" si="4"/>
        <v>1.6979999999999999E-2</v>
      </c>
      <c r="G42"/>
      <c r="H42" s="89">
        <f t="shared" si="0"/>
        <v>1</v>
      </c>
      <c r="I42" s="90">
        <f t="shared" si="1"/>
        <v>1.0000471666666666</v>
      </c>
      <c r="J42" s="253">
        <f t="shared" si="5"/>
        <v>1.0026836425159558</v>
      </c>
      <c r="K42" s="84">
        <f t="shared" si="2"/>
        <v>-7.4401252634994002E-7</v>
      </c>
      <c r="L42" s="244"/>
      <c r="M42" s="70"/>
      <c r="N42" s="68">
        <f t="shared" si="6"/>
        <v>44224</v>
      </c>
      <c r="O42" s="73">
        <f t="shared" si="3"/>
        <v>2.1979255987473651E-2</v>
      </c>
      <c r="P42" s="70"/>
      <c r="Q42" s="71"/>
      <c r="R42" s="71"/>
      <c r="S42" s="71"/>
      <c r="T42" s="71"/>
      <c r="U42" s="71"/>
      <c r="V42" s="71"/>
      <c r="W42" s="71"/>
      <c r="X42" s="71"/>
      <c r="Y42" s="71"/>
      <c r="Z42" s="71"/>
      <c r="AA42" s="71"/>
      <c r="AB42" s="71"/>
      <c r="AC42" s="71"/>
      <c r="AD42" s="71"/>
      <c r="AE42" s="71"/>
      <c r="AF42" s="71"/>
    </row>
    <row r="43" spans="1:32" s="7" customFormat="1">
      <c r="A43" s="233">
        <v>2.1729999999999999E-2</v>
      </c>
      <c r="B43" s="293">
        <v>5867</v>
      </c>
      <c r="C43" s="232">
        <v>43888</v>
      </c>
      <c r="D43" s="232">
        <v>43889</v>
      </c>
      <c r="F43" s="273">
        <f t="shared" si="4"/>
        <v>1.6729999999999998E-2</v>
      </c>
      <c r="G43"/>
      <c r="H43" s="89">
        <f t="shared" si="0"/>
        <v>1</v>
      </c>
      <c r="I43" s="90">
        <f t="shared" si="1"/>
        <v>1.0000464722222222</v>
      </c>
      <c r="J43" s="253">
        <f t="shared" si="5"/>
        <v>1.0027309357610943</v>
      </c>
      <c r="K43" s="84">
        <f t="shared" si="2"/>
        <v>1.0181074481902768E-4</v>
      </c>
      <c r="L43" s="244"/>
      <c r="M43" s="70"/>
      <c r="N43" s="68">
        <f t="shared" si="6"/>
        <v>44225</v>
      </c>
      <c r="O43" s="73">
        <f t="shared" si="3"/>
        <v>2.1831810744819026E-2</v>
      </c>
      <c r="P43" s="70"/>
      <c r="Q43" s="71"/>
      <c r="R43" s="71"/>
      <c r="S43" s="71"/>
      <c r="T43" s="71"/>
      <c r="U43" s="71"/>
      <c r="V43" s="71"/>
      <c r="W43" s="71"/>
      <c r="X43" s="71"/>
      <c r="Y43" s="71"/>
      <c r="Z43" s="71"/>
      <c r="AA43" s="71"/>
      <c r="AB43" s="71"/>
      <c r="AC43" s="71"/>
      <c r="AD43" s="71"/>
      <c r="AE43" s="71"/>
      <c r="AF43" s="71"/>
    </row>
    <row r="44" spans="1:32" s="7" customFormat="1">
      <c r="A44" s="233">
        <v>2.198E-2</v>
      </c>
      <c r="B44" s="293">
        <v>5413</v>
      </c>
      <c r="C44" s="232">
        <v>43889</v>
      </c>
      <c r="D44" s="232">
        <v>43892</v>
      </c>
      <c r="F44" s="273">
        <f t="shared" si="4"/>
        <v>1.6979999999999999E-2</v>
      </c>
      <c r="G44"/>
      <c r="H44" s="89">
        <f t="shared" si="0"/>
        <v>3</v>
      </c>
      <c r="I44" s="90">
        <f t="shared" si="1"/>
        <v>1.0001415</v>
      </c>
      <c r="J44" s="253">
        <f t="shared" si="5"/>
        <v>1.00277753489597</v>
      </c>
      <c r="K44" s="84">
        <f t="shared" si="2"/>
        <v>-1.0196162033484674E-4</v>
      </c>
      <c r="L44" s="244"/>
      <c r="M44" s="70"/>
      <c r="N44" s="68">
        <f t="shared" si="6"/>
        <v>44226</v>
      </c>
      <c r="O44" s="73">
        <f t="shared" si="3"/>
        <v>2.1878038379665152E-2</v>
      </c>
      <c r="P44" s="70"/>
      <c r="Q44" s="71"/>
      <c r="R44" s="71"/>
      <c r="S44" s="71"/>
      <c r="T44" s="71"/>
      <c r="U44" s="71"/>
      <c r="V44" s="71"/>
      <c r="W44" s="71"/>
      <c r="X44" s="71"/>
      <c r="Y44" s="71"/>
      <c r="Z44" s="71"/>
      <c r="AA44" s="71"/>
      <c r="AB44" s="71"/>
      <c r="AC44" s="71"/>
      <c r="AD44" s="71"/>
      <c r="AE44" s="71"/>
      <c r="AF44" s="71"/>
    </row>
    <row r="45" spans="1:32" s="7" customFormat="1">
      <c r="A45" s="233">
        <v>2.188E-2</v>
      </c>
      <c r="B45" s="293">
        <v>5634</v>
      </c>
      <c r="C45" s="232">
        <v>43892</v>
      </c>
      <c r="D45" s="232">
        <v>43893</v>
      </c>
      <c r="F45" s="273">
        <f t="shared" si="4"/>
        <v>1.6879999999999999E-2</v>
      </c>
      <c r="G45"/>
      <c r="H45" s="89">
        <f t="shared" si="0"/>
        <v>1</v>
      </c>
      <c r="I45" s="90">
        <f t="shared" si="1"/>
        <v>1.0000468888888889</v>
      </c>
      <c r="J45" s="253">
        <f t="shared" si="5"/>
        <v>1.0029194279171578</v>
      </c>
      <c r="K45" s="84">
        <f t="shared" si="2"/>
        <v>-8.9816147932193817E-8</v>
      </c>
      <c r="L45" s="244"/>
      <c r="M45" s="70"/>
      <c r="N45" s="68">
        <f t="shared" si="6"/>
        <v>44227</v>
      </c>
      <c r="O45" s="73">
        <f t="shared" si="3"/>
        <v>2.1879910183852068E-2</v>
      </c>
      <c r="P45" s="70"/>
      <c r="Q45" s="71"/>
      <c r="R45" s="71"/>
      <c r="S45" s="71"/>
      <c r="T45" s="71"/>
      <c r="U45" s="71"/>
      <c r="V45" s="71"/>
      <c r="W45" s="71"/>
      <c r="X45" s="71"/>
      <c r="Y45" s="71"/>
      <c r="Z45" s="71"/>
      <c r="AA45" s="71"/>
      <c r="AB45" s="71"/>
      <c r="AC45" s="71"/>
      <c r="AD45" s="71"/>
      <c r="AE45" s="71"/>
      <c r="AF45" s="71"/>
    </row>
    <row r="46" spans="1:32" s="7" customFormat="1">
      <c r="A46" s="233">
        <v>2.1850000000000001E-2</v>
      </c>
      <c r="B46" s="293">
        <v>7909</v>
      </c>
      <c r="C46" s="232">
        <v>43893</v>
      </c>
      <c r="D46" s="232">
        <v>43894</v>
      </c>
      <c r="F46" s="273">
        <f t="shared" si="4"/>
        <v>1.685E-2</v>
      </c>
      <c r="G46"/>
      <c r="H46" s="89">
        <f t="shared" si="0"/>
        <v>1</v>
      </c>
      <c r="I46" s="90">
        <f t="shared" si="1"/>
        <v>1.0000468055555556</v>
      </c>
      <c r="J46" s="253">
        <f t="shared" si="5"/>
        <v>1.002966453694778</v>
      </c>
      <c r="K46" s="84">
        <f t="shared" si="2"/>
        <v>2.0957102903362235E-7</v>
      </c>
      <c r="L46" s="244"/>
      <c r="M46" s="70"/>
      <c r="N46" s="68">
        <f t="shared" si="6"/>
        <v>44228</v>
      </c>
      <c r="O46" s="73">
        <f t="shared" si="3"/>
        <v>2.1850209571029035E-2</v>
      </c>
      <c r="P46" s="70"/>
      <c r="Q46" s="71"/>
      <c r="R46" s="71"/>
      <c r="S46" s="71"/>
      <c r="T46" s="71"/>
      <c r="U46" s="71"/>
      <c r="V46" s="71"/>
      <c r="W46" s="71"/>
      <c r="X46" s="71"/>
      <c r="Y46" s="71"/>
      <c r="Z46" s="71"/>
      <c r="AA46" s="71"/>
      <c r="AB46" s="71"/>
      <c r="AC46" s="71"/>
      <c r="AD46" s="71"/>
      <c r="AE46" s="71"/>
      <c r="AF46" s="71"/>
    </row>
    <row r="47" spans="1:32" s="7" customFormat="1">
      <c r="A47" s="233">
        <v>2.1919999999999999E-2</v>
      </c>
      <c r="B47" s="293">
        <v>6985</v>
      </c>
      <c r="C47" s="232">
        <v>43894</v>
      </c>
      <c r="D47" s="232">
        <v>43895</v>
      </c>
      <c r="F47" s="273">
        <f t="shared" si="4"/>
        <v>1.6919999999999998E-2</v>
      </c>
      <c r="G47"/>
      <c r="H47" s="89">
        <f t="shared" si="0"/>
        <v>1</v>
      </c>
      <c r="I47" s="90">
        <f t="shared" si="1"/>
        <v>1.0000469999999999</v>
      </c>
      <c r="J47" s="253">
        <f t="shared" si="5"/>
        <v>1.0030133980968468</v>
      </c>
      <c r="K47" s="84">
        <f t="shared" si="2"/>
        <v>2.3950970141316047E-7</v>
      </c>
      <c r="L47" s="244"/>
      <c r="M47" s="70"/>
      <c r="N47" s="68">
        <f t="shared" si="6"/>
        <v>44229</v>
      </c>
      <c r="O47" s="73">
        <f t="shared" si="3"/>
        <v>2.1920239509701411E-2</v>
      </c>
      <c r="P47" s="70"/>
      <c r="Q47" s="71"/>
      <c r="R47" s="71"/>
      <c r="S47" s="71"/>
      <c r="T47" s="71"/>
      <c r="U47" s="71"/>
      <c r="V47" s="71"/>
      <c r="W47" s="71"/>
      <c r="X47" s="71"/>
      <c r="Y47" s="71"/>
      <c r="Z47" s="71"/>
      <c r="AA47" s="71"/>
      <c r="AB47" s="71"/>
      <c r="AC47" s="71"/>
      <c r="AD47" s="71"/>
      <c r="AE47" s="71"/>
      <c r="AF47" s="71"/>
    </row>
    <row r="48" spans="1:32" s="7" customFormat="1">
      <c r="A48" s="233">
        <v>2.1999999999999999E-2</v>
      </c>
      <c r="B48" s="293">
        <v>6150</v>
      </c>
      <c r="C48" s="232">
        <v>43895</v>
      </c>
      <c r="D48" s="232">
        <v>43896</v>
      </c>
      <c r="F48" s="273">
        <f t="shared" si="4"/>
        <v>1.6999999999999998E-2</v>
      </c>
      <c r="G48"/>
      <c r="H48" s="89">
        <f t="shared" si="0"/>
        <v>1</v>
      </c>
      <c r="I48" s="90">
        <f t="shared" si="1"/>
        <v>1.0000472222222223</v>
      </c>
      <c r="J48" s="253">
        <f t="shared" si="5"/>
        <v>1.0030605397265573</v>
      </c>
      <c r="K48" s="84">
        <f t="shared" si="2"/>
        <v>1.019712325960134E-4</v>
      </c>
      <c r="L48" s="244"/>
      <c r="M48" s="70"/>
      <c r="N48" s="68">
        <f t="shared" si="6"/>
        <v>44230</v>
      </c>
      <c r="O48" s="73">
        <f t="shared" si="3"/>
        <v>2.2101971232596013E-2</v>
      </c>
      <c r="P48" s="70"/>
      <c r="Q48" s="71"/>
      <c r="R48" s="71"/>
      <c r="S48" s="71"/>
      <c r="T48" s="71"/>
      <c r="U48" s="71"/>
      <c r="V48" s="71"/>
      <c r="W48" s="71"/>
      <c r="X48" s="71"/>
      <c r="Y48" s="71"/>
      <c r="Z48" s="71"/>
      <c r="AA48" s="71"/>
      <c r="AB48" s="71"/>
      <c r="AC48" s="71"/>
      <c r="AD48" s="71"/>
      <c r="AE48" s="71"/>
      <c r="AF48" s="71"/>
    </row>
    <row r="49" spans="1:32" s="7" customFormat="1">
      <c r="A49" s="233">
        <v>2.2020000000000001E-2</v>
      </c>
      <c r="B49" s="293">
        <v>6305</v>
      </c>
      <c r="C49" s="232">
        <v>43896</v>
      </c>
      <c r="D49" s="232">
        <v>43899</v>
      </c>
      <c r="F49" s="273">
        <f t="shared" si="4"/>
        <v>1.702E-2</v>
      </c>
      <c r="G49"/>
      <c r="H49" s="89">
        <f t="shared" si="0"/>
        <v>3</v>
      </c>
      <c r="I49" s="90">
        <f t="shared" si="1"/>
        <v>1.0001418333333334</v>
      </c>
      <c r="J49" s="253">
        <f t="shared" si="5"/>
        <v>1.0031079064742667</v>
      </c>
      <c r="K49" s="84">
        <f t="shared" si="2"/>
        <v>-1.0266616140760641E-4</v>
      </c>
      <c r="L49" s="244"/>
      <c r="M49" s="70"/>
      <c r="N49" s="68">
        <f t="shared" si="6"/>
        <v>44231</v>
      </c>
      <c r="O49" s="73">
        <f t="shared" si="3"/>
        <v>2.1917333838592394E-2</v>
      </c>
      <c r="P49" s="70"/>
      <c r="Q49" s="71"/>
      <c r="R49" s="71"/>
      <c r="S49" s="71"/>
      <c r="T49" s="71"/>
      <c r="U49" s="71"/>
      <c r="V49" s="71"/>
      <c r="W49" s="71"/>
      <c r="X49" s="71"/>
      <c r="Y49" s="71"/>
      <c r="Z49" s="71"/>
      <c r="AA49" s="71"/>
      <c r="AB49" s="71"/>
      <c r="AC49" s="71"/>
      <c r="AD49" s="71"/>
      <c r="AE49" s="71"/>
      <c r="AF49" s="71"/>
    </row>
    <row r="50" spans="1:32" s="7" customFormat="1">
      <c r="A50" s="233">
        <v>2.197E-2</v>
      </c>
      <c r="B50" s="293">
        <v>7622</v>
      </c>
      <c r="C50" s="232">
        <v>43899</v>
      </c>
      <c r="D50" s="232">
        <v>43900</v>
      </c>
      <c r="F50" s="273">
        <f t="shared" si="4"/>
        <v>1.6969999999999999E-2</v>
      </c>
      <c r="G50"/>
      <c r="H50" s="89">
        <f t="shared" si="0"/>
        <v>1</v>
      </c>
      <c r="I50" s="90">
        <f t="shared" si="1"/>
        <v>1.000047138888889</v>
      </c>
      <c r="J50" s="253">
        <f t="shared" si="5"/>
        <v>1.0032501806123351</v>
      </c>
      <c r="K50" s="84">
        <f t="shared" si="2"/>
        <v>-5.120240565272211E-7</v>
      </c>
      <c r="L50" s="244"/>
      <c r="M50" s="70"/>
      <c r="N50" s="68">
        <f t="shared" si="6"/>
        <v>44232</v>
      </c>
      <c r="O50" s="73">
        <f t="shared" si="3"/>
        <v>2.1969487975943471E-2</v>
      </c>
      <c r="P50" s="70"/>
      <c r="Q50" s="71"/>
      <c r="R50" s="71"/>
      <c r="S50" s="71"/>
      <c r="T50" s="71"/>
      <c r="U50" s="71"/>
      <c r="V50" s="71"/>
      <c r="W50" s="71"/>
      <c r="X50" s="71"/>
      <c r="Y50" s="71"/>
      <c r="Z50" s="71"/>
      <c r="AA50" s="71"/>
      <c r="AB50" s="71"/>
      <c r="AC50" s="71"/>
      <c r="AD50" s="71"/>
      <c r="AE50" s="71"/>
      <c r="AF50" s="71"/>
    </row>
    <row r="51" spans="1:32" s="7" customFormat="1">
      <c r="A51" s="233">
        <v>2.18E-2</v>
      </c>
      <c r="B51" s="293">
        <v>8523</v>
      </c>
      <c r="C51" s="232">
        <v>43900</v>
      </c>
      <c r="D51" s="232">
        <v>43901</v>
      </c>
      <c r="F51" s="273">
        <f t="shared" si="4"/>
        <v>1.6799999999999999E-2</v>
      </c>
      <c r="G51"/>
      <c r="H51" s="89">
        <f t="shared" si="0"/>
        <v>1</v>
      </c>
      <c r="I51" s="90">
        <f t="shared" si="1"/>
        <v>1.0000466666666668</v>
      </c>
      <c r="J51" s="253">
        <f t="shared" si="5"/>
        <v>1.0032974727111268</v>
      </c>
      <c r="K51" s="84">
        <f t="shared" si="2"/>
        <v>3.0119076365494724E-7</v>
      </c>
      <c r="L51" s="244"/>
      <c r="M51" s="70"/>
      <c r="N51" s="68">
        <f t="shared" si="6"/>
        <v>44233</v>
      </c>
      <c r="O51" s="73">
        <f t="shared" si="3"/>
        <v>2.1800301190763656E-2</v>
      </c>
      <c r="P51" s="70"/>
      <c r="Q51" s="71"/>
      <c r="R51" s="71"/>
      <c r="S51" s="71"/>
      <c r="T51" s="71"/>
      <c r="U51" s="71"/>
      <c r="V51" s="71"/>
      <c r="W51" s="71"/>
      <c r="X51" s="71"/>
      <c r="Y51" s="71"/>
      <c r="Z51" s="71"/>
      <c r="AA51" s="71"/>
      <c r="AB51" s="71"/>
      <c r="AC51" s="71"/>
      <c r="AD51" s="71"/>
      <c r="AE51" s="71"/>
      <c r="AF51" s="71"/>
    </row>
    <row r="52" spans="1:32" s="7" customFormat="1">
      <c r="A52" s="233">
        <v>2.1899999999999999E-2</v>
      </c>
      <c r="B52" s="293">
        <v>8405</v>
      </c>
      <c r="C52" s="232">
        <v>43901</v>
      </c>
      <c r="D52" s="232">
        <v>43902</v>
      </c>
      <c r="F52" s="273">
        <f t="shared" si="4"/>
        <v>1.6899999999999998E-2</v>
      </c>
      <c r="G52"/>
      <c r="H52" s="89">
        <f t="shared" si="0"/>
        <v>1</v>
      </c>
      <c r="I52" s="90">
        <f t="shared" si="1"/>
        <v>1.0000469444444444</v>
      </c>
      <c r="J52" s="253">
        <f t="shared" si="5"/>
        <v>1.0033442932598533</v>
      </c>
      <c r="K52" s="84">
        <f t="shared" si="2"/>
        <v>6.023813602146411E-7</v>
      </c>
      <c r="L52" s="244"/>
      <c r="M52" s="70"/>
      <c r="N52" s="68">
        <f t="shared" si="6"/>
        <v>44234</v>
      </c>
      <c r="O52" s="73">
        <f t="shared" si="3"/>
        <v>2.1900602381360212E-2</v>
      </c>
      <c r="P52" s="70"/>
      <c r="Q52" s="71"/>
      <c r="R52" s="71"/>
      <c r="S52" s="71"/>
      <c r="T52" s="71"/>
      <c r="U52" s="71"/>
      <c r="V52" s="71"/>
      <c r="W52" s="71"/>
      <c r="X52" s="71"/>
      <c r="Y52" s="71"/>
      <c r="Z52" s="71"/>
      <c r="AA52" s="71"/>
      <c r="AB52" s="71"/>
      <c r="AC52" s="71"/>
      <c r="AD52" s="71"/>
      <c r="AE52" s="71"/>
      <c r="AF52" s="71"/>
    </row>
    <row r="53" spans="1:32" s="7" customFormat="1">
      <c r="A53" s="233">
        <v>2.2100000000000002E-2</v>
      </c>
      <c r="B53" s="293">
        <v>8120</v>
      </c>
      <c r="C53" s="232">
        <v>43902</v>
      </c>
      <c r="D53" s="232">
        <v>43903</v>
      </c>
      <c r="F53" s="273">
        <f t="shared" si="4"/>
        <v>1.7100000000000001E-2</v>
      </c>
      <c r="G53"/>
      <c r="H53" s="89">
        <f t="shared" si="0"/>
        <v>1</v>
      </c>
      <c r="I53" s="90">
        <f t="shared" si="1"/>
        <v>1.0000475</v>
      </c>
      <c r="J53" s="253">
        <f t="shared" si="5"/>
        <v>1.0033913947002868</v>
      </c>
      <c r="K53" s="84">
        <f t="shared" si="2"/>
        <v>1.0210358381478231E-4</v>
      </c>
      <c r="L53" s="244"/>
      <c r="M53" s="70"/>
      <c r="N53" s="68">
        <f t="shared" si="6"/>
        <v>44235</v>
      </c>
      <c r="O53" s="73">
        <f t="shared" si="3"/>
        <v>2.2202103583814786E-2</v>
      </c>
      <c r="P53" s="70"/>
      <c r="Q53" s="71"/>
      <c r="R53" s="71"/>
      <c r="S53" s="71"/>
      <c r="T53" s="71"/>
      <c r="U53" s="71"/>
      <c r="V53" s="71"/>
      <c r="W53" s="71"/>
      <c r="X53" s="71"/>
      <c r="Y53" s="71"/>
      <c r="Z53" s="71"/>
      <c r="AA53" s="71"/>
      <c r="AB53" s="71"/>
      <c r="AC53" s="71"/>
      <c r="AD53" s="71"/>
      <c r="AE53" s="71"/>
      <c r="AF53" s="71"/>
    </row>
    <row r="54" spans="1:32" s="7" customFormat="1">
      <c r="A54" s="233">
        <v>2.1999999999999999E-2</v>
      </c>
      <c r="B54" s="293">
        <v>5704</v>
      </c>
      <c r="C54" s="232">
        <v>43903</v>
      </c>
      <c r="D54" s="232">
        <v>43906</v>
      </c>
      <c r="F54" s="273">
        <f t="shared" si="4"/>
        <v>1.6999999999999998E-2</v>
      </c>
      <c r="G54"/>
      <c r="H54" s="89">
        <f t="shared" si="0"/>
        <v>3</v>
      </c>
      <c r="I54" s="90">
        <f t="shared" si="1"/>
        <v>1.0001416666666667</v>
      </c>
      <c r="J54" s="253">
        <f t="shared" si="5"/>
        <v>1.0034390557915351</v>
      </c>
      <c r="K54" s="84">
        <f t="shared" si="2"/>
        <v>-1.0092509621761891E-4</v>
      </c>
      <c r="L54" s="244"/>
      <c r="M54" s="70"/>
      <c r="N54" s="68">
        <f t="shared" si="6"/>
        <v>44236</v>
      </c>
      <c r="O54" s="73">
        <f t="shared" si="3"/>
        <v>2.189907490378238E-2</v>
      </c>
      <c r="P54" s="70"/>
      <c r="Q54" s="71"/>
      <c r="R54" s="71"/>
      <c r="S54" s="71"/>
      <c r="T54" s="71"/>
      <c r="U54" s="71"/>
      <c r="V54" s="71"/>
      <c r="W54" s="71"/>
      <c r="X54" s="71"/>
      <c r="Y54" s="71"/>
      <c r="Z54" s="71"/>
      <c r="AA54" s="71"/>
      <c r="AB54" s="71"/>
      <c r="AC54" s="71"/>
      <c r="AD54" s="71"/>
      <c r="AE54" s="71"/>
      <c r="AF54" s="71"/>
    </row>
    <row r="55" spans="1:32" s="7" customFormat="1">
      <c r="A55" s="233">
        <v>2.2689999999999998E-2</v>
      </c>
      <c r="B55" s="293">
        <v>9157</v>
      </c>
      <c r="C55" s="232">
        <v>43906</v>
      </c>
      <c r="D55" s="232">
        <v>43907</v>
      </c>
      <c r="F55" s="273">
        <f t="shared" si="4"/>
        <v>1.7689999999999997E-2</v>
      </c>
      <c r="G55"/>
      <c r="H55" s="89">
        <f t="shared" si="0"/>
        <v>1</v>
      </c>
      <c r="I55" s="90">
        <f t="shared" si="1"/>
        <v>1.0000491388888888</v>
      </c>
      <c r="J55" s="253">
        <f t="shared" si="5"/>
        <v>1.0035812096577723</v>
      </c>
      <c r="K55" s="84">
        <f t="shared" si="2"/>
        <v>5.6966897679089357E-6</v>
      </c>
      <c r="L55" s="244"/>
      <c r="M55" s="70"/>
      <c r="N55" s="68">
        <f t="shared" si="6"/>
        <v>44237</v>
      </c>
      <c r="O55" s="73">
        <f t="shared" si="3"/>
        <v>2.2695696689767907E-2</v>
      </c>
      <c r="P55" s="70"/>
      <c r="Q55" s="71"/>
      <c r="R55" s="71"/>
      <c r="S55" s="71"/>
      <c r="T55" s="71"/>
      <c r="U55" s="71"/>
      <c r="V55" s="71"/>
      <c r="W55" s="71"/>
      <c r="X55" s="71"/>
      <c r="Y55" s="71"/>
      <c r="Z55" s="71"/>
      <c r="AA55" s="71"/>
      <c r="AB55" s="71"/>
      <c r="AC55" s="71"/>
      <c r="AD55" s="71"/>
      <c r="AE55" s="71"/>
      <c r="AF55" s="71"/>
    </row>
    <row r="56" spans="1:32" s="7" customFormat="1">
      <c r="A56" s="233">
        <v>2.4570000000000002E-2</v>
      </c>
      <c r="B56" s="293">
        <v>8053</v>
      </c>
      <c r="C56" s="232">
        <v>43907</v>
      </c>
      <c r="D56" s="232">
        <v>43908</v>
      </c>
      <c r="F56" s="273">
        <f t="shared" si="4"/>
        <v>1.9570000000000001E-2</v>
      </c>
      <c r="G56"/>
      <c r="H56" s="89">
        <f t="shared" si="0"/>
        <v>1</v>
      </c>
      <c r="I56" s="90">
        <f t="shared" si="1"/>
        <v>1.000054361111111</v>
      </c>
      <c r="J56" s="253">
        <f t="shared" si="5"/>
        <v>1.0036305245233246</v>
      </c>
      <c r="K56" s="84">
        <f t="shared" si="2"/>
        <v>-9.2116204580524918E-6</v>
      </c>
      <c r="L56" s="244"/>
      <c r="M56" s="70"/>
      <c r="N56" s="68">
        <f t="shared" si="6"/>
        <v>44238</v>
      </c>
      <c r="O56" s="73">
        <f t="shared" si="3"/>
        <v>2.456078837954195E-2</v>
      </c>
      <c r="P56" s="70"/>
      <c r="Q56" s="71"/>
      <c r="R56" s="71"/>
      <c r="S56" s="71"/>
      <c r="T56" s="71"/>
      <c r="U56" s="71"/>
      <c r="V56" s="71"/>
      <c r="W56" s="71"/>
      <c r="X56" s="71"/>
      <c r="Y56" s="71"/>
      <c r="Z56" s="71"/>
      <c r="AA56" s="71"/>
      <c r="AB56" s="71"/>
      <c r="AC56" s="71"/>
      <c r="AD56" s="71"/>
      <c r="AE56" s="71"/>
      <c r="AF56" s="71"/>
    </row>
    <row r="57" spans="1:32" s="7" customFormat="1">
      <c r="A57" s="233">
        <v>2.1530000000000001E-2</v>
      </c>
      <c r="B57" s="293">
        <v>7786</v>
      </c>
      <c r="C57" s="232">
        <v>43908</v>
      </c>
      <c r="D57" s="232">
        <v>43909</v>
      </c>
      <c r="F57" s="273">
        <f t="shared" si="4"/>
        <v>1.653E-2</v>
      </c>
      <c r="G57"/>
      <c r="H57" s="89">
        <f t="shared" si="0"/>
        <v>1</v>
      </c>
      <c r="I57" s="90">
        <f t="shared" si="1"/>
        <v>1.0000459166666666</v>
      </c>
      <c r="J57" s="253">
        <f t="shared" si="5"/>
        <v>1.0036850829937827</v>
      </c>
      <c r="K57" s="84">
        <f t="shared" si="2"/>
        <v>-6.454249096873613E-6</v>
      </c>
      <c r="L57" s="244"/>
      <c r="M57" s="70"/>
      <c r="N57" s="68">
        <f t="shared" si="6"/>
        <v>44239</v>
      </c>
      <c r="O57" s="73">
        <f t="shared" si="3"/>
        <v>2.1523545750903126E-2</v>
      </c>
      <c r="P57" s="70"/>
      <c r="Q57" s="71"/>
      <c r="R57" s="71"/>
      <c r="S57" s="67"/>
      <c r="T57" s="71"/>
      <c r="U57" s="71"/>
      <c r="V57" s="71"/>
      <c r="W57" s="71"/>
      <c r="X57" s="71"/>
      <c r="Y57" s="71"/>
      <c r="Z57" s="71"/>
      <c r="AA57" s="71"/>
      <c r="AB57" s="71"/>
      <c r="AC57" s="71"/>
      <c r="AD57" s="71"/>
      <c r="AE57" s="71"/>
      <c r="AF57" s="71"/>
    </row>
    <row r="58" spans="1:32" s="7" customFormat="1">
      <c r="A58" s="233">
        <v>1.9400000000000001E-2</v>
      </c>
      <c r="B58" s="293">
        <v>6974</v>
      </c>
      <c r="C58" s="232">
        <v>43909</v>
      </c>
      <c r="D58" s="232">
        <v>43910</v>
      </c>
      <c r="F58" s="273">
        <f t="shared" si="4"/>
        <v>1.44E-2</v>
      </c>
      <c r="G58"/>
      <c r="H58" s="89">
        <f t="shared" si="0"/>
        <v>1</v>
      </c>
      <c r="I58" s="90">
        <f t="shared" si="1"/>
        <v>1.00004</v>
      </c>
      <c r="J58" s="253">
        <f t="shared" si="5"/>
        <v>1.0037311688671768</v>
      </c>
      <c r="K58" s="84">
        <f t="shared" si="2"/>
        <v>8.8632818323749774E-5</v>
      </c>
      <c r="L58" s="244"/>
      <c r="M58" s="70"/>
      <c r="N58" s="68">
        <f t="shared" si="6"/>
        <v>44240</v>
      </c>
      <c r="O58" s="73">
        <f t="shared" si="3"/>
        <v>1.9488632818323751E-2</v>
      </c>
      <c r="P58" s="70"/>
      <c r="Q58" s="71"/>
      <c r="R58" s="71"/>
      <c r="S58" s="71"/>
      <c r="T58" s="71"/>
      <c r="U58" s="71"/>
      <c r="V58" s="71"/>
      <c r="W58" s="71"/>
      <c r="X58" s="71"/>
      <c r="Y58" s="71"/>
      <c r="Z58" s="71"/>
      <c r="AA58" s="71"/>
      <c r="AB58" s="71"/>
      <c r="AC58" s="71"/>
      <c r="AD58" s="71"/>
      <c r="AE58" s="71"/>
      <c r="AF58" s="71"/>
    </row>
    <row r="59" spans="1:32" s="7" customFormat="1">
      <c r="A59" s="233">
        <v>1.9550000000000001E-2</v>
      </c>
      <c r="B59" s="293">
        <v>7019</v>
      </c>
      <c r="C59" s="232">
        <v>43910</v>
      </c>
      <c r="D59" s="232">
        <v>43913</v>
      </c>
      <c r="F59" s="273">
        <f t="shared" si="4"/>
        <v>1.455E-2</v>
      </c>
      <c r="G59"/>
      <c r="H59" s="89">
        <f t="shared" si="0"/>
        <v>3</v>
      </c>
      <c r="I59" s="90">
        <f t="shared" si="1"/>
        <v>1.0001212500000001</v>
      </c>
      <c r="J59" s="253">
        <f t="shared" si="5"/>
        <v>1.0037713181139316</v>
      </c>
      <c r="K59" s="84">
        <f t="shared" si="2"/>
        <v>-8.9501343084147771E-5</v>
      </c>
      <c r="L59" s="244"/>
      <c r="M59" s="70"/>
      <c r="N59" s="68">
        <f t="shared" si="6"/>
        <v>44241</v>
      </c>
      <c r="O59" s="73">
        <f t="shared" si="3"/>
        <v>1.9460498656915855E-2</v>
      </c>
      <c r="P59" s="70"/>
      <c r="Q59" s="71"/>
      <c r="R59" s="71"/>
      <c r="S59" s="71"/>
      <c r="T59" s="71"/>
      <c r="U59" s="71"/>
      <c r="V59" s="71"/>
      <c r="W59" s="71"/>
      <c r="X59" s="71"/>
      <c r="Y59" s="71"/>
      <c r="Z59" s="71"/>
      <c r="AA59" s="71"/>
      <c r="AB59" s="71"/>
      <c r="AC59" s="71"/>
      <c r="AD59" s="71"/>
      <c r="AE59" s="71"/>
      <c r="AF59" s="71"/>
    </row>
    <row r="60" spans="1:32" s="7" customFormat="1">
      <c r="A60" s="233">
        <v>1.9290000000000002E-2</v>
      </c>
      <c r="B60" s="293">
        <v>8023</v>
      </c>
      <c r="C60" s="232">
        <v>43913</v>
      </c>
      <c r="D60" s="232">
        <v>43914</v>
      </c>
      <c r="F60" s="273">
        <f t="shared" si="4"/>
        <v>1.4290000000000001E-2</v>
      </c>
      <c r="G60"/>
      <c r="H60" s="89">
        <f t="shared" si="0"/>
        <v>1</v>
      </c>
      <c r="I60" s="90">
        <f t="shared" si="1"/>
        <v>1.0000396944444445</v>
      </c>
      <c r="J60" s="253">
        <f t="shared" si="5"/>
        <v>1.003893025386253</v>
      </c>
      <c r="K60" s="84">
        <f t="shared" si="2"/>
        <v>-1.4023833576111794E-6</v>
      </c>
      <c r="L60" s="244"/>
      <c r="M60" s="70"/>
      <c r="N60" s="78">
        <f t="shared" si="6"/>
        <v>44242</v>
      </c>
      <c r="O60" s="73">
        <f t="shared" si="3"/>
        <v>1.9288597616642391E-2</v>
      </c>
      <c r="P60" s="70"/>
      <c r="Q60" s="71"/>
      <c r="R60" s="71"/>
      <c r="S60" s="71"/>
      <c r="T60" s="71"/>
      <c r="U60" s="71"/>
      <c r="V60" s="71"/>
      <c r="W60" s="71"/>
      <c r="X60" s="71"/>
      <c r="Y60" s="71"/>
      <c r="Z60" s="71"/>
      <c r="AA60" s="71"/>
      <c r="AB60" s="71"/>
      <c r="AC60" s="71"/>
      <c r="AD60" s="71"/>
      <c r="AE60" s="71"/>
      <c r="AF60" s="71"/>
    </row>
    <row r="61" spans="1:32" s="7" customFormat="1">
      <c r="A61" s="233">
        <v>1.883E-2</v>
      </c>
      <c r="B61" s="293">
        <v>8105</v>
      </c>
      <c r="C61" s="232">
        <v>43914</v>
      </c>
      <c r="D61" s="232">
        <v>43915</v>
      </c>
      <c r="F61" s="273">
        <f t="shared" si="4"/>
        <v>1.3829999999999999E-2</v>
      </c>
      <c r="G61"/>
      <c r="H61" s="89">
        <f t="shared" si="0"/>
        <v>1</v>
      </c>
      <c r="I61" s="90">
        <f t="shared" si="1"/>
        <v>1.0000384166666667</v>
      </c>
      <c r="J61" s="253">
        <f t="shared" si="5"/>
        <v>1.0039328743621774</v>
      </c>
      <c r="K61" s="84">
        <f t="shared" si="2"/>
        <v>1.2804386146491882E-6</v>
      </c>
      <c r="L61" s="244"/>
      <c r="M61" s="70"/>
      <c r="N61" s="72">
        <f t="shared" si="6"/>
        <v>44243</v>
      </c>
      <c r="O61" s="73">
        <f t="shared" si="3"/>
        <v>1.883128043861465E-2</v>
      </c>
      <c r="P61" s="70"/>
      <c r="Q61" s="71"/>
      <c r="R61" s="71"/>
      <c r="S61" s="71"/>
      <c r="T61" s="71"/>
      <c r="U61" s="71"/>
      <c r="V61" s="71"/>
      <c r="W61" s="71"/>
      <c r="X61" s="71"/>
      <c r="Y61" s="71"/>
      <c r="Z61" s="71"/>
      <c r="AA61" s="71"/>
      <c r="AB61" s="71"/>
      <c r="AC61" s="71"/>
      <c r="AD61" s="71"/>
      <c r="AE61" s="71"/>
      <c r="AF61" s="71"/>
    </row>
    <row r="62" spans="1:32" s="7" customFormat="1">
      <c r="A62" s="233">
        <v>1.925E-2</v>
      </c>
      <c r="B62" s="293">
        <v>7251</v>
      </c>
      <c r="C62" s="232">
        <v>43915</v>
      </c>
      <c r="D62" s="232">
        <v>43916</v>
      </c>
      <c r="F62" s="273">
        <f t="shared" si="4"/>
        <v>1.4249999999999999E-2</v>
      </c>
      <c r="G62"/>
      <c r="H62" s="89">
        <f t="shared" si="0"/>
        <v>1</v>
      </c>
      <c r="I62" s="90">
        <f t="shared" si="1"/>
        <v>1.0000395833333333</v>
      </c>
      <c r="J62" s="253">
        <f t="shared" si="5"/>
        <v>1.0039714421167676</v>
      </c>
      <c r="K62" s="84">
        <f t="shared" si="2"/>
        <v>-3.0486598245893504E-8</v>
      </c>
      <c r="L62" s="244"/>
      <c r="M62" s="70"/>
      <c r="N62" s="68">
        <f t="shared" si="6"/>
        <v>44244</v>
      </c>
      <c r="O62" s="73">
        <f t="shared" si="3"/>
        <v>1.9249969513401754E-2</v>
      </c>
      <c r="P62" s="70"/>
      <c r="Q62" s="71"/>
      <c r="R62" s="71"/>
      <c r="S62" s="71"/>
      <c r="T62" s="71"/>
      <c r="U62" s="71"/>
      <c r="V62" s="71"/>
      <c r="W62" s="71"/>
      <c r="X62" s="71"/>
      <c r="Y62" s="71"/>
      <c r="Z62" s="71"/>
      <c r="AA62" s="71"/>
      <c r="AB62" s="71"/>
      <c r="AC62" s="71"/>
      <c r="AD62" s="71"/>
      <c r="AE62" s="71"/>
      <c r="AF62" s="71"/>
    </row>
    <row r="63" spans="1:32" s="7" customFormat="1">
      <c r="A63" s="233">
        <v>1.924E-2</v>
      </c>
      <c r="B63" s="293">
        <v>9510</v>
      </c>
      <c r="C63" s="232">
        <v>43916</v>
      </c>
      <c r="D63" s="232">
        <v>43917</v>
      </c>
      <c r="F63" s="273">
        <f t="shared" si="4"/>
        <v>1.4239999999999999E-2</v>
      </c>
      <c r="G63"/>
      <c r="H63" s="89">
        <f t="shared" si="0"/>
        <v>1</v>
      </c>
      <c r="I63" s="90">
        <f t="shared" si="1"/>
        <v>1.0000395555555555</v>
      </c>
      <c r="J63" s="253">
        <f t="shared" si="5"/>
        <v>1.004011182653018</v>
      </c>
      <c r="K63" s="84">
        <f t="shared" si="2"/>
        <v>8.801481120826121E-5</v>
      </c>
      <c r="L63" s="244"/>
      <c r="M63" s="70"/>
      <c r="N63" s="68">
        <f t="shared" si="6"/>
        <v>44245</v>
      </c>
      <c r="O63" s="73">
        <f t="shared" si="3"/>
        <v>1.9328014811208261E-2</v>
      </c>
      <c r="P63" s="70"/>
      <c r="Q63" s="71"/>
      <c r="R63" s="71"/>
      <c r="S63" s="71"/>
      <c r="T63" s="71"/>
      <c r="U63" s="71"/>
      <c r="V63" s="71"/>
      <c r="W63" s="71"/>
      <c r="X63" s="71"/>
      <c r="Y63" s="71"/>
      <c r="Z63" s="71"/>
      <c r="AA63" s="71"/>
      <c r="AB63" s="71"/>
      <c r="AC63" s="71"/>
      <c r="AD63" s="71"/>
      <c r="AE63" s="71"/>
      <c r="AF63" s="71"/>
    </row>
    <row r="64" spans="1:32" s="7" customFormat="1">
      <c r="A64" s="233">
        <v>1.9369999999999998E-2</v>
      </c>
      <c r="B64" s="293">
        <v>6422</v>
      </c>
      <c r="C64" s="232">
        <v>43917</v>
      </c>
      <c r="D64" s="232">
        <v>43920</v>
      </c>
      <c r="F64" s="273">
        <f t="shared" si="4"/>
        <v>1.4369999999999997E-2</v>
      </c>
      <c r="G64"/>
      <c r="H64" s="89">
        <f t="shared" si="0"/>
        <v>3</v>
      </c>
      <c r="I64" s="90">
        <f t="shared" si="1"/>
        <v>1.0001197500000001</v>
      </c>
      <c r="J64" s="253">
        <f t="shared" si="5"/>
        <v>1.0040508968731319</v>
      </c>
      <c r="K64" s="84">
        <f t="shared" si="2"/>
        <v>-8.8118282191509105E-5</v>
      </c>
      <c r="L64" s="244"/>
      <c r="M64" s="70"/>
      <c r="N64" s="68">
        <f t="shared" si="6"/>
        <v>44246</v>
      </c>
      <c r="O64" s="73">
        <f t="shared" si="3"/>
        <v>1.928188171780849E-2</v>
      </c>
      <c r="P64" s="70"/>
      <c r="Q64" s="71"/>
      <c r="R64" s="71"/>
      <c r="S64" s="71"/>
      <c r="T64" s="71"/>
      <c r="U64" s="71"/>
      <c r="V64" s="71"/>
      <c r="W64" s="71"/>
      <c r="X64" s="71"/>
      <c r="Y64" s="71"/>
      <c r="Z64" s="71"/>
      <c r="AA64" s="71"/>
      <c r="AB64" s="71"/>
      <c r="AC64" s="71"/>
      <c r="AD64" s="71"/>
      <c r="AE64" s="71"/>
      <c r="AF64" s="71"/>
    </row>
    <row r="65" spans="1:32" s="7" customFormat="1">
      <c r="A65" s="233">
        <v>1.9380000000000001E-2</v>
      </c>
      <c r="B65" s="293">
        <v>5189</v>
      </c>
      <c r="C65" s="232">
        <v>43920</v>
      </c>
      <c r="D65" s="232">
        <v>43921</v>
      </c>
      <c r="F65" s="273">
        <f t="shared" si="4"/>
        <v>1.438E-2</v>
      </c>
      <c r="G65"/>
      <c r="H65" s="89">
        <f t="shared" si="0"/>
        <v>1</v>
      </c>
      <c r="I65" s="90">
        <f t="shared" si="1"/>
        <v>1.0000399444444446</v>
      </c>
      <c r="J65" s="253">
        <f t="shared" si="5"/>
        <v>1.0041711319680324</v>
      </c>
      <c r="K65" s="84">
        <f t="shared" si="2"/>
        <v>-2.1471534979448167E-7</v>
      </c>
      <c r="L65" s="244"/>
      <c r="M65" s="70"/>
      <c r="N65" s="68">
        <f t="shared" si="6"/>
        <v>44247</v>
      </c>
      <c r="O65" s="73">
        <f t="shared" si="3"/>
        <v>1.9379785284650206E-2</v>
      </c>
      <c r="P65" s="70"/>
      <c r="Q65" s="71"/>
      <c r="R65" s="71"/>
      <c r="S65" s="71"/>
      <c r="T65" s="71"/>
      <c r="U65" s="71"/>
      <c r="V65" s="71"/>
      <c r="W65" s="71"/>
      <c r="X65" s="71"/>
      <c r="Y65" s="71"/>
      <c r="Z65" s="71"/>
      <c r="AA65" s="71"/>
      <c r="AB65" s="71"/>
      <c r="AC65" s="71"/>
      <c r="AD65" s="71"/>
      <c r="AE65" s="71"/>
      <c r="AF65" s="71"/>
    </row>
    <row r="66" spans="1:32" s="7" customFormat="1">
      <c r="A66" s="233">
        <v>1.9310000000000001E-2</v>
      </c>
      <c r="B66" s="293">
        <v>5936</v>
      </c>
      <c r="C66" s="232">
        <v>43921</v>
      </c>
      <c r="D66" s="232">
        <v>43922</v>
      </c>
      <c r="F66" s="273">
        <f t="shared" si="4"/>
        <v>1.431E-2</v>
      </c>
      <c r="G66"/>
      <c r="H66" s="89">
        <f t="shared" ref="H66:H129" si="7">D66-C66</f>
        <v>1</v>
      </c>
      <c r="I66" s="90">
        <f t="shared" ref="I66:I129" si="8">(1+F66*(D66-C66)/360)</f>
        <v>1.00003975</v>
      </c>
      <c r="J66" s="253">
        <f t="shared" si="5"/>
        <v>1.0042112430260262</v>
      </c>
      <c r="K66" s="84">
        <f t="shared" ref="K66:K129" si="9">((I67/I66-1)*360/(N66-D66))</f>
        <v>-1.2269450952161768E-7</v>
      </c>
      <c r="L66" s="244"/>
      <c r="M66" s="70"/>
      <c r="N66" s="68">
        <f t="shared" si="6"/>
        <v>44248</v>
      </c>
      <c r="O66" s="73">
        <f t="shared" ref="O66:O129" si="10">A66+K66</f>
        <v>1.930987730549048E-2</v>
      </c>
      <c r="P66" s="70"/>
      <c r="Q66" s="71"/>
      <c r="R66" s="71"/>
      <c r="S66" s="71"/>
      <c r="T66" s="71"/>
      <c r="U66" s="71"/>
      <c r="V66" s="71"/>
      <c r="W66" s="71"/>
      <c r="X66" s="71"/>
      <c r="Y66" s="71"/>
      <c r="Z66" s="71"/>
      <c r="AA66" s="71"/>
      <c r="AB66" s="71"/>
      <c r="AC66" s="71"/>
      <c r="AD66" s="71"/>
      <c r="AE66" s="71"/>
      <c r="AF66" s="71"/>
    </row>
    <row r="67" spans="1:32" s="7" customFormat="1">
      <c r="A67" s="233">
        <v>1.9269999999999999E-2</v>
      </c>
      <c r="B67" s="293">
        <v>6142</v>
      </c>
      <c r="C67" s="232">
        <v>43922</v>
      </c>
      <c r="D67" s="232">
        <v>43923</v>
      </c>
      <c r="F67" s="273">
        <f t="shared" ref="F67:F130" si="11">A67-0.005</f>
        <v>1.4269999999999998E-2</v>
      </c>
      <c r="G67"/>
      <c r="H67" s="89">
        <f t="shared" si="7"/>
        <v>1</v>
      </c>
      <c r="I67" s="90">
        <f t="shared" si="8"/>
        <v>1.0000396388888888</v>
      </c>
      <c r="J67" s="253">
        <f t="shared" si="5"/>
        <v>1.0042511604229365</v>
      </c>
      <c r="K67" s="84">
        <f t="shared" si="9"/>
        <v>-8.2818803030239622E-7</v>
      </c>
      <c r="L67" s="244"/>
      <c r="M67" s="70"/>
      <c r="N67" s="68">
        <f t="shared" si="6"/>
        <v>44249</v>
      </c>
      <c r="O67" s="73">
        <f t="shared" si="10"/>
        <v>1.9269171811969698E-2</v>
      </c>
      <c r="P67" s="70"/>
      <c r="Q67" s="71"/>
      <c r="R67" s="71"/>
      <c r="S67" s="71"/>
      <c r="T67" s="71"/>
      <c r="U67" s="71"/>
      <c r="V67" s="71"/>
      <c r="W67" s="71"/>
      <c r="X67" s="71"/>
      <c r="Y67" s="71"/>
      <c r="Z67" s="71"/>
      <c r="AA67" s="71"/>
      <c r="AB67" s="71"/>
      <c r="AC67" s="71"/>
      <c r="AD67" s="71"/>
      <c r="AE67" s="71"/>
      <c r="AF67" s="71"/>
    </row>
    <row r="68" spans="1:32" s="7" customFormat="1">
      <c r="A68" s="233">
        <v>1.9E-2</v>
      </c>
      <c r="B68" s="293">
        <v>7597</v>
      </c>
      <c r="C68" s="232">
        <v>43923</v>
      </c>
      <c r="D68" s="232">
        <v>43924</v>
      </c>
      <c r="F68" s="273">
        <f t="shared" si="11"/>
        <v>1.3999999999999999E-2</v>
      </c>
      <c r="G68"/>
      <c r="H68" s="89">
        <f t="shared" si="7"/>
        <v>1</v>
      </c>
      <c r="I68" s="90">
        <f t="shared" si="8"/>
        <v>1.0000388888888889</v>
      </c>
      <c r="J68" s="253">
        <f t="shared" ref="J68:J131" si="12">J67*I67</f>
        <v>1.0042909678231009</v>
      </c>
      <c r="K68" s="84">
        <f t="shared" si="9"/>
        <v>8.9935152828515778E-5</v>
      </c>
      <c r="L68" s="244"/>
      <c r="M68" s="70"/>
      <c r="N68" s="68">
        <f t="shared" ref="N68:N131" si="13">N67+1</f>
        <v>44250</v>
      </c>
      <c r="O68" s="73">
        <f t="shared" si="10"/>
        <v>1.9089935152828516E-2</v>
      </c>
      <c r="P68" s="70"/>
      <c r="Q68" s="71"/>
      <c r="R68" s="71"/>
      <c r="S68" s="71"/>
      <c r="T68" s="71"/>
      <c r="U68" s="71"/>
      <c r="V68" s="71"/>
      <c r="W68" s="71"/>
      <c r="X68" s="71"/>
      <c r="Y68" s="71"/>
      <c r="Z68" s="71"/>
      <c r="AA68" s="71"/>
      <c r="AB68" s="71"/>
      <c r="AC68" s="71"/>
      <c r="AD68" s="71"/>
      <c r="AE68" s="71"/>
      <c r="AF68" s="71"/>
    </row>
    <row r="69" spans="1:32" s="7" customFormat="1">
      <c r="A69" s="233">
        <v>1.9439999999999999E-2</v>
      </c>
      <c r="B69" s="293">
        <v>6415</v>
      </c>
      <c r="C69" s="232">
        <v>43924</v>
      </c>
      <c r="D69" s="232">
        <v>43927</v>
      </c>
      <c r="F69" s="273">
        <f t="shared" si="11"/>
        <v>1.4439999999999998E-2</v>
      </c>
      <c r="G69"/>
      <c r="H69" s="89">
        <f t="shared" si="7"/>
        <v>3</v>
      </c>
      <c r="I69" s="90">
        <f t="shared" si="8"/>
        <v>1.0001203333333333</v>
      </c>
      <c r="J69" s="253">
        <f t="shared" si="12"/>
        <v>1.0043300235829606</v>
      </c>
      <c r="K69" s="84">
        <f t="shared" si="9"/>
        <v>-8.9094217267475059E-5</v>
      </c>
      <c r="L69" s="244"/>
      <c r="M69" s="70"/>
      <c r="N69" s="68">
        <f t="shared" si="13"/>
        <v>44251</v>
      </c>
      <c r="O69" s="73">
        <f t="shared" si="10"/>
        <v>1.9350905782732523E-2</v>
      </c>
      <c r="P69" s="70"/>
      <c r="Q69" s="71"/>
      <c r="R69" s="71"/>
      <c r="S69" s="71"/>
      <c r="T69" s="71"/>
      <c r="U69" s="71"/>
      <c r="V69" s="71"/>
      <c r="W69" s="71"/>
      <c r="X69" s="71"/>
      <c r="Y69" s="71"/>
      <c r="Z69" s="71"/>
      <c r="AA69" s="71"/>
      <c r="AB69" s="71"/>
      <c r="AC69" s="71"/>
      <c r="AD69" s="71"/>
      <c r="AE69" s="71"/>
      <c r="AF69" s="71"/>
    </row>
    <row r="70" spans="1:32" s="7" customFormat="1">
      <c r="A70" s="233">
        <v>1.9449999999999999E-2</v>
      </c>
      <c r="B70" s="293">
        <v>6808</v>
      </c>
      <c r="C70" s="232">
        <v>43927</v>
      </c>
      <c r="D70" s="232">
        <v>43928</v>
      </c>
      <c r="F70" s="273">
        <f t="shared" si="11"/>
        <v>1.4449999999999998E-2</v>
      </c>
      <c r="G70"/>
      <c r="H70" s="89">
        <f t="shared" si="7"/>
        <v>1</v>
      </c>
      <c r="I70" s="90">
        <f t="shared" si="8"/>
        <v>1.0000401388888889</v>
      </c>
      <c r="J70" s="253">
        <f t="shared" si="12"/>
        <v>1.004450877962465</v>
      </c>
      <c r="K70" s="84">
        <f t="shared" si="9"/>
        <v>1.6974627298833095E-6</v>
      </c>
      <c r="L70" s="244"/>
      <c r="M70" s="70"/>
      <c r="N70" s="68">
        <f t="shared" si="13"/>
        <v>44252</v>
      </c>
      <c r="O70" s="73">
        <f t="shared" si="10"/>
        <v>1.9451697462729883E-2</v>
      </c>
      <c r="P70" s="70"/>
      <c r="Q70" s="71"/>
      <c r="R70" s="71"/>
      <c r="S70" s="71"/>
      <c r="T70" s="71"/>
      <c r="U70" s="71"/>
      <c r="V70" s="71"/>
      <c r="W70" s="71"/>
      <c r="X70" s="71"/>
      <c r="Y70" s="71"/>
      <c r="Z70" s="71"/>
      <c r="AA70" s="71"/>
      <c r="AB70" s="71"/>
      <c r="AC70" s="71"/>
      <c r="AD70" s="71"/>
      <c r="AE70" s="71"/>
      <c r="AF70" s="71"/>
    </row>
    <row r="71" spans="1:32" s="7" customFormat="1">
      <c r="A71" s="233">
        <v>0.02</v>
      </c>
      <c r="B71" s="293">
        <v>3454</v>
      </c>
      <c r="C71" s="232">
        <v>43928</v>
      </c>
      <c r="D71" s="232">
        <v>43929</v>
      </c>
      <c r="F71" s="273">
        <f t="shared" si="11"/>
        <v>1.4999999999999999E-2</v>
      </c>
      <c r="G71"/>
      <c r="H71" s="89">
        <f t="shared" si="7"/>
        <v>1</v>
      </c>
      <c r="I71" s="90">
        <f t="shared" si="8"/>
        <v>1.0000416666666667</v>
      </c>
      <c r="J71" s="253">
        <f t="shared" si="12"/>
        <v>1.0044911955046498</v>
      </c>
      <c r="K71" s="84">
        <f t="shared" si="9"/>
        <v>-2.6542103955436622E-6</v>
      </c>
      <c r="L71" s="244"/>
      <c r="M71" s="70"/>
      <c r="N71" s="68">
        <f t="shared" si="13"/>
        <v>44253</v>
      </c>
      <c r="O71" s="73">
        <f t="shared" si="10"/>
        <v>1.9997345789604458E-2</v>
      </c>
      <c r="P71" s="70"/>
      <c r="Q71" s="71"/>
      <c r="R71" s="71"/>
      <c r="S71" s="71"/>
      <c r="T71" s="71"/>
      <c r="U71" s="71"/>
      <c r="V71" s="71"/>
      <c r="W71" s="71"/>
      <c r="X71" s="71"/>
      <c r="Y71" s="71"/>
      <c r="Z71" s="71"/>
      <c r="AA71" s="71"/>
      <c r="AB71" s="71"/>
      <c r="AC71" s="71"/>
      <c r="AD71" s="71"/>
      <c r="AE71" s="71"/>
      <c r="AF71" s="71"/>
    </row>
    <row r="72" spans="1:32" s="7" customFormat="1">
      <c r="A72" s="233">
        <v>1.9140000000000001E-2</v>
      </c>
      <c r="B72" s="293">
        <v>8596</v>
      </c>
      <c r="C72" s="232">
        <v>43929</v>
      </c>
      <c r="D72" s="232">
        <v>43930</v>
      </c>
      <c r="F72" s="273">
        <f t="shared" si="11"/>
        <v>1.414E-2</v>
      </c>
      <c r="G72"/>
      <c r="H72" s="89">
        <f t="shared" si="7"/>
        <v>1</v>
      </c>
      <c r="I72" s="90">
        <f t="shared" si="8"/>
        <v>1.0000392777777778</v>
      </c>
      <c r="J72" s="253">
        <f t="shared" si="12"/>
        <v>1.0045330493044626</v>
      </c>
      <c r="K72" s="84">
        <f t="shared" si="9"/>
        <v>2.9628465888128139E-6</v>
      </c>
      <c r="L72" s="244"/>
      <c r="M72" s="70"/>
      <c r="N72" s="68">
        <f t="shared" si="13"/>
        <v>44254</v>
      </c>
      <c r="O72" s="73">
        <f t="shared" si="10"/>
        <v>1.9142962846588812E-2</v>
      </c>
      <c r="P72" s="70"/>
      <c r="Q72" s="71"/>
      <c r="R72" s="71"/>
      <c r="S72" s="71"/>
      <c r="T72" s="71"/>
      <c r="U72" s="71"/>
      <c r="V72" s="71"/>
      <c r="W72" s="71"/>
      <c r="X72" s="71"/>
      <c r="Y72" s="71"/>
      <c r="Z72" s="71"/>
      <c r="AA72" s="71"/>
      <c r="AB72" s="71"/>
      <c r="AC72" s="71"/>
      <c r="AD72" s="71"/>
      <c r="AE72" s="71"/>
      <c r="AF72" s="71"/>
    </row>
    <row r="73" spans="1:32" s="7" customFormat="1">
      <c r="A73" s="233">
        <v>2.01E-2</v>
      </c>
      <c r="B73" s="293">
        <v>10488</v>
      </c>
      <c r="C73" s="232">
        <v>43930</v>
      </c>
      <c r="D73" s="232">
        <v>43931</v>
      </c>
      <c r="F73" s="273">
        <f t="shared" si="11"/>
        <v>1.5099999999999999E-2</v>
      </c>
      <c r="G73"/>
      <c r="H73" s="89">
        <f t="shared" si="7"/>
        <v>1</v>
      </c>
      <c r="I73" s="90">
        <f t="shared" si="8"/>
        <v>1.0000419444444444</v>
      </c>
      <c r="J73" s="253">
        <f t="shared" si="12"/>
        <v>1.0045725051303436</v>
      </c>
      <c r="K73" s="84">
        <f t="shared" si="9"/>
        <v>8.9317241292401979E-5</v>
      </c>
      <c r="L73" s="244"/>
      <c r="M73" s="70"/>
      <c r="N73" s="68">
        <f t="shared" si="13"/>
        <v>44255</v>
      </c>
      <c r="O73" s="73">
        <f t="shared" si="10"/>
        <v>2.0189317241292401E-2</v>
      </c>
      <c r="P73" s="70"/>
      <c r="Q73" s="71"/>
      <c r="R73" s="71"/>
      <c r="S73" s="71"/>
      <c r="T73" s="71"/>
      <c r="U73" s="71"/>
      <c r="V73" s="71"/>
      <c r="W73" s="71"/>
      <c r="X73" s="71"/>
      <c r="Y73" s="71"/>
      <c r="Z73" s="71"/>
      <c r="AA73" s="71"/>
      <c r="AB73" s="71"/>
      <c r="AC73" s="71"/>
      <c r="AD73" s="71"/>
      <c r="AE73" s="71"/>
      <c r="AF73" s="71"/>
    </row>
    <row r="74" spans="1:32" s="7" customFormat="1">
      <c r="A74" s="233">
        <v>1.968E-2</v>
      </c>
      <c r="B74" s="293">
        <v>8395</v>
      </c>
      <c r="C74" s="232">
        <v>43931</v>
      </c>
      <c r="D74" s="232">
        <v>43934</v>
      </c>
      <c r="F74" s="273">
        <f t="shared" si="11"/>
        <v>1.4679999999999999E-2</v>
      </c>
      <c r="G74"/>
      <c r="H74" s="89">
        <f t="shared" si="7"/>
        <v>3</v>
      </c>
      <c r="I74" s="90">
        <f t="shared" si="8"/>
        <v>1.0001223333333333</v>
      </c>
      <c r="J74" s="253">
        <f t="shared" si="12"/>
        <v>1.0046146413659753</v>
      </c>
      <c r="K74" s="84">
        <f t="shared" si="9"/>
        <v>-9.0703189690743218E-5</v>
      </c>
      <c r="L74" s="244"/>
      <c r="M74" s="70"/>
      <c r="N74" s="68">
        <f t="shared" si="13"/>
        <v>44256</v>
      </c>
      <c r="O74" s="73">
        <f t="shared" si="10"/>
        <v>1.9589296810309256E-2</v>
      </c>
      <c r="P74" s="70"/>
      <c r="Q74" s="71"/>
      <c r="R74" s="71"/>
      <c r="S74" s="71"/>
      <c r="T74" s="71"/>
      <c r="U74" s="71"/>
      <c r="V74" s="71"/>
      <c r="W74" s="71"/>
      <c r="X74" s="71"/>
      <c r="Y74" s="71"/>
      <c r="Z74" s="71"/>
      <c r="AA74" s="71"/>
      <c r="AB74" s="71"/>
      <c r="AC74" s="71"/>
      <c r="AD74" s="71"/>
      <c r="AE74" s="71"/>
      <c r="AF74" s="71"/>
    </row>
    <row r="75" spans="1:32" s="7" customFormat="1">
      <c r="A75" s="233">
        <v>1.983E-2</v>
      </c>
      <c r="B75" s="293">
        <v>8689</v>
      </c>
      <c r="C75" s="232">
        <v>43934</v>
      </c>
      <c r="D75" s="232">
        <v>43935</v>
      </c>
      <c r="F75" s="273">
        <f t="shared" si="11"/>
        <v>1.4829999999999999E-2</v>
      </c>
      <c r="G75"/>
      <c r="H75" s="89">
        <f t="shared" si="7"/>
        <v>1</v>
      </c>
      <c r="I75" s="90">
        <f t="shared" si="8"/>
        <v>1.0000411944444445</v>
      </c>
      <c r="J75" s="253">
        <f t="shared" si="12"/>
        <v>1.0047375392237692</v>
      </c>
      <c r="K75" s="84">
        <f t="shared" si="9"/>
        <v>-9.0058401903605115E-7</v>
      </c>
      <c r="L75" s="244"/>
      <c r="M75" s="70"/>
      <c r="N75" s="68">
        <f t="shared" si="13"/>
        <v>44257</v>
      </c>
      <c r="O75" s="73">
        <f t="shared" si="10"/>
        <v>1.9829099415980964E-2</v>
      </c>
      <c r="P75" s="70"/>
      <c r="Q75" s="71"/>
      <c r="R75" s="71"/>
      <c r="S75" s="71"/>
      <c r="T75" s="71"/>
      <c r="U75" s="71"/>
      <c r="V75" s="71"/>
      <c r="W75" s="71"/>
      <c r="X75" s="71"/>
      <c r="Y75" s="71"/>
      <c r="Z75" s="71"/>
      <c r="AA75" s="71"/>
      <c r="AB75" s="71"/>
      <c r="AC75" s="71"/>
      <c r="AD75" s="71"/>
      <c r="AE75" s="71"/>
      <c r="AF75" s="71"/>
    </row>
    <row r="76" spans="1:32" s="7" customFormat="1">
      <c r="A76" s="233">
        <v>1.9539999999999998E-2</v>
      </c>
      <c r="B76" s="293">
        <v>9002</v>
      </c>
      <c r="C76" s="232">
        <v>43935</v>
      </c>
      <c r="D76" s="232">
        <v>43936</v>
      </c>
      <c r="F76" s="273">
        <f t="shared" si="11"/>
        <v>1.4539999999999997E-2</v>
      </c>
      <c r="G76"/>
      <c r="H76" s="89">
        <f t="shared" si="7"/>
        <v>1</v>
      </c>
      <c r="I76" s="90">
        <f t="shared" si="8"/>
        <v>1.0000403888888889</v>
      </c>
      <c r="J76" s="253">
        <f t="shared" si="12"/>
        <v>1.0047789288285101</v>
      </c>
      <c r="K76" s="84">
        <f t="shared" si="9"/>
        <v>6.2109292615796305E-8</v>
      </c>
      <c r="L76" s="244"/>
      <c r="M76" s="70"/>
      <c r="N76" s="68">
        <f t="shared" si="13"/>
        <v>44258</v>
      </c>
      <c r="O76" s="73">
        <f t="shared" si="10"/>
        <v>1.9540062109292614E-2</v>
      </c>
      <c r="P76" s="70"/>
      <c r="Q76" s="71"/>
      <c r="R76" s="71"/>
      <c r="S76" s="71"/>
      <c r="T76" s="71"/>
      <c r="U76" s="71"/>
      <c r="V76" s="71"/>
      <c r="W76" s="71"/>
      <c r="X76" s="71"/>
      <c r="Y76" s="71"/>
      <c r="Z76" s="71"/>
      <c r="AA76" s="71"/>
      <c r="AB76" s="71"/>
      <c r="AC76" s="71"/>
      <c r="AD76" s="71"/>
      <c r="AE76" s="71"/>
      <c r="AF76" s="71"/>
    </row>
    <row r="77" spans="1:32" s="7" customFormat="1">
      <c r="A77" s="233">
        <v>1.9560000000000001E-2</v>
      </c>
      <c r="B77" s="293">
        <v>7359</v>
      </c>
      <c r="C77" s="232">
        <v>43936</v>
      </c>
      <c r="D77" s="232">
        <v>43937</v>
      </c>
      <c r="F77" s="273">
        <f t="shared" si="11"/>
        <v>1.456E-2</v>
      </c>
      <c r="G77"/>
      <c r="H77" s="89">
        <f t="shared" si="7"/>
        <v>1</v>
      </c>
      <c r="I77" s="90">
        <f t="shared" si="8"/>
        <v>1.0000404444444444</v>
      </c>
      <c r="J77" s="253">
        <f t="shared" si="12"/>
        <v>1.0048195107330244</v>
      </c>
      <c r="K77" s="84">
        <f t="shared" si="9"/>
        <v>1.6769508102640001E-6</v>
      </c>
      <c r="L77" s="244"/>
      <c r="M77" s="70"/>
      <c r="N77" s="68">
        <f t="shared" si="13"/>
        <v>44259</v>
      </c>
      <c r="O77" s="73">
        <f t="shared" si="10"/>
        <v>1.9561676950810264E-2</v>
      </c>
      <c r="P77" s="70"/>
      <c r="Q77" s="71"/>
      <c r="R77" s="71"/>
      <c r="S77" s="71"/>
      <c r="T77" s="71"/>
      <c r="U77" s="71"/>
      <c r="V77" s="71"/>
      <c r="W77" s="71"/>
      <c r="X77" s="71"/>
      <c r="Y77" s="71"/>
      <c r="Z77" s="71"/>
      <c r="AA77" s="71"/>
      <c r="AB77" s="71"/>
      <c r="AC77" s="71"/>
      <c r="AD77" s="71"/>
      <c r="AE77" s="71"/>
      <c r="AF77" s="71"/>
    </row>
    <row r="78" spans="1:32" s="7" customFormat="1">
      <c r="A78" s="233">
        <v>2.01E-2</v>
      </c>
      <c r="B78" s="293">
        <v>11367</v>
      </c>
      <c r="C78" s="232">
        <v>43937</v>
      </c>
      <c r="D78" s="232">
        <v>43938</v>
      </c>
      <c r="F78" s="273">
        <f t="shared" si="11"/>
        <v>1.5099999999999999E-2</v>
      </c>
      <c r="G78"/>
      <c r="H78" s="89">
        <f t="shared" si="7"/>
        <v>1</v>
      </c>
      <c r="I78" s="90">
        <f t="shared" si="8"/>
        <v>1.0000419444444444</v>
      </c>
      <c r="J78" s="253">
        <f t="shared" si="12"/>
        <v>1.004860150099903</v>
      </c>
      <c r="K78" s="84">
        <f t="shared" si="9"/>
        <v>8.7449748117949204E-5</v>
      </c>
      <c r="L78" s="244"/>
      <c r="M78" s="70"/>
      <c r="N78" s="68">
        <f t="shared" si="13"/>
        <v>44260</v>
      </c>
      <c r="O78" s="73">
        <f t="shared" si="10"/>
        <v>2.0187449748117949E-2</v>
      </c>
      <c r="P78" s="70"/>
      <c r="Q78" s="71"/>
      <c r="R78" s="71"/>
      <c r="S78" s="71"/>
      <c r="T78" s="71"/>
      <c r="U78" s="71"/>
      <c r="V78" s="71"/>
      <c r="W78" s="71"/>
      <c r="X78" s="71"/>
      <c r="Y78" s="71"/>
      <c r="Z78" s="71"/>
      <c r="AA78" s="71"/>
      <c r="AB78" s="71"/>
      <c r="AC78" s="71"/>
      <c r="AD78" s="71"/>
      <c r="AE78" s="71"/>
      <c r="AF78" s="71"/>
    </row>
    <row r="79" spans="1:32" s="7" customFormat="1">
      <c r="A79" s="233">
        <v>1.942E-2</v>
      </c>
      <c r="B79" s="293">
        <v>9011</v>
      </c>
      <c r="C79" s="232">
        <v>43938</v>
      </c>
      <c r="D79" s="232">
        <v>43941</v>
      </c>
      <c r="F79" s="273">
        <f t="shared" si="11"/>
        <v>1.4419999999999999E-2</v>
      </c>
      <c r="G79"/>
      <c r="H79" s="89">
        <f t="shared" si="7"/>
        <v>3</v>
      </c>
      <c r="I79" s="90">
        <f t="shared" si="8"/>
        <v>1.0001201666666666</v>
      </c>
      <c r="J79" s="253">
        <f t="shared" si="12"/>
        <v>1.0049022984006433</v>
      </c>
      <c r="K79" s="84">
        <f t="shared" si="9"/>
        <v>-8.6927054265592552E-5</v>
      </c>
      <c r="L79" s="244"/>
      <c r="M79" s="70"/>
      <c r="N79" s="68">
        <f t="shared" si="13"/>
        <v>44261</v>
      </c>
      <c r="O79" s="73">
        <f t="shared" si="10"/>
        <v>1.9333072945734407E-2</v>
      </c>
      <c r="P79" s="70"/>
      <c r="Q79" s="71"/>
      <c r="R79" s="71"/>
      <c r="S79" s="71"/>
      <c r="T79" s="71"/>
      <c r="U79" s="71"/>
      <c r="V79" s="71"/>
      <c r="W79" s="71"/>
      <c r="X79" s="71"/>
      <c r="Y79" s="71"/>
      <c r="Z79" s="71"/>
      <c r="AA79" s="71"/>
      <c r="AB79" s="71"/>
      <c r="AC79" s="71"/>
      <c r="AD79" s="71"/>
      <c r="AE79" s="71"/>
      <c r="AF79" s="71"/>
    </row>
    <row r="80" spans="1:32" s="7" customFormat="1">
      <c r="A80" s="233">
        <v>2.044E-2</v>
      </c>
      <c r="B80" s="293">
        <v>9393</v>
      </c>
      <c r="C80" s="232">
        <v>43941</v>
      </c>
      <c r="D80" s="232">
        <v>43942</v>
      </c>
      <c r="F80" s="273">
        <f t="shared" si="11"/>
        <v>1.5439999999999999E-2</v>
      </c>
      <c r="G80"/>
      <c r="H80" s="89">
        <f t="shared" si="7"/>
        <v>1</v>
      </c>
      <c r="I80" s="90">
        <f t="shared" si="8"/>
        <v>1.0000428888888888</v>
      </c>
      <c r="J80" s="253">
        <f t="shared" si="12"/>
        <v>1.0050230541601677</v>
      </c>
      <c r="K80" s="84">
        <f t="shared" si="9"/>
        <v>-4.3748123686182527E-7</v>
      </c>
      <c r="L80" s="244"/>
      <c r="M80" s="70"/>
      <c r="N80" s="68">
        <f t="shared" si="13"/>
        <v>44262</v>
      </c>
      <c r="O80" s="73">
        <f t="shared" si="10"/>
        <v>2.0439562518763138E-2</v>
      </c>
      <c r="P80" s="70"/>
      <c r="Q80" s="71"/>
      <c r="R80" s="71"/>
      <c r="S80" s="71"/>
      <c r="T80" s="71"/>
      <c r="U80" s="71"/>
      <c r="V80" s="71"/>
      <c r="W80" s="71"/>
      <c r="X80" s="71"/>
      <c r="Y80" s="71"/>
      <c r="Z80" s="71"/>
      <c r="AA80" s="71"/>
      <c r="AB80" s="71"/>
      <c r="AC80" s="71"/>
      <c r="AD80" s="71"/>
      <c r="AE80" s="71"/>
      <c r="AF80" s="71"/>
    </row>
    <row r="81" spans="1:63" s="7" customFormat="1">
      <c r="A81" s="233">
        <v>2.0299999999999999E-2</v>
      </c>
      <c r="B81" s="293">
        <v>11388</v>
      </c>
      <c r="C81" s="232">
        <v>43942</v>
      </c>
      <c r="D81" s="232">
        <v>43943</v>
      </c>
      <c r="F81" s="273">
        <f t="shared" si="11"/>
        <v>1.5299999999999998E-2</v>
      </c>
      <c r="G81"/>
      <c r="H81" s="89">
        <f t="shared" si="7"/>
        <v>1</v>
      </c>
      <c r="I81" s="90">
        <f t="shared" si="8"/>
        <v>1.0000424999999999</v>
      </c>
      <c r="J81" s="253">
        <f t="shared" si="12"/>
        <v>1.0050661584822682</v>
      </c>
      <c r="K81" s="84">
        <f t="shared" si="9"/>
        <v>-4.6873007875092298E-7</v>
      </c>
      <c r="L81" s="244"/>
      <c r="M81" s="70"/>
      <c r="N81" s="68">
        <f t="shared" si="13"/>
        <v>44263</v>
      </c>
      <c r="O81" s="73">
        <f t="shared" si="10"/>
        <v>2.0299531269921248E-2</v>
      </c>
      <c r="P81" s="70"/>
      <c r="Q81" s="71"/>
      <c r="R81" s="71"/>
      <c r="S81" s="71"/>
      <c r="T81" s="71"/>
      <c r="U81" s="71"/>
      <c r="V81" s="71"/>
      <c r="W81" s="71"/>
      <c r="X81" s="71"/>
      <c r="Y81" s="71"/>
      <c r="Z81" s="71"/>
      <c r="AA81" s="71"/>
      <c r="AB81" s="71"/>
      <c r="AC81" s="71"/>
      <c r="AD81" s="71"/>
      <c r="AE81" s="71"/>
      <c r="AF81" s="71"/>
    </row>
    <row r="82" spans="1:63">
      <c r="A82" s="233">
        <v>2.0150000000000001E-2</v>
      </c>
      <c r="B82" s="293">
        <v>9000</v>
      </c>
      <c r="C82" s="232">
        <v>43943</v>
      </c>
      <c r="D82" s="232">
        <v>43944</v>
      </c>
      <c r="F82" s="273">
        <f t="shared" si="11"/>
        <v>1.515E-2</v>
      </c>
      <c r="H82" s="89">
        <f t="shared" si="7"/>
        <v>1</v>
      </c>
      <c r="I82" s="90">
        <f t="shared" si="8"/>
        <v>1.0000420833333334</v>
      </c>
      <c r="J82" s="253">
        <f t="shared" si="12"/>
        <v>1.0051088737940037</v>
      </c>
      <c r="K82" s="84">
        <f t="shared" si="9"/>
        <v>-3.156117180228013E-6</v>
      </c>
      <c r="L82" s="244"/>
      <c r="M82" s="70"/>
      <c r="N82" s="68">
        <f t="shared" si="13"/>
        <v>44264</v>
      </c>
      <c r="O82" s="73">
        <f t="shared" si="10"/>
        <v>2.0146843882819773E-2</v>
      </c>
      <c r="P82" s="70"/>
      <c r="Q82" s="71"/>
      <c r="R82" s="71"/>
      <c r="S82" s="71"/>
      <c r="T82" s="71"/>
      <c r="U82" s="71"/>
      <c r="V82" s="71"/>
      <c r="W82" s="71"/>
      <c r="X82" s="71"/>
      <c r="Y82" s="71"/>
      <c r="Z82" s="71"/>
      <c r="AA82" s="71"/>
      <c r="AB82" s="71"/>
      <c r="AC82" s="71"/>
      <c r="AD82" s="71"/>
      <c r="AE82" s="71"/>
      <c r="AF82" s="71"/>
      <c r="AG82" s="7"/>
      <c r="AH82" s="7"/>
      <c r="AI82" s="7"/>
      <c r="AJ82" s="7"/>
      <c r="AK82" s="7"/>
      <c r="AL82" s="7"/>
      <c r="AM82" s="7"/>
      <c r="AN82" s="7"/>
      <c r="AO82" s="7"/>
      <c r="AP82" s="7"/>
      <c r="AQ82" s="7"/>
      <c r="AR82" s="7"/>
      <c r="AS82" s="7"/>
      <c r="AT82" s="7"/>
      <c r="AU82" s="7"/>
      <c r="AV82" s="7"/>
      <c r="AW82" s="7"/>
      <c r="AX82" s="7"/>
      <c r="AY82" s="7"/>
      <c r="AZ82" s="7"/>
      <c r="BA82" s="7"/>
      <c r="BB82" s="7"/>
      <c r="BC82" s="7"/>
      <c r="BD82" s="7"/>
      <c r="BE82" s="7"/>
      <c r="BF82" s="7"/>
      <c r="BG82" s="7"/>
      <c r="BH82" s="7"/>
      <c r="BI82" s="7"/>
      <c r="BJ82" s="7"/>
      <c r="BK82" s="7"/>
    </row>
    <row r="83" spans="1:63">
      <c r="A83" s="233">
        <v>1.9140000000000001E-2</v>
      </c>
      <c r="B83" s="293">
        <v>6204</v>
      </c>
      <c r="C83" s="232">
        <v>43944</v>
      </c>
      <c r="D83" s="232">
        <v>43945</v>
      </c>
      <c r="F83" s="273">
        <f t="shared" si="11"/>
        <v>1.414E-2</v>
      </c>
      <c r="H83" s="89">
        <f t="shared" si="7"/>
        <v>1</v>
      </c>
      <c r="I83" s="90">
        <f t="shared" si="8"/>
        <v>1.0000392777777778</v>
      </c>
      <c r="J83" s="253">
        <f t="shared" si="12"/>
        <v>1.005151172125776</v>
      </c>
      <c r="K83" s="84">
        <f t="shared" si="9"/>
        <v>8.855902159848883E-5</v>
      </c>
      <c r="L83" s="244"/>
      <c r="M83" s="70"/>
      <c r="N83" s="68">
        <f t="shared" si="13"/>
        <v>44265</v>
      </c>
      <c r="O83" s="73">
        <f t="shared" si="10"/>
        <v>1.922855902159849E-2</v>
      </c>
      <c r="P83" s="70"/>
      <c r="Q83" s="71"/>
      <c r="R83" s="71"/>
      <c r="S83" s="71"/>
      <c r="T83" s="71"/>
      <c r="U83" s="71"/>
      <c r="V83" s="71"/>
      <c r="W83" s="71"/>
      <c r="X83" s="71"/>
      <c r="Y83" s="71"/>
      <c r="Z83" s="71"/>
      <c r="AA83" s="71"/>
      <c r="AB83" s="71"/>
      <c r="AC83" s="71"/>
      <c r="AD83" s="71"/>
      <c r="AE83" s="71"/>
      <c r="AF83" s="71"/>
      <c r="AG83" s="7"/>
      <c r="AH83" s="7"/>
      <c r="AI83" s="7"/>
      <c r="AJ83" s="7"/>
      <c r="AK83" s="7"/>
      <c r="AL83" s="7"/>
      <c r="AM83" s="7"/>
      <c r="AN83" s="7"/>
      <c r="AO83" s="7"/>
      <c r="AP83" s="7"/>
      <c r="AQ83" s="7"/>
      <c r="AR83" s="7"/>
      <c r="AS83" s="7"/>
      <c r="AT83" s="7"/>
      <c r="AU83" s="7"/>
      <c r="AV83" s="7"/>
      <c r="AW83" s="7"/>
      <c r="AX83" s="7"/>
      <c r="AY83" s="7"/>
      <c r="AZ83" s="7"/>
      <c r="BA83" s="7"/>
      <c r="BB83" s="7"/>
      <c r="BC83" s="7"/>
      <c r="BD83" s="7"/>
      <c r="BE83" s="7"/>
      <c r="BF83" s="7"/>
      <c r="BG83" s="7"/>
      <c r="BH83" s="7"/>
      <c r="BI83" s="7"/>
      <c r="BJ83" s="7"/>
      <c r="BK83" s="7"/>
    </row>
    <row r="84" spans="1:63">
      <c r="A84" s="233">
        <v>1.916E-2</v>
      </c>
      <c r="B84" s="293">
        <v>6251</v>
      </c>
      <c r="C84" s="232">
        <v>43945</v>
      </c>
      <c r="D84" s="232">
        <v>43948</v>
      </c>
      <c r="F84" s="273">
        <f t="shared" si="11"/>
        <v>1.4159999999999999E-2</v>
      </c>
      <c r="H84" s="89">
        <f t="shared" si="7"/>
        <v>3</v>
      </c>
      <c r="I84" s="90">
        <f t="shared" si="8"/>
        <v>1.0001180000000001</v>
      </c>
      <c r="J84" s="253">
        <f t="shared" si="12"/>
        <v>1.0051906522301479</v>
      </c>
      <c r="K84" s="84">
        <f t="shared" si="9"/>
        <v>-8.901465350366569E-5</v>
      </c>
      <c r="L84" s="244"/>
      <c r="M84" s="70"/>
      <c r="N84" s="68">
        <f t="shared" si="13"/>
        <v>44266</v>
      </c>
      <c r="O84" s="73">
        <f t="shared" si="10"/>
        <v>1.9070985346496334E-2</v>
      </c>
      <c r="P84" s="70"/>
      <c r="Q84" s="71"/>
      <c r="R84" s="71"/>
      <c r="S84" s="71"/>
      <c r="T84" s="71"/>
      <c r="U84" s="71"/>
      <c r="V84" s="71"/>
      <c r="W84" s="71"/>
      <c r="X84" s="71"/>
      <c r="Y84" s="71"/>
      <c r="Z84" s="71"/>
      <c r="AA84" s="71"/>
      <c r="AB84" s="71"/>
      <c r="AC84" s="71"/>
      <c r="AD84" s="71"/>
      <c r="AE84" s="71"/>
      <c r="AF84" s="71"/>
      <c r="AG84" s="7"/>
      <c r="AH84" s="7"/>
      <c r="AI84" s="7"/>
      <c r="AJ84" s="7"/>
      <c r="AK84" s="7"/>
      <c r="AL84" s="7"/>
      <c r="AM84" s="7"/>
      <c r="AN84" s="7"/>
      <c r="AO84" s="7"/>
      <c r="AP84" s="7"/>
      <c r="AQ84" s="7"/>
      <c r="AR84" s="7"/>
      <c r="AS84" s="7"/>
      <c r="AT84" s="7"/>
      <c r="AU84" s="7"/>
      <c r="AV84" s="7"/>
      <c r="AW84" s="7"/>
      <c r="AX84" s="7"/>
      <c r="AY84" s="7"/>
      <c r="AZ84" s="7"/>
      <c r="BA84" s="7"/>
      <c r="BB84" s="7"/>
      <c r="BC84" s="7"/>
      <c r="BD84" s="7"/>
      <c r="BE84" s="7"/>
      <c r="BF84" s="7"/>
      <c r="BG84" s="7"/>
      <c r="BH84" s="7"/>
      <c r="BI84" s="7"/>
      <c r="BJ84" s="7"/>
      <c r="BK84" s="7"/>
    </row>
    <row r="85" spans="1:63">
      <c r="A85" s="233">
        <v>1.917E-2</v>
      </c>
      <c r="B85" s="293">
        <v>6535</v>
      </c>
      <c r="C85" s="232">
        <v>43948</v>
      </c>
      <c r="D85" s="232">
        <v>43949</v>
      </c>
      <c r="F85" s="273">
        <f t="shared" si="11"/>
        <v>1.4169999999999999E-2</v>
      </c>
      <c r="H85" s="89">
        <f t="shared" si="7"/>
        <v>1</v>
      </c>
      <c r="I85" s="90">
        <f t="shared" si="8"/>
        <v>1.0000393611111111</v>
      </c>
      <c r="J85" s="253">
        <f t="shared" si="12"/>
        <v>1.0053092647271111</v>
      </c>
      <c r="K85" s="84">
        <f t="shared" si="9"/>
        <v>-2.2011712226517783E-7</v>
      </c>
      <c r="L85" s="244"/>
      <c r="M85" s="70"/>
      <c r="N85" s="68">
        <f t="shared" si="13"/>
        <v>44267</v>
      </c>
      <c r="O85" s="73">
        <f t="shared" si="10"/>
        <v>1.9169779882877734E-2</v>
      </c>
      <c r="P85" s="70"/>
      <c r="Q85" s="71"/>
      <c r="R85" s="71"/>
      <c r="S85" s="71"/>
      <c r="T85" s="71"/>
      <c r="U85" s="71"/>
      <c r="V85" s="71"/>
      <c r="W85" s="71"/>
      <c r="X85" s="71"/>
      <c r="Y85" s="71"/>
      <c r="Z85" s="71"/>
      <c r="AA85" s="71"/>
      <c r="AB85" s="71"/>
      <c r="AC85" s="71"/>
      <c r="AD85" s="71"/>
      <c r="AE85" s="71"/>
      <c r="AF85" s="71"/>
      <c r="AG85" s="7"/>
      <c r="AH85" s="7"/>
      <c r="AI85" s="7"/>
      <c r="AJ85" s="7"/>
      <c r="AK85" s="7"/>
      <c r="AL85" s="7"/>
      <c r="AM85" s="7"/>
      <c r="AN85" s="7"/>
      <c r="AO85" s="7"/>
      <c r="AP85" s="7"/>
      <c r="AQ85" s="7"/>
      <c r="AR85" s="7"/>
      <c r="AS85" s="7"/>
      <c r="AT85" s="7"/>
      <c r="AU85" s="7"/>
      <c r="AV85" s="7"/>
      <c r="AW85" s="7"/>
      <c r="AX85" s="7"/>
      <c r="AY85" s="7"/>
      <c r="AZ85" s="7"/>
      <c r="BA85" s="7"/>
      <c r="BB85" s="7"/>
      <c r="BC85" s="7"/>
      <c r="BD85" s="7"/>
      <c r="BE85" s="7"/>
      <c r="BF85" s="7"/>
      <c r="BG85" s="7"/>
      <c r="BH85" s="7"/>
      <c r="BI85" s="7"/>
      <c r="BJ85" s="7"/>
      <c r="BK85" s="7"/>
    </row>
    <row r="86" spans="1:63">
      <c r="A86" s="233">
        <v>1.9099999999999999E-2</v>
      </c>
      <c r="B86" s="293">
        <v>8391</v>
      </c>
      <c r="C86" s="232">
        <v>43949</v>
      </c>
      <c r="D86" s="232">
        <v>43950</v>
      </c>
      <c r="F86" s="273">
        <f t="shared" si="11"/>
        <v>1.4099999999999998E-2</v>
      </c>
      <c r="H86" s="89">
        <f t="shared" si="7"/>
        <v>1</v>
      </c>
      <c r="I86" s="90">
        <f t="shared" si="8"/>
        <v>1.0000391666666666</v>
      </c>
      <c r="J86" s="253">
        <f t="shared" si="12"/>
        <v>1.0053488348167812</v>
      </c>
      <c r="K86" s="84">
        <f t="shared" si="9"/>
        <v>9.4335927748679669E-8</v>
      </c>
      <c r="L86" s="244"/>
      <c r="M86" s="70"/>
      <c r="N86" s="68">
        <f t="shared" si="13"/>
        <v>44268</v>
      </c>
      <c r="O86" s="73">
        <f t="shared" si="10"/>
        <v>1.9100094335927749E-2</v>
      </c>
      <c r="P86" s="70"/>
      <c r="Q86" s="71"/>
      <c r="R86" s="71"/>
      <c r="S86" s="71"/>
      <c r="T86" s="71"/>
      <c r="U86" s="71"/>
      <c r="V86" s="71"/>
      <c r="W86" s="71"/>
      <c r="X86" s="71"/>
      <c r="Y86" s="71"/>
      <c r="Z86" s="71"/>
      <c r="AA86" s="71"/>
      <c r="AB86" s="71"/>
      <c r="AC86" s="71"/>
      <c r="AD86" s="71"/>
      <c r="AE86" s="71"/>
      <c r="AF86" s="71"/>
      <c r="AG86" s="7"/>
      <c r="AH86" s="7"/>
      <c r="AI86" s="7"/>
      <c r="AJ86" s="7"/>
      <c r="AK86" s="7"/>
      <c r="AL86" s="7"/>
      <c r="AM86" s="7"/>
      <c r="AN86" s="7"/>
      <c r="AO86" s="7"/>
      <c r="AP86" s="7"/>
      <c r="AQ86" s="7"/>
      <c r="AR86" s="7"/>
      <c r="AS86" s="7"/>
      <c r="AT86" s="7"/>
      <c r="AU86" s="7"/>
      <c r="AV86" s="7"/>
      <c r="AW86" s="7"/>
      <c r="AX86" s="7"/>
      <c r="AY86" s="7"/>
      <c r="AZ86" s="7"/>
      <c r="BA86" s="7"/>
      <c r="BB86" s="7"/>
      <c r="BC86" s="7"/>
      <c r="BD86" s="7"/>
      <c r="BE86" s="7"/>
      <c r="BF86" s="7"/>
      <c r="BG86" s="7"/>
      <c r="BH86" s="7"/>
      <c r="BI86" s="7"/>
      <c r="BJ86" s="7"/>
      <c r="BK86" s="7"/>
    </row>
    <row r="87" spans="1:63">
      <c r="A87" s="233">
        <v>1.9130000000000001E-2</v>
      </c>
      <c r="B87" s="293">
        <v>8343</v>
      </c>
      <c r="C87" s="232">
        <v>43950</v>
      </c>
      <c r="D87" s="232">
        <v>43951</v>
      </c>
      <c r="F87" s="273">
        <f t="shared" si="11"/>
        <v>1.413E-2</v>
      </c>
      <c r="H87" s="89">
        <f t="shared" si="7"/>
        <v>1</v>
      </c>
      <c r="I87" s="90">
        <f t="shared" si="8"/>
        <v>1.0000392499999999</v>
      </c>
      <c r="J87" s="253">
        <f t="shared" si="12"/>
        <v>1.0053882109794781</v>
      </c>
      <c r="K87" s="84">
        <f t="shared" si="9"/>
        <v>1.3430290471160562E-4</v>
      </c>
      <c r="L87" s="244"/>
      <c r="M87" s="70"/>
      <c r="N87" s="68">
        <f t="shared" si="13"/>
        <v>44269</v>
      </c>
      <c r="O87" s="73">
        <f t="shared" si="10"/>
        <v>1.9264302904711608E-2</v>
      </c>
      <c r="P87" s="70"/>
      <c r="Q87" s="71"/>
      <c r="R87" s="71"/>
      <c r="S87" s="71"/>
      <c r="T87" s="71"/>
      <c r="U87" s="71"/>
      <c r="V87" s="71"/>
      <c r="W87" s="71"/>
      <c r="X87" s="71"/>
      <c r="Y87" s="71"/>
      <c r="Z87" s="71"/>
      <c r="AA87" s="71"/>
      <c r="AB87" s="71"/>
      <c r="AC87" s="71"/>
      <c r="AD87" s="71"/>
      <c r="AE87" s="71"/>
      <c r="AF87" s="71"/>
    </row>
    <row r="88" spans="1:63">
      <c r="A88" s="233">
        <v>1.9210000000000001E-2</v>
      </c>
      <c r="B88" s="293">
        <v>8128</v>
      </c>
      <c r="C88" s="232">
        <v>43951</v>
      </c>
      <c r="D88" s="232">
        <v>43955</v>
      </c>
      <c r="F88" s="273">
        <f t="shared" si="11"/>
        <v>1.421E-2</v>
      </c>
      <c r="H88" s="89">
        <f t="shared" si="7"/>
        <v>4</v>
      </c>
      <c r="I88" s="90">
        <f t="shared" si="8"/>
        <v>1.0001578888888889</v>
      </c>
      <c r="J88" s="253">
        <f t="shared" si="12"/>
        <v>1.005427672466759</v>
      </c>
      <c r="K88" s="84">
        <f t="shared" si="9"/>
        <v>-1.3528022805672383E-4</v>
      </c>
      <c r="L88" s="244"/>
      <c r="M88" s="70"/>
      <c r="N88" s="68">
        <f t="shared" si="13"/>
        <v>44270</v>
      </c>
      <c r="O88" s="73">
        <f t="shared" si="10"/>
        <v>1.9074719771943277E-2</v>
      </c>
      <c r="P88" s="70"/>
      <c r="Q88" s="71"/>
      <c r="R88" s="71"/>
      <c r="S88" s="71"/>
      <c r="T88" s="71"/>
      <c r="U88" s="71"/>
      <c r="V88" s="71"/>
      <c r="W88" s="71"/>
      <c r="X88" s="71"/>
      <c r="Y88" s="71"/>
      <c r="Z88" s="71"/>
      <c r="AA88" s="71"/>
      <c r="AB88" s="71"/>
      <c r="AC88" s="71"/>
      <c r="AD88" s="71"/>
      <c r="AE88" s="71"/>
      <c r="AF88" s="71"/>
    </row>
    <row r="89" spans="1:63">
      <c r="A89" s="233">
        <v>1.9220000000000001E-2</v>
      </c>
      <c r="B89" s="293">
        <v>5360</v>
      </c>
      <c r="C89" s="232">
        <v>43955</v>
      </c>
      <c r="D89" s="232">
        <v>43956</v>
      </c>
      <c r="F89" s="273">
        <f t="shared" si="11"/>
        <v>1.422E-2</v>
      </c>
      <c r="H89" s="89">
        <f t="shared" si="7"/>
        <v>1</v>
      </c>
      <c r="I89" s="90">
        <f t="shared" si="8"/>
        <v>1.0000395</v>
      </c>
      <c r="J89" s="253">
        <f t="shared" si="12"/>
        <v>1.0055864183248229</v>
      </c>
      <c r="K89" s="84">
        <f t="shared" si="9"/>
        <v>-3.1744777815946789E-7</v>
      </c>
      <c r="L89" s="244"/>
      <c r="M89" s="70"/>
      <c r="N89" s="78">
        <f t="shared" si="13"/>
        <v>44271</v>
      </c>
      <c r="O89" s="73">
        <f t="shared" si="10"/>
        <v>1.9219682552221843E-2</v>
      </c>
      <c r="P89" s="70"/>
      <c r="Q89" s="71"/>
      <c r="R89" s="71"/>
      <c r="S89" s="71"/>
      <c r="T89" s="71"/>
      <c r="U89" s="71"/>
      <c r="V89" s="71"/>
      <c r="W89" s="71"/>
      <c r="X89" s="71"/>
      <c r="Y89" s="71"/>
      <c r="Z89" s="71"/>
      <c r="AA89" s="71"/>
      <c r="AB89" s="71"/>
      <c r="AC89" s="71"/>
      <c r="AD89" s="71"/>
      <c r="AE89" s="71"/>
      <c r="AF89" s="71"/>
    </row>
    <row r="90" spans="1:63">
      <c r="A90" s="233">
        <v>1.9120000000000002E-2</v>
      </c>
      <c r="B90" s="293">
        <v>7905</v>
      </c>
      <c r="C90" s="232">
        <v>43956</v>
      </c>
      <c r="D90" s="232">
        <v>43957</v>
      </c>
      <c r="F90" s="273">
        <f t="shared" si="11"/>
        <v>1.4120000000000001E-2</v>
      </c>
      <c r="H90" s="89">
        <f t="shared" si="7"/>
        <v>1</v>
      </c>
      <c r="I90" s="90">
        <f t="shared" si="8"/>
        <v>1.0000392222222223</v>
      </c>
      <c r="J90" s="253">
        <f t="shared" si="12"/>
        <v>1.0056261389883467</v>
      </c>
      <c r="K90" s="84">
        <f t="shared" si="9"/>
        <v>-9.5234359953622061E-8</v>
      </c>
      <c r="L90" s="244"/>
      <c r="M90" s="70"/>
      <c r="N90" s="68">
        <f t="shared" si="13"/>
        <v>44272</v>
      </c>
      <c r="O90" s="73">
        <f t="shared" si="10"/>
        <v>1.9119904765640048E-2</v>
      </c>
      <c r="P90" s="70"/>
      <c r="Q90" s="71"/>
      <c r="R90" s="71"/>
      <c r="S90" s="71"/>
      <c r="T90" s="71"/>
      <c r="U90" s="71"/>
      <c r="V90" s="71"/>
      <c r="W90" s="71"/>
      <c r="X90" s="71"/>
      <c r="Y90" s="71"/>
      <c r="Z90" s="71"/>
      <c r="AA90" s="71"/>
      <c r="AB90" s="71"/>
      <c r="AC90" s="71"/>
      <c r="AD90" s="71"/>
      <c r="AE90" s="71"/>
      <c r="AF90" s="71"/>
    </row>
    <row r="91" spans="1:63">
      <c r="A91" s="233">
        <v>1.9089999999999999E-2</v>
      </c>
      <c r="B91" s="293">
        <v>6816</v>
      </c>
      <c r="C91" s="232">
        <v>43957</v>
      </c>
      <c r="D91" s="232">
        <v>43958</v>
      </c>
      <c r="F91" s="273">
        <f t="shared" si="11"/>
        <v>1.4089999999999998E-2</v>
      </c>
      <c r="H91" s="89">
        <f t="shared" si="7"/>
        <v>1</v>
      </c>
      <c r="I91" s="90">
        <f t="shared" si="8"/>
        <v>1.000039138888889</v>
      </c>
      <c r="J91" s="253">
        <f t="shared" si="12"/>
        <v>1.0056655818802427</v>
      </c>
      <c r="K91" s="84">
        <f t="shared" si="9"/>
        <v>4.1268226068171187E-7</v>
      </c>
      <c r="L91" s="244"/>
      <c r="M91" s="70"/>
      <c r="N91" s="72">
        <f t="shared" si="13"/>
        <v>44273</v>
      </c>
      <c r="O91" s="73">
        <f t="shared" si="10"/>
        <v>1.909041268226068E-2</v>
      </c>
      <c r="P91" s="70"/>
      <c r="Q91" s="71"/>
      <c r="R91" s="71"/>
      <c r="S91" s="71"/>
      <c r="T91" s="71"/>
      <c r="U91" s="71"/>
      <c r="V91" s="71"/>
      <c r="W91" s="71"/>
      <c r="X91" s="71"/>
      <c r="Y91" s="71"/>
      <c r="Z91" s="71"/>
      <c r="AA91" s="71"/>
      <c r="AB91" s="71"/>
      <c r="AC91" s="71"/>
      <c r="AD91" s="71"/>
      <c r="AE91" s="71"/>
      <c r="AF91" s="71"/>
    </row>
    <row r="92" spans="1:63">
      <c r="A92" s="233">
        <v>1.9220000000000001E-2</v>
      </c>
      <c r="B92" s="293">
        <v>6942</v>
      </c>
      <c r="C92" s="232">
        <v>43958</v>
      </c>
      <c r="D92" s="232">
        <v>43959</v>
      </c>
      <c r="F92" s="273">
        <f t="shared" si="11"/>
        <v>1.422E-2</v>
      </c>
      <c r="H92" s="89">
        <f t="shared" si="7"/>
        <v>1</v>
      </c>
      <c r="I92" s="90">
        <f t="shared" si="8"/>
        <v>1.0000395</v>
      </c>
      <c r="J92" s="253">
        <f t="shared" si="12"/>
        <v>1.0057049425137115</v>
      </c>
      <c r="K92" s="84">
        <f t="shared" si="9"/>
        <v>9.0472616807803411E-5</v>
      </c>
      <c r="L92" s="244"/>
      <c r="M92" s="70"/>
      <c r="N92" s="68">
        <f t="shared" si="13"/>
        <v>44274</v>
      </c>
      <c r="O92" s="73">
        <f t="shared" si="10"/>
        <v>1.9310472616807805E-2</v>
      </c>
      <c r="P92" s="70"/>
      <c r="Q92" s="71"/>
      <c r="R92" s="71"/>
      <c r="S92" s="71"/>
      <c r="T92" s="71"/>
      <c r="U92" s="71"/>
      <c r="V92" s="71"/>
      <c r="W92" s="71"/>
      <c r="X92" s="71"/>
      <c r="Y92" s="71"/>
      <c r="Z92" s="71"/>
      <c r="AA92" s="71"/>
      <c r="AB92" s="71"/>
      <c r="AC92" s="71"/>
      <c r="AD92" s="71"/>
      <c r="AE92" s="71"/>
      <c r="AF92" s="71"/>
    </row>
    <row r="93" spans="1:63">
      <c r="A93" s="233">
        <v>1.924E-2</v>
      </c>
      <c r="B93" s="293">
        <v>7583</v>
      </c>
      <c r="C93" s="232">
        <v>43959</v>
      </c>
      <c r="D93" s="232">
        <v>43962</v>
      </c>
      <c r="F93" s="273">
        <f t="shared" si="11"/>
        <v>1.4239999999999999E-2</v>
      </c>
      <c r="H93" s="89">
        <f t="shared" si="7"/>
        <v>3</v>
      </c>
      <c r="I93" s="90">
        <f t="shared" si="8"/>
        <v>1.0001186666666666</v>
      </c>
      <c r="J93" s="253">
        <f t="shared" si="12"/>
        <v>1.0057446678589408</v>
      </c>
      <c r="K93" s="84">
        <f t="shared" si="9"/>
        <v>-9.1075454360265169E-5</v>
      </c>
      <c r="L93" s="244"/>
      <c r="M93" s="70"/>
      <c r="N93" s="68">
        <f t="shared" si="13"/>
        <v>44275</v>
      </c>
      <c r="O93" s="73">
        <f t="shared" si="10"/>
        <v>1.9148924545639736E-2</v>
      </c>
      <c r="P93" s="70"/>
      <c r="Q93" s="71"/>
      <c r="R93" s="71"/>
      <c r="S93" s="71"/>
      <c r="T93" s="71"/>
      <c r="U93" s="71"/>
      <c r="V93" s="71"/>
      <c r="W93" s="71"/>
      <c r="X93" s="71"/>
      <c r="Y93" s="71"/>
      <c r="Z93" s="71"/>
      <c r="AA93" s="71"/>
      <c r="AB93" s="71"/>
      <c r="AC93" s="71"/>
      <c r="AD93" s="71"/>
      <c r="AE93" s="71"/>
      <c r="AF93" s="71"/>
    </row>
    <row r="94" spans="1:63">
      <c r="A94" s="233">
        <v>1.9210000000000001E-2</v>
      </c>
      <c r="B94" s="293">
        <v>7853</v>
      </c>
      <c r="C94" s="232">
        <v>43962</v>
      </c>
      <c r="D94" s="232">
        <v>43963</v>
      </c>
      <c r="F94" s="273">
        <f t="shared" si="11"/>
        <v>1.421E-2</v>
      </c>
      <c r="H94" s="89">
        <f t="shared" si="7"/>
        <v>1</v>
      </c>
      <c r="I94" s="90">
        <f t="shared" si="8"/>
        <v>1.0000394722222221</v>
      </c>
      <c r="J94" s="253">
        <f t="shared" si="12"/>
        <v>1.0058640162261934</v>
      </c>
      <c r="K94" s="84">
        <f t="shared" si="9"/>
        <v>-1.9168572429020769E-7</v>
      </c>
      <c r="L94" s="244"/>
      <c r="M94" s="70"/>
      <c r="N94" s="68">
        <f t="shared" si="13"/>
        <v>44276</v>
      </c>
      <c r="O94" s="73">
        <f t="shared" si="10"/>
        <v>1.9209808314275711E-2</v>
      </c>
      <c r="P94" s="70"/>
      <c r="Q94" s="71"/>
      <c r="R94" s="71"/>
      <c r="S94" s="71"/>
      <c r="T94" s="71"/>
      <c r="U94" s="71"/>
      <c r="V94" s="71"/>
      <c r="W94" s="71"/>
      <c r="X94" s="71"/>
      <c r="Y94" s="71"/>
      <c r="Z94" s="71"/>
      <c r="AA94" s="71"/>
      <c r="AB94" s="71"/>
      <c r="AC94" s="71"/>
      <c r="AD94" s="71"/>
      <c r="AE94" s="71"/>
      <c r="AF94" s="71"/>
    </row>
    <row r="95" spans="1:63">
      <c r="A95" s="233">
        <v>1.915E-2</v>
      </c>
      <c r="B95" s="293">
        <v>8777</v>
      </c>
      <c r="C95" s="232">
        <v>43963</v>
      </c>
      <c r="D95" s="232">
        <v>43964</v>
      </c>
      <c r="F95" s="273">
        <f t="shared" si="11"/>
        <v>1.4149999999999999E-2</v>
      </c>
      <c r="H95" s="89">
        <f t="shared" si="7"/>
        <v>1</v>
      </c>
      <c r="I95" s="90">
        <f t="shared" si="8"/>
        <v>1.0000393055555556</v>
      </c>
      <c r="J95" s="253">
        <f t="shared" si="12"/>
        <v>1.0059037199141672</v>
      </c>
      <c r="K95" s="84">
        <f t="shared" si="9"/>
        <v>-7.0284777371944749E-7</v>
      </c>
      <c r="L95" s="244"/>
      <c r="M95" s="70"/>
      <c r="N95" s="68">
        <f t="shared" si="13"/>
        <v>44277</v>
      </c>
      <c r="O95" s="73">
        <f t="shared" si="10"/>
        <v>1.9149297152226279E-2</v>
      </c>
      <c r="P95" s="70"/>
      <c r="Q95" s="71"/>
      <c r="R95" s="71"/>
      <c r="S95" s="71"/>
      <c r="T95" s="71"/>
      <c r="U95" s="71"/>
      <c r="V95" s="71"/>
      <c r="W95" s="71"/>
      <c r="X95" s="71"/>
      <c r="Y95" s="71"/>
      <c r="Z95" s="71"/>
      <c r="AA95" s="71"/>
      <c r="AB95" s="71"/>
      <c r="AC95" s="71"/>
      <c r="AD95" s="71"/>
      <c r="AE95" s="71"/>
      <c r="AF95" s="71"/>
    </row>
    <row r="96" spans="1:63">
      <c r="A96" s="233">
        <v>1.8929999999999999E-2</v>
      </c>
      <c r="B96" s="293">
        <v>7825</v>
      </c>
      <c r="C96" s="232">
        <v>43964</v>
      </c>
      <c r="D96" s="232">
        <v>43965</v>
      </c>
      <c r="F96" s="273">
        <f t="shared" si="11"/>
        <v>1.3929999999999998E-2</v>
      </c>
      <c r="H96" s="89">
        <f t="shared" si="7"/>
        <v>1</v>
      </c>
      <c r="I96" s="90">
        <f t="shared" si="8"/>
        <v>1.0000386944444444</v>
      </c>
      <c r="J96" s="253">
        <f t="shared" si="12"/>
        <v>1.0059432575187139</v>
      </c>
      <c r="K96" s="84">
        <f t="shared" si="9"/>
        <v>1.3098534693950096E-6</v>
      </c>
      <c r="L96" s="244"/>
      <c r="M96" s="70"/>
      <c r="N96" s="68">
        <f t="shared" si="13"/>
        <v>44278</v>
      </c>
      <c r="O96" s="73">
        <f t="shared" si="10"/>
        <v>1.8931309853469393E-2</v>
      </c>
      <c r="P96" s="70"/>
      <c r="Q96" s="71"/>
      <c r="R96" s="71"/>
      <c r="S96" s="71"/>
      <c r="T96" s="71"/>
      <c r="U96" s="71"/>
      <c r="V96" s="71"/>
      <c r="W96" s="71"/>
      <c r="X96" s="71"/>
      <c r="Y96" s="71"/>
      <c r="Z96" s="71"/>
      <c r="AA96" s="71"/>
      <c r="AB96" s="71"/>
      <c r="AC96" s="71"/>
      <c r="AD96" s="71"/>
      <c r="AE96" s="71"/>
      <c r="AF96" s="71"/>
    </row>
    <row r="97" spans="1:32">
      <c r="A97" s="233">
        <v>1.934E-2</v>
      </c>
      <c r="B97" s="293">
        <v>8146</v>
      </c>
      <c r="C97" s="232">
        <v>43965</v>
      </c>
      <c r="D97" s="232">
        <v>43966</v>
      </c>
      <c r="F97" s="273">
        <f t="shared" si="11"/>
        <v>1.4339999999999999E-2</v>
      </c>
      <c r="H97" s="89">
        <f t="shared" si="7"/>
        <v>1</v>
      </c>
      <c r="I97" s="90">
        <f t="shared" si="8"/>
        <v>1.0000398333333334</v>
      </c>
      <c r="J97" s="253">
        <f t="shared" si="12"/>
        <v>1.0059821819342063</v>
      </c>
      <c r="K97" s="84">
        <f t="shared" si="9"/>
        <v>9.152990038484658E-5</v>
      </c>
      <c r="L97" s="244"/>
      <c r="M97" s="70"/>
      <c r="N97" s="68">
        <f t="shared" si="13"/>
        <v>44279</v>
      </c>
      <c r="O97" s="73">
        <f t="shared" si="10"/>
        <v>1.9431529900384846E-2</v>
      </c>
      <c r="P97" s="70"/>
      <c r="Q97" s="71"/>
      <c r="R97" s="71"/>
      <c r="S97" s="71"/>
      <c r="T97" s="71"/>
      <c r="U97" s="71"/>
      <c r="V97" s="71"/>
      <c r="W97" s="71"/>
      <c r="X97" s="71"/>
      <c r="Y97" s="71"/>
      <c r="Z97" s="71"/>
      <c r="AA97" s="71"/>
      <c r="AB97" s="71"/>
      <c r="AC97" s="71"/>
      <c r="AD97" s="71"/>
      <c r="AE97" s="71"/>
      <c r="AF97" s="71"/>
    </row>
    <row r="98" spans="1:32">
      <c r="A98" s="233">
        <v>1.933E-2</v>
      </c>
      <c r="B98" s="293">
        <v>7942</v>
      </c>
      <c r="C98" s="232">
        <v>43966</v>
      </c>
      <c r="D98" s="232">
        <v>43969</v>
      </c>
      <c r="F98" s="273">
        <f t="shared" si="11"/>
        <v>1.4329999999999999E-2</v>
      </c>
      <c r="H98" s="89">
        <f t="shared" si="7"/>
        <v>3</v>
      </c>
      <c r="I98" s="90">
        <f t="shared" si="8"/>
        <v>1.0001194166666667</v>
      </c>
      <c r="J98" s="253">
        <f t="shared" si="12"/>
        <v>1.0060222535577867</v>
      </c>
      <c r="K98" s="84">
        <f t="shared" si="9"/>
        <v>-9.249699290272017E-5</v>
      </c>
      <c r="L98" s="244"/>
      <c r="M98" s="70"/>
      <c r="N98" s="68">
        <f t="shared" si="13"/>
        <v>44280</v>
      </c>
      <c r="O98" s="73">
        <f t="shared" si="10"/>
        <v>1.9237503007097281E-2</v>
      </c>
      <c r="P98" s="70"/>
      <c r="Q98" s="71"/>
      <c r="R98" s="71"/>
      <c r="S98" s="71"/>
      <c r="T98" s="71"/>
      <c r="U98" s="71"/>
      <c r="V98" s="71"/>
      <c r="W98" s="71"/>
      <c r="X98" s="71"/>
      <c r="Y98" s="71"/>
      <c r="Z98" s="71"/>
      <c r="AA98" s="71"/>
      <c r="AB98" s="71"/>
      <c r="AC98" s="71"/>
      <c r="AD98" s="71"/>
      <c r="AE98" s="71"/>
      <c r="AF98" s="71"/>
    </row>
    <row r="99" spans="1:32">
      <c r="A99" s="233">
        <v>1.9220000000000001E-2</v>
      </c>
      <c r="B99" s="293">
        <v>7777</v>
      </c>
      <c r="C99" s="232">
        <v>43969</v>
      </c>
      <c r="D99" s="232">
        <v>43970</v>
      </c>
      <c r="F99" s="273">
        <f t="shared" si="11"/>
        <v>1.422E-2</v>
      </c>
      <c r="H99" s="89">
        <f t="shared" si="7"/>
        <v>1</v>
      </c>
      <c r="I99" s="90">
        <f t="shared" si="8"/>
        <v>1.0000395</v>
      </c>
      <c r="J99" s="253">
        <f t="shared" si="12"/>
        <v>1.006142389381899</v>
      </c>
      <c r="K99" s="84">
        <f t="shared" si="9"/>
        <v>-1.6076535382679157E-7</v>
      </c>
      <c r="L99" s="244"/>
      <c r="M99" s="70"/>
      <c r="N99" s="68">
        <f t="shared" si="13"/>
        <v>44281</v>
      </c>
      <c r="O99" s="73">
        <f t="shared" si="10"/>
        <v>1.9219839234646173E-2</v>
      </c>
      <c r="P99" s="70"/>
      <c r="Q99" s="71"/>
      <c r="R99" s="71"/>
      <c r="S99" s="71"/>
      <c r="T99" s="71"/>
      <c r="U99" s="71"/>
      <c r="V99" s="71"/>
      <c r="W99" s="71"/>
      <c r="X99" s="71"/>
      <c r="Y99" s="71"/>
      <c r="Z99" s="71"/>
      <c r="AA99" s="71"/>
      <c r="AB99" s="71"/>
      <c r="AC99" s="71"/>
      <c r="AD99" s="71"/>
      <c r="AE99" s="71"/>
      <c r="AF99" s="71"/>
    </row>
    <row r="100" spans="1:32">
      <c r="A100" s="233">
        <v>1.917E-2</v>
      </c>
      <c r="B100" s="293">
        <v>7769</v>
      </c>
      <c r="C100" s="232">
        <v>43970</v>
      </c>
      <c r="D100" s="232">
        <v>43971</v>
      </c>
      <c r="F100" s="273">
        <f t="shared" si="11"/>
        <v>1.4169999999999999E-2</v>
      </c>
      <c r="H100" s="89">
        <f t="shared" si="7"/>
        <v>1</v>
      </c>
      <c r="I100" s="90">
        <f t="shared" si="8"/>
        <v>1.0000393611111111</v>
      </c>
      <c r="J100" s="253">
        <f t="shared" si="12"/>
        <v>1.0061821320062796</v>
      </c>
      <c r="K100" s="84">
        <f t="shared" si="9"/>
        <v>3.2153075314773819E-8</v>
      </c>
      <c r="L100" s="244"/>
      <c r="M100" s="70"/>
      <c r="N100" s="68">
        <f t="shared" si="13"/>
        <v>44282</v>
      </c>
      <c r="O100" s="73">
        <f t="shared" si="10"/>
        <v>1.9170032153075313E-2</v>
      </c>
      <c r="P100" s="70"/>
      <c r="Q100" s="71"/>
      <c r="R100" s="71"/>
      <c r="S100" s="71"/>
      <c r="T100" s="71"/>
      <c r="U100" s="71"/>
      <c r="V100" s="71"/>
      <c r="W100" s="71"/>
      <c r="X100" s="71"/>
      <c r="Y100" s="71"/>
      <c r="Z100" s="71"/>
      <c r="AA100" s="71"/>
      <c r="AB100" s="71"/>
      <c r="AC100" s="71"/>
      <c r="AD100" s="71"/>
      <c r="AE100" s="71"/>
      <c r="AF100" s="71"/>
    </row>
    <row r="101" spans="1:32">
      <c r="A101" s="233">
        <v>1.9179999999999999E-2</v>
      </c>
      <c r="B101" s="293">
        <v>7397</v>
      </c>
      <c r="C101" s="232">
        <v>43971</v>
      </c>
      <c r="D101" s="232">
        <v>43972</v>
      </c>
      <c r="F101" s="273">
        <f t="shared" si="11"/>
        <v>1.4179999999999998E-2</v>
      </c>
      <c r="H101" s="89">
        <f t="shared" si="7"/>
        <v>1</v>
      </c>
      <c r="I101" s="90">
        <f t="shared" si="8"/>
        <v>1.000039388888889</v>
      </c>
      <c r="J101" s="253">
        <f t="shared" si="12"/>
        <v>1.0062217364529755</v>
      </c>
      <c r="K101" s="84">
        <f t="shared" si="9"/>
        <v>1.286122974036584E-7</v>
      </c>
      <c r="L101" s="244"/>
      <c r="M101" s="70"/>
      <c r="N101" s="68">
        <f t="shared" si="13"/>
        <v>44283</v>
      </c>
      <c r="O101" s="73">
        <f t="shared" si="10"/>
        <v>1.9180128612297401E-2</v>
      </c>
      <c r="P101" s="70"/>
      <c r="Q101" s="71"/>
      <c r="R101" s="71"/>
      <c r="S101" s="71"/>
      <c r="T101" s="71"/>
      <c r="U101" s="71"/>
      <c r="V101" s="71"/>
      <c r="W101" s="71"/>
      <c r="X101" s="71"/>
      <c r="Y101" s="71"/>
      <c r="Z101" s="71"/>
      <c r="AA101" s="71"/>
      <c r="AB101" s="71"/>
      <c r="AC101" s="71"/>
      <c r="AD101" s="71"/>
      <c r="AE101" s="71"/>
      <c r="AF101" s="71"/>
    </row>
    <row r="102" spans="1:32">
      <c r="A102" s="233">
        <v>1.9220000000000001E-2</v>
      </c>
      <c r="B102" s="293">
        <v>8107</v>
      </c>
      <c r="C102" s="232">
        <v>43972</v>
      </c>
      <c r="D102" s="232">
        <v>43973</v>
      </c>
      <c r="F102" s="273">
        <f t="shared" si="11"/>
        <v>1.422E-2</v>
      </c>
      <c r="H102" s="89">
        <f t="shared" si="7"/>
        <v>1</v>
      </c>
      <c r="I102" s="90">
        <f t="shared" si="8"/>
        <v>1.0000395</v>
      </c>
      <c r="J102" s="253">
        <f t="shared" si="12"/>
        <v>1.0062613704091503</v>
      </c>
      <c r="K102" s="84">
        <f t="shared" si="9"/>
        <v>1.3484997889215896E-4</v>
      </c>
      <c r="L102" s="244"/>
      <c r="M102" s="70"/>
      <c r="N102" s="68">
        <f t="shared" si="13"/>
        <v>44284</v>
      </c>
      <c r="O102" s="73">
        <f t="shared" si="10"/>
        <v>1.9354849978892159E-2</v>
      </c>
      <c r="P102" s="70"/>
      <c r="Q102" s="71"/>
      <c r="R102" s="71"/>
      <c r="S102" s="71"/>
      <c r="T102" s="71"/>
      <c r="U102" s="71"/>
      <c r="V102" s="71"/>
      <c r="W102" s="71"/>
      <c r="X102" s="71"/>
      <c r="Y102" s="71"/>
      <c r="Z102" s="71"/>
      <c r="AA102" s="71"/>
      <c r="AB102" s="71"/>
      <c r="AC102" s="71"/>
      <c r="AD102" s="71"/>
      <c r="AE102" s="71"/>
      <c r="AF102" s="71"/>
    </row>
    <row r="103" spans="1:32">
      <c r="A103" s="233">
        <v>1.9040000000000001E-2</v>
      </c>
      <c r="B103" s="293">
        <v>3908</v>
      </c>
      <c r="C103" s="232">
        <v>43973</v>
      </c>
      <c r="D103" s="232">
        <v>43977</v>
      </c>
      <c r="F103" s="273">
        <f t="shared" si="11"/>
        <v>1.404E-2</v>
      </c>
      <c r="H103" s="89">
        <f t="shared" si="7"/>
        <v>4</v>
      </c>
      <c r="I103" s="90">
        <f t="shared" si="8"/>
        <v>1.000156</v>
      </c>
      <c r="J103" s="253">
        <f t="shared" si="12"/>
        <v>1.0063011177332815</v>
      </c>
      <c r="K103" s="84">
        <f t="shared" si="9"/>
        <v>-1.3686176644755587E-4</v>
      </c>
      <c r="L103" s="244"/>
      <c r="M103" s="70"/>
      <c r="N103" s="68">
        <f t="shared" si="13"/>
        <v>44285</v>
      </c>
      <c r="O103" s="73">
        <f t="shared" si="10"/>
        <v>1.8903138233552445E-2</v>
      </c>
      <c r="P103" s="70"/>
      <c r="Q103" s="71"/>
      <c r="R103" s="71"/>
      <c r="S103" s="71"/>
      <c r="T103" s="71"/>
      <c r="U103" s="71"/>
      <c r="V103" s="71"/>
      <c r="W103" s="71"/>
      <c r="X103" s="71"/>
      <c r="Y103" s="71"/>
      <c r="Z103" s="71"/>
      <c r="AA103" s="71"/>
      <c r="AB103" s="71"/>
      <c r="AC103" s="71"/>
      <c r="AD103" s="71"/>
      <c r="AE103" s="71"/>
      <c r="AF103" s="71"/>
    </row>
    <row r="104" spans="1:32">
      <c r="A104" s="233">
        <v>1.9E-2</v>
      </c>
      <c r="B104" s="293">
        <v>4868</v>
      </c>
      <c r="C104" s="232">
        <v>43977</v>
      </c>
      <c r="D104" s="232">
        <v>43978</v>
      </c>
      <c r="F104" s="273">
        <f t="shared" si="11"/>
        <v>1.3999999999999999E-2</v>
      </c>
      <c r="H104" s="89">
        <f t="shared" si="7"/>
        <v>1</v>
      </c>
      <c r="I104" s="90">
        <f t="shared" si="8"/>
        <v>1.0000388888888889</v>
      </c>
      <c r="J104" s="253">
        <f t="shared" si="12"/>
        <v>1.0064581007076479</v>
      </c>
      <c r="K104" s="84">
        <f t="shared" si="9"/>
        <v>6.4932539786569211E-7</v>
      </c>
      <c r="L104" s="244"/>
      <c r="M104" s="70"/>
      <c r="N104" s="68">
        <f t="shared" si="13"/>
        <v>44286</v>
      </c>
      <c r="O104" s="73">
        <f t="shared" si="10"/>
        <v>1.9000649325397866E-2</v>
      </c>
      <c r="P104" s="85"/>
      <c r="Q104" s="71"/>
      <c r="R104" s="71"/>
      <c r="S104" s="71"/>
      <c r="T104" s="71"/>
      <c r="U104" s="71"/>
      <c r="V104" s="71"/>
      <c r="W104" s="71"/>
      <c r="X104" s="71"/>
      <c r="Y104" s="71"/>
      <c r="Z104" s="71"/>
      <c r="AA104" s="71"/>
      <c r="AB104" s="71"/>
      <c r="AC104" s="71"/>
      <c r="AD104" s="71"/>
      <c r="AE104" s="71"/>
      <c r="AF104" s="71"/>
    </row>
    <row r="105" spans="1:32">
      <c r="A105" s="233">
        <v>1.9199999999999998E-2</v>
      </c>
      <c r="B105" s="293">
        <v>8182</v>
      </c>
      <c r="C105" s="232">
        <v>43978</v>
      </c>
      <c r="D105" s="232">
        <v>43979</v>
      </c>
      <c r="F105" s="273">
        <f t="shared" si="11"/>
        <v>1.4199999999999997E-2</v>
      </c>
      <c r="H105" s="89">
        <f t="shared" si="7"/>
        <v>1</v>
      </c>
      <c r="I105" s="90">
        <f t="shared" si="8"/>
        <v>1.0000394444444445</v>
      </c>
      <c r="J105" s="253">
        <f t="shared" si="12"/>
        <v>1.0064972407448975</v>
      </c>
      <c r="K105" s="84">
        <f t="shared" si="9"/>
        <v>9.7398755554318592E-8</v>
      </c>
      <c r="L105" s="244"/>
      <c r="M105" s="70"/>
      <c r="N105" s="87">
        <f t="shared" si="13"/>
        <v>44287</v>
      </c>
      <c r="O105" s="73">
        <f t="shared" si="10"/>
        <v>1.9200097398755552E-2</v>
      </c>
      <c r="P105" s="85"/>
      <c r="Q105" s="71"/>
      <c r="R105" s="71"/>
      <c r="S105" s="71"/>
      <c r="T105" s="71"/>
      <c r="U105" s="71"/>
      <c r="V105" s="71"/>
      <c r="W105" s="71"/>
      <c r="X105" s="71"/>
      <c r="Y105" s="71"/>
      <c r="Z105" s="71"/>
      <c r="AA105" s="71"/>
      <c r="AB105" s="71"/>
      <c r="AC105" s="71"/>
      <c r="AD105" s="71"/>
      <c r="AE105" s="71"/>
      <c r="AF105" s="71"/>
    </row>
    <row r="106" spans="1:32">
      <c r="A106" s="233">
        <v>1.9230000000000001E-2</v>
      </c>
      <c r="B106" s="293">
        <v>7354</v>
      </c>
      <c r="C106" s="232">
        <v>43979</v>
      </c>
      <c r="D106" s="232">
        <v>43980</v>
      </c>
      <c r="F106" s="273">
        <f t="shared" si="11"/>
        <v>1.423E-2</v>
      </c>
      <c r="H106" s="89">
        <f t="shared" si="7"/>
        <v>1</v>
      </c>
      <c r="I106" s="90">
        <f t="shared" si="8"/>
        <v>1.0000395277777778</v>
      </c>
      <c r="J106" s="253">
        <f t="shared" si="12"/>
        <v>1.0065369414693937</v>
      </c>
      <c r="K106" s="84">
        <f t="shared" si="9"/>
        <v>9.2301546330005306E-5</v>
      </c>
      <c r="L106" s="244"/>
      <c r="M106" s="70"/>
      <c r="N106" s="87">
        <f t="shared" si="13"/>
        <v>44288</v>
      </c>
      <c r="O106" s="73">
        <f t="shared" si="10"/>
        <v>1.9322301546330006E-2</v>
      </c>
      <c r="P106" s="86"/>
      <c r="Q106" s="91"/>
      <c r="R106" s="91"/>
      <c r="S106" s="91"/>
      <c r="T106" s="91"/>
      <c r="U106" s="91"/>
      <c r="V106" s="91"/>
      <c r="W106" s="71"/>
      <c r="X106" s="71"/>
      <c r="Y106" s="71"/>
      <c r="Z106" s="71"/>
      <c r="AA106" s="71"/>
      <c r="AB106" s="71"/>
      <c r="AC106" s="71"/>
      <c r="AD106" s="71"/>
      <c r="AE106" s="71"/>
      <c r="AF106" s="71"/>
    </row>
    <row r="107" spans="1:32">
      <c r="A107" s="233">
        <v>1.9220000000000001E-2</v>
      </c>
      <c r="B107" s="293">
        <v>6870</v>
      </c>
      <c r="C107" s="232">
        <v>43980</v>
      </c>
      <c r="D107" s="232">
        <v>43983</v>
      </c>
      <c r="F107" s="273">
        <f t="shared" si="11"/>
        <v>1.422E-2</v>
      </c>
      <c r="H107" s="89">
        <f t="shared" si="7"/>
        <v>3</v>
      </c>
      <c r="I107" s="90">
        <f t="shared" si="8"/>
        <v>1.0001184999999999</v>
      </c>
      <c r="J107" s="253">
        <f t="shared" si="12"/>
        <v>1.0065767276379411</v>
      </c>
      <c r="K107" s="84">
        <f t="shared" si="9"/>
        <v>-9.2047915851189329E-5</v>
      </c>
      <c r="L107" s="244"/>
      <c r="M107" s="70"/>
      <c r="N107" s="87">
        <f t="shared" si="13"/>
        <v>44289</v>
      </c>
      <c r="O107" s="73">
        <f t="shared" si="10"/>
        <v>1.9127952084148813E-2</v>
      </c>
      <c r="P107" s="3"/>
    </row>
    <row r="108" spans="1:32">
      <c r="A108" s="233">
        <v>1.949E-2</v>
      </c>
      <c r="B108" s="293">
        <v>8408</v>
      </c>
      <c r="C108" s="232">
        <v>43983</v>
      </c>
      <c r="D108" s="232">
        <v>43984</v>
      </c>
      <c r="F108" s="273">
        <f t="shared" si="11"/>
        <v>1.4489999999999999E-2</v>
      </c>
      <c r="H108" s="89">
        <f t="shared" si="7"/>
        <v>1</v>
      </c>
      <c r="I108" s="90">
        <f t="shared" si="8"/>
        <v>1.0000402500000001</v>
      </c>
      <c r="J108" s="253">
        <f t="shared" si="12"/>
        <v>1.0066960069801663</v>
      </c>
      <c r="K108" s="84">
        <f t="shared" si="9"/>
        <v>-8.8231742800815027E-7</v>
      </c>
      <c r="L108" s="244"/>
      <c r="M108" s="70"/>
      <c r="N108" s="87">
        <f t="shared" si="13"/>
        <v>44290</v>
      </c>
      <c r="O108" s="73">
        <f t="shared" si="10"/>
        <v>1.9489117682571992E-2</v>
      </c>
      <c r="P108" s="3"/>
    </row>
    <row r="109" spans="1:32">
      <c r="A109" s="233">
        <v>1.9220000000000001E-2</v>
      </c>
      <c r="B109" s="293">
        <v>8516</v>
      </c>
      <c r="C109" s="232">
        <v>43984</v>
      </c>
      <c r="D109" s="232">
        <v>43985</v>
      </c>
      <c r="F109" s="273">
        <f t="shared" si="11"/>
        <v>1.422E-2</v>
      </c>
      <c r="H109" s="89">
        <f t="shared" si="7"/>
        <v>1</v>
      </c>
      <c r="I109" s="90">
        <f t="shared" si="8"/>
        <v>1.0000395</v>
      </c>
      <c r="J109" s="253">
        <f t="shared" si="12"/>
        <v>1.0067365264944472</v>
      </c>
      <c r="K109" s="84">
        <f t="shared" si="9"/>
        <v>-2.2874913414441649E-7</v>
      </c>
      <c r="L109" s="244"/>
      <c r="M109" s="70"/>
      <c r="N109" s="87">
        <f t="shared" si="13"/>
        <v>44291</v>
      </c>
      <c r="O109" s="73">
        <f t="shared" si="10"/>
        <v>1.9219771250865856E-2</v>
      </c>
      <c r="P109" s="3"/>
    </row>
    <row r="110" spans="1:32">
      <c r="A110" s="233">
        <v>1.915E-2</v>
      </c>
      <c r="B110" s="293">
        <v>7782</v>
      </c>
      <c r="C110" s="232">
        <v>43985</v>
      </c>
      <c r="D110" s="232">
        <v>43986</v>
      </c>
      <c r="F110" s="273">
        <f t="shared" si="11"/>
        <v>1.4149999999999999E-2</v>
      </c>
      <c r="H110" s="89">
        <f t="shared" si="7"/>
        <v>1</v>
      </c>
      <c r="I110" s="90">
        <f t="shared" si="8"/>
        <v>1.0000393055555556</v>
      </c>
      <c r="J110" s="253">
        <f t="shared" si="12"/>
        <v>1.0067762925872437</v>
      </c>
      <c r="K110" s="84">
        <f t="shared" si="9"/>
        <v>0</v>
      </c>
      <c r="L110" s="244"/>
      <c r="M110" s="70"/>
      <c r="N110" s="87">
        <f t="shared" si="13"/>
        <v>44292</v>
      </c>
      <c r="O110" s="73">
        <f t="shared" si="10"/>
        <v>1.915E-2</v>
      </c>
      <c r="P110" s="3"/>
    </row>
    <row r="111" spans="1:32">
      <c r="A111" s="233">
        <v>1.915E-2</v>
      </c>
      <c r="B111" s="293">
        <v>7926</v>
      </c>
      <c r="C111" s="232">
        <v>43986</v>
      </c>
      <c r="D111" s="232">
        <v>43987</v>
      </c>
      <c r="F111" s="273">
        <f t="shared" si="11"/>
        <v>1.4149999999999999E-2</v>
      </c>
      <c r="H111" s="89">
        <f t="shared" si="7"/>
        <v>1</v>
      </c>
      <c r="I111" s="90">
        <f t="shared" si="8"/>
        <v>1.0000393055555556</v>
      </c>
      <c r="J111" s="253">
        <f t="shared" si="12"/>
        <v>1.0068158644887442</v>
      </c>
      <c r="K111" s="84">
        <f t="shared" si="9"/>
        <v>9.2676095876702687E-5</v>
      </c>
      <c r="L111" s="244"/>
      <c r="M111" s="70"/>
      <c r="N111" s="87">
        <f t="shared" si="13"/>
        <v>44293</v>
      </c>
      <c r="O111" s="73">
        <f t="shared" si="10"/>
        <v>1.9242676095876703E-2</v>
      </c>
      <c r="P111" s="3"/>
    </row>
    <row r="112" spans="1:32">
      <c r="A112" s="233">
        <v>1.917E-2</v>
      </c>
      <c r="B112" s="293">
        <v>8493</v>
      </c>
      <c r="C112" s="232">
        <v>43987</v>
      </c>
      <c r="D112" s="232">
        <v>43990</v>
      </c>
      <c r="F112" s="273">
        <f t="shared" si="11"/>
        <v>1.4169999999999999E-2</v>
      </c>
      <c r="H112" s="89">
        <f t="shared" si="7"/>
        <v>3</v>
      </c>
      <c r="I112" s="90">
        <f t="shared" si="8"/>
        <v>1.0001180833333334</v>
      </c>
      <c r="J112" s="253">
        <f t="shared" si="12"/>
        <v>1.00685543794564</v>
      </c>
      <c r="K112" s="84">
        <f t="shared" si="9"/>
        <v>-9.3278459052878308E-5</v>
      </c>
      <c r="L112" s="244"/>
      <c r="M112" s="70"/>
      <c r="N112" s="87">
        <f t="shared" si="13"/>
        <v>44294</v>
      </c>
      <c r="O112" s="73">
        <f t="shared" si="10"/>
        <v>1.9076721540947122E-2</v>
      </c>
      <c r="P112" s="3"/>
    </row>
    <row r="113" spans="1:16">
      <c r="A113" s="233">
        <v>1.915E-2</v>
      </c>
      <c r="B113" s="293">
        <v>8089</v>
      </c>
      <c r="C113" s="232">
        <v>43990</v>
      </c>
      <c r="D113" s="232">
        <v>43991</v>
      </c>
      <c r="F113" s="273">
        <f t="shared" si="11"/>
        <v>1.4149999999999999E-2</v>
      </c>
      <c r="H113" s="89">
        <f t="shared" si="7"/>
        <v>1</v>
      </c>
      <c r="I113" s="90">
        <f t="shared" si="8"/>
        <v>1.0000393055555556</v>
      </c>
      <c r="J113" s="253">
        <f t="shared" si="12"/>
        <v>1.0069743307919374</v>
      </c>
      <c r="K113" s="84">
        <f t="shared" si="9"/>
        <v>3.2893443758259885E-8</v>
      </c>
      <c r="L113" s="244"/>
      <c r="M113" s="70"/>
      <c r="N113" s="87">
        <f t="shared" si="13"/>
        <v>44295</v>
      </c>
      <c r="O113" s="73">
        <f t="shared" si="10"/>
        <v>1.9150032893443757E-2</v>
      </c>
      <c r="P113" s="3"/>
    </row>
    <row r="114" spans="1:16">
      <c r="A114" s="233">
        <v>1.916E-2</v>
      </c>
      <c r="B114" s="293">
        <v>8421</v>
      </c>
      <c r="C114" s="232">
        <v>43991</v>
      </c>
      <c r="D114" s="232">
        <v>43992</v>
      </c>
      <c r="F114" s="273">
        <f t="shared" si="11"/>
        <v>1.4159999999999999E-2</v>
      </c>
      <c r="G114" s="19"/>
      <c r="H114" s="89">
        <f t="shared" si="7"/>
        <v>1</v>
      </c>
      <c r="I114" s="90">
        <f t="shared" si="8"/>
        <v>1.0000393333333333</v>
      </c>
      <c r="J114" s="253">
        <f t="shared" si="12"/>
        <v>1.0070139104774394</v>
      </c>
      <c r="K114" s="84">
        <f t="shared" si="9"/>
        <v>-9.8680329171199186E-8</v>
      </c>
      <c r="L114" s="244"/>
      <c r="M114" s="70"/>
      <c r="N114" s="87">
        <f t="shared" si="13"/>
        <v>44296</v>
      </c>
      <c r="O114" s="73">
        <f t="shared" si="10"/>
        <v>1.9159901319670828E-2</v>
      </c>
      <c r="P114" s="3"/>
    </row>
    <row r="115" spans="1:16">
      <c r="A115" s="233">
        <v>1.9130000000000001E-2</v>
      </c>
      <c r="B115" s="293">
        <v>8805</v>
      </c>
      <c r="C115" s="232">
        <v>43992</v>
      </c>
      <c r="D115" s="232">
        <v>43993</v>
      </c>
      <c r="F115" s="273">
        <f t="shared" si="11"/>
        <v>1.413E-2</v>
      </c>
      <c r="G115" s="19"/>
      <c r="H115" s="89">
        <f t="shared" si="7"/>
        <v>1</v>
      </c>
      <c r="I115" s="90">
        <f t="shared" si="8"/>
        <v>1.0000392499999999</v>
      </c>
      <c r="J115" s="253">
        <f t="shared" si="12"/>
        <v>1.0070535196912513</v>
      </c>
      <c r="K115" s="84">
        <f t="shared" si="9"/>
        <v>1.1512706022719892E-6</v>
      </c>
      <c r="L115" s="244"/>
      <c r="M115" s="70"/>
      <c r="N115" s="87">
        <f t="shared" si="13"/>
        <v>44297</v>
      </c>
      <c r="O115" s="73">
        <f t="shared" si="10"/>
        <v>1.9131151270602272E-2</v>
      </c>
      <c r="P115" s="3"/>
    </row>
    <row r="116" spans="1:16">
      <c r="A116" s="233">
        <v>1.9480000000000001E-2</v>
      </c>
      <c r="B116" s="293">
        <v>10676</v>
      </c>
      <c r="C116" s="232">
        <v>43993</v>
      </c>
      <c r="D116" s="232">
        <v>43994</v>
      </c>
      <c r="F116" s="273">
        <f t="shared" si="11"/>
        <v>1.448E-2</v>
      </c>
      <c r="G116" s="19"/>
      <c r="H116" s="89">
        <f t="shared" si="7"/>
        <v>1</v>
      </c>
      <c r="I116" s="90">
        <f t="shared" si="8"/>
        <v>1.0000402222222222</v>
      </c>
      <c r="J116" s="253">
        <f t="shared" si="12"/>
        <v>1.0070930465418992</v>
      </c>
      <c r="K116" s="84">
        <f t="shared" si="9"/>
        <v>9.3680442490730686E-5</v>
      </c>
      <c r="L116" s="244"/>
      <c r="M116" s="70"/>
      <c r="N116" s="87">
        <f t="shared" si="13"/>
        <v>44298</v>
      </c>
      <c r="O116" s="73">
        <f t="shared" si="10"/>
        <v>1.9573680442490731E-2</v>
      </c>
      <c r="P116" s="3"/>
    </row>
    <row r="117" spans="1:16">
      <c r="A117" s="233">
        <v>1.932E-2</v>
      </c>
      <c r="B117" s="293">
        <v>10596</v>
      </c>
      <c r="C117" s="232">
        <v>43994</v>
      </c>
      <c r="D117" s="232">
        <v>43997</v>
      </c>
      <c r="F117" s="273">
        <f t="shared" si="11"/>
        <v>1.4319999999999999E-2</v>
      </c>
      <c r="G117" s="19"/>
      <c r="H117" s="89">
        <f t="shared" si="7"/>
        <v>3</v>
      </c>
      <c r="I117" s="90">
        <f t="shared" si="8"/>
        <v>1.0001193333333334</v>
      </c>
      <c r="J117" s="253">
        <f t="shared" si="12"/>
        <v>1.0071335540622157</v>
      </c>
      <c r="K117" s="84">
        <f t="shared" si="9"/>
        <v>-9.2207539613367017E-5</v>
      </c>
      <c r="L117" s="244"/>
      <c r="M117" s="70"/>
      <c r="N117" s="87">
        <f t="shared" si="13"/>
        <v>44299</v>
      </c>
      <c r="O117" s="73">
        <f t="shared" si="10"/>
        <v>1.9227792460386632E-2</v>
      </c>
      <c r="P117" s="3"/>
    </row>
    <row r="118" spans="1:16">
      <c r="A118" s="233">
        <v>2.0109999999999999E-2</v>
      </c>
      <c r="B118" s="293">
        <v>12552</v>
      </c>
      <c r="C118" s="232">
        <v>43997</v>
      </c>
      <c r="D118" s="232">
        <v>43998</v>
      </c>
      <c r="F118" s="273">
        <f t="shared" si="11"/>
        <v>1.5109999999999998E-2</v>
      </c>
      <c r="G118" s="19"/>
      <c r="H118" s="89">
        <f t="shared" si="7"/>
        <v>1</v>
      </c>
      <c r="I118" s="90">
        <f t="shared" si="8"/>
        <v>1.0000419722222222</v>
      </c>
      <c r="J118" s="253">
        <f t="shared" si="12"/>
        <v>1.0072537386663338</v>
      </c>
      <c r="K118" s="84">
        <f t="shared" si="9"/>
        <v>6.0262371315583541E-6</v>
      </c>
      <c r="L118" s="244"/>
      <c r="M118" s="70"/>
      <c r="N118" s="87">
        <f t="shared" si="13"/>
        <v>44300</v>
      </c>
      <c r="O118" s="73">
        <f t="shared" si="10"/>
        <v>2.0116026237131556E-2</v>
      </c>
      <c r="P118" s="3"/>
    </row>
    <row r="119" spans="1:16">
      <c r="A119" s="233">
        <v>2.1930000000000002E-2</v>
      </c>
      <c r="B119" s="293">
        <v>12384</v>
      </c>
      <c r="C119" s="232">
        <v>43998</v>
      </c>
      <c r="D119" s="232">
        <v>43999</v>
      </c>
      <c r="F119" s="273">
        <f t="shared" si="11"/>
        <v>1.6930000000000001E-2</v>
      </c>
      <c r="G119" s="19"/>
      <c r="H119" s="89">
        <f t="shared" si="7"/>
        <v>1</v>
      </c>
      <c r="I119" s="90">
        <f t="shared" si="8"/>
        <v>1.0000470277777778</v>
      </c>
      <c r="J119" s="253">
        <f t="shared" si="12"/>
        <v>1.0072960153440873</v>
      </c>
      <c r="K119" s="84">
        <f t="shared" si="9"/>
        <v>-1.9403061027018126E-5</v>
      </c>
      <c r="L119" s="244"/>
      <c r="M119" s="70"/>
      <c r="N119" s="87">
        <f t="shared" si="13"/>
        <v>44301</v>
      </c>
      <c r="O119" s="73">
        <f t="shared" si="10"/>
        <v>2.1910596938972984E-2</v>
      </c>
      <c r="P119" s="3"/>
    </row>
    <row r="120" spans="1:16">
      <c r="A120" s="233">
        <v>1.6070000000000001E-2</v>
      </c>
      <c r="B120" s="293">
        <v>11060</v>
      </c>
      <c r="C120" s="232">
        <v>43999</v>
      </c>
      <c r="D120" s="232">
        <v>44000</v>
      </c>
      <c r="F120" s="273">
        <f t="shared" si="11"/>
        <v>1.107E-2</v>
      </c>
      <c r="G120" s="19"/>
      <c r="H120" s="89">
        <f t="shared" si="7"/>
        <v>1</v>
      </c>
      <c r="I120" s="90">
        <f t="shared" si="8"/>
        <v>1.0000307500000001</v>
      </c>
      <c r="J120" s="253">
        <f t="shared" si="12"/>
        <v>1.0073433862372534</v>
      </c>
      <c r="K120" s="84">
        <f t="shared" si="9"/>
        <v>-5.8276353698996369E-6</v>
      </c>
      <c r="L120" s="244"/>
      <c r="M120" s="70"/>
      <c r="N120" s="87">
        <f t="shared" si="13"/>
        <v>44302</v>
      </c>
      <c r="O120" s="73">
        <f t="shared" si="10"/>
        <v>1.6064172364630102E-2</v>
      </c>
      <c r="P120" s="3"/>
    </row>
    <row r="121" spans="1:16">
      <c r="A121" s="233">
        <v>1.431E-2</v>
      </c>
      <c r="B121" s="293">
        <v>9714</v>
      </c>
      <c r="C121" s="232">
        <v>44000</v>
      </c>
      <c r="D121" s="232">
        <v>44001</v>
      </c>
      <c r="F121" s="273">
        <f t="shared" si="11"/>
        <v>9.3099999999999988E-3</v>
      </c>
      <c r="H121" s="89">
        <f t="shared" si="7"/>
        <v>1</v>
      </c>
      <c r="I121" s="90">
        <f t="shared" si="8"/>
        <v>1.000025861111111</v>
      </c>
      <c r="J121" s="253">
        <f t="shared" si="12"/>
        <v>1.0073743620463802</v>
      </c>
      <c r="K121" s="84">
        <f t="shared" si="9"/>
        <v>3.0032335913243063E-5</v>
      </c>
      <c r="L121" s="244"/>
      <c r="M121" s="70"/>
      <c r="N121" s="87">
        <f t="shared" si="13"/>
        <v>44303</v>
      </c>
      <c r="O121" s="73">
        <f t="shared" si="10"/>
        <v>1.4340032335913242E-2</v>
      </c>
      <c r="P121" s="3"/>
    </row>
    <row r="122" spans="1:16">
      <c r="A122" s="233">
        <v>1.4189999999999999E-2</v>
      </c>
      <c r="B122" s="293">
        <v>7557</v>
      </c>
      <c r="C122" s="232">
        <v>44001</v>
      </c>
      <c r="D122" s="232">
        <v>44003</v>
      </c>
      <c r="F122" s="273">
        <f t="shared" si="11"/>
        <v>9.1900000000000003E-3</v>
      </c>
      <c r="G122">
        <v>180</v>
      </c>
      <c r="H122" s="261">
        <f t="shared" si="7"/>
        <v>2</v>
      </c>
      <c r="I122" s="269">
        <f t="shared" si="8"/>
        <v>1.0000510555555555</v>
      </c>
      <c r="J122" s="262">
        <f t="shared" si="12"/>
        <v>1.0074004138666874</v>
      </c>
      <c r="K122" s="263">
        <f t="shared" si="9"/>
        <v>-3.0729328106954776E-5</v>
      </c>
      <c r="L122" s="244"/>
      <c r="M122" s="70"/>
      <c r="N122" s="87">
        <f t="shared" si="13"/>
        <v>44304</v>
      </c>
      <c r="O122" s="73">
        <f t="shared" si="10"/>
        <v>1.4159270671893045E-2</v>
      </c>
      <c r="P122" s="3"/>
    </row>
    <row r="123" spans="1:16">
      <c r="A123" s="233">
        <v>1.413E-2</v>
      </c>
      <c r="B123" s="293">
        <v>8369</v>
      </c>
      <c r="C123" s="232">
        <v>44004</v>
      </c>
      <c r="D123" s="232">
        <v>44005</v>
      </c>
      <c r="F123" s="273">
        <f t="shared" si="11"/>
        <v>9.1299999999999992E-3</v>
      </c>
      <c r="H123" s="89">
        <f t="shared" si="7"/>
        <v>1</v>
      </c>
      <c r="I123" s="90">
        <f t="shared" si="8"/>
        <v>1.0000253611111112</v>
      </c>
      <c r="J123" s="253">
        <f t="shared" si="12"/>
        <v>1.0074518472544842</v>
      </c>
      <c r="K123" s="84">
        <f t="shared" si="9"/>
        <v>-3.3332488102999491E-8</v>
      </c>
      <c r="L123" s="244"/>
      <c r="M123" s="70"/>
      <c r="N123" s="87">
        <f t="shared" si="13"/>
        <v>44305</v>
      </c>
      <c r="O123" s="73">
        <f t="shared" si="10"/>
        <v>1.4129966667511897E-2</v>
      </c>
      <c r="P123" s="3"/>
    </row>
    <row r="124" spans="1:16">
      <c r="A124" s="233">
        <v>1.4120000000000001E-2</v>
      </c>
      <c r="B124" s="293">
        <v>7319</v>
      </c>
      <c r="C124" s="232">
        <v>44005</v>
      </c>
      <c r="D124" s="232">
        <v>44006</v>
      </c>
      <c r="F124" s="273">
        <f t="shared" si="11"/>
        <v>9.1199999999999996E-3</v>
      </c>
      <c r="G124" s="19"/>
      <c r="H124" s="89">
        <f t="shared" si="7"/>
        <v>1</v>
      </c>
      <c r="I124" s="90">
        <f t="shared" si="8"/>
        <v>1.0000253333333333</v>
      </c>
      <c r="J124" s="253">
        <f t="shared" si="12"/>
        <v>1.0074773973527216</v>
      </c>
      <c r="K124" s="84">
        <f t="shared" si="9"/>
        <v>-3.3332489035586829E-8</v>
      </c>
      <c r="L124" s="244"/>
      <c r="M124" s="70"/>
      <c r="N124" s="87">
        <f t="shared" si="13"/>
        <v>44306</v>
      </c>
      <c r="O124" s="73">
        <f t="shared" si="10"/>
        <v>1.4119966667510964E-2</v>
      </c>
      <c r="P124" s="3"/>
    </row>
    <row r="125" spans="1:16">
      <c r="A125" s="233">
        <v>1.4109999999999999E-2</v>
      </c>
      <c r="B125" s="293">
        <v>7043</v>
      </c>
      <c r="C125" s="232">
        <v>44006</v>
      </c>
      <c r="D125" s="232">
        <v>44007</v>
      </c>
      <c r="F125" s="273">
        <f t="shared" si="11"/>
        <v>9.11E-3</v>
      </c>
      <c r="G125" s="19"/>
      <c r="H125" s="89">
        <f t="shared" si="7"/>
        <v>1</v>
      </c>
      <c r="I125" s="90">
        <f t="shared" si="8"/>
        <v>1.0000253055555555</v>
      </c>
      <c r="J125" s="253">
        <f t="shared" si="12"/>
        <v>1.0075029201134544</v>
      </c>
      <c r="K125" s="84">
        <f t="shared" si="9"/>
        <v>2.3332742884463187E-7</v>
      </c>
      <c r="L125" s="244"/>
      <c r="M125" s="70"/>
      <c r="N125" s="87">
        <f t="shared" si="13"/>
        <v>44307</v>
      </c>
      <c r="O125" s="73">
        <f t="shared" si="10"/>
        <v>1.4110233327428844E-2</v>
      </c>
      <c r="P125" s="3"/>
    </row>
    <row r="126" spans="1:16">
      <c r="A126" s="233">
        <v>1.418E-2</v>
      </c>
      <c r="B126" s="293">
        <v>7456</v>
      </c>
      <c r="C126" s="232">
        <v>44007</v>
      </c>
      <c r="D126" s="232">
        <v>44008</v>
      </c>
      <c r="F126" s="273">
        <f t="shared" si="11"/>
        <v>9.1800000000000007E-3</v>
      </c>
      <c r="H126" s="89">
        <f t="shared" si="7"/>
        <v>1</v>
      </c>
      <c r="I126" s="90">
        <f t="shared" si="8"/>
        <v>1.0000255</v>
      </c>
      <c r="J126" s="253">
        <f t="shared" si="12"/>
        <v>1.0075284155345716</v>
      </c>
      <c r="K126" s="84">
        <f t="shared" si="9"/>
        <v>6.0498457289170915E-5</v>
      </c>
      <c r="L126" s="244"/>
      <c r="M126" s="70"/>
      <c r="N126" s="87">
        <f t="shared" si="13"/>
        <v>44308</v>
      </c>
      <c r="O126" s="73">
        <f t="shared" si="10"/>
        <v>1.4240498457289171E-2</v>
      </c>
      <c r="P126" s="3"/>
    </row>
    <row r="127" spans="1:16">
      <c r="A127" s="233">
        <v>1.4109999999999999E-2</v>
      </c>
      <c r="B127" s="293">
        <v>7462</v>
      </c>
      <c r="C127" s="232">
        <v>44008</v>
      </c>
      <c r="D127" s="232">
        <v>44011</v>
      </c>
      <c r="F127" s="273">
        <f t="shared" si="11"/>
        <v>9.11E-3</v>
      </c>
      <c r="H127" s="89">
        <f t="shared" si="7"/>
        <v>3</v>
      </c>
      <c r="I127" s="90">
        <f t="shared" si="8"/>
        <v>1.0000759166666666</v>
      </c>
      <c r="J127" s="253">
        <f t="shared" si="12"/>
        <v>1.0075541075091679</v>
      </c>
      <c r="K127" s="84">
        <f t="shared" si="9"/>
        <v>-6.0767198837148064E-5</v>
      </c>
      <c r="L127" s="244"/>
      <c r="M127" s="70"/>
      <c r="N127" s="87">
        <f t="shared" si="13"/>
        <v>44309</v>
      </c>
      <c r="O127" s="73">
        <f t="shared" si="10"/>
        <v>1.4049232801162851E-2</v>
      </c>
      <c r="P127" s="3"/>
    </row>
    <row r="128" spans="1:16">
      <c r="A128" s="233">
        <v>1.422E-2</v>
      </c>
      <c r="B128" s="293">
        <v>6673</v>
      </c>
      <c r="C128" s="232">
        <v>44011</v>
      </c>
      <c r="D128" s="232">
        <v>44012</v>
      </c>
      <c r="F128" s="273">
        <f t="shared" si="11"/>
        <v>9.219999999999999E-3</v>
      </c>
      <c r="H128" s="89">
        <f t="shared" si="7"/>
        <v>1</v>
      </c>
      <c r="I128" s="90">
        <f t="shared" si="8"/>
        <v>1.0000256111111112</v>
      </c>
      <c r="J128" s="253">
        <f t="shared" si="12"/>
        <v>1.0076305976584963</v>
      </c>
      <c r="K128" s="84">
        <f t="shared" si="9"/>
        <v>3.3556187358986476E-8</v>
      </c>
      <c r="L128" s="244"/>
      <c r="M128" s="70"/>
      <c r="N128" s="87">
        <f t="shared" si="13"/>
        <v>44310</v>
      </c>
      <c r="O128" s="73">
        <f t="shared" si="10"/>
        <v>1.4220033556187358E-2</v>
      </c>
      <c r="P128" s="3"/>
    </row>
    <row r="129" spans="1:16">
      <c r="A129" s="233">
        <v>1.423E-2</v>
      </c>
      <c r="B129" s="293">
        <v>9356</v>
      </c>
      <c r="C129" s="232">
        <v>44012</v>
      </c>
      <c r="D129" s="232">
        <v>44013</v>
      </c>
      <c r="F129" s="273">
        <f t="shared" si="11"/>
        <v>9.2299999999999986E-3</v>
      </c>
      <c r="H129" s="89">
        <f t="shared" si="7"/>
        <v>1</v>
      </c>
      <c r="I129" s="90">
        <f t="shared" si="8"/>
        <v>1.0000256388888888</v>
      </c>
      <c r="J129" s="253">
        <f t="shared" si="12"/>
        <v>1.0076564041976919</v>
      </c>
      <c r="K129" s="84">
        <f t="shared" si="9"/>
        <v>-3.691180529015971E-7</v>
      </c>
      <c r="L129" s="244"/>
      <c r="M129" s="70"/>
      <c r="N129" s="87">
        <f t="shared" si="13"/>
        <v>44311</v>
      </c>
      <c r="O129" s="73">
        <f t="shared" si="10"/>
        <v>1.4229630881947099E-2</v>
      </c>
      <c r="P129" s="3"/>
    </row>
    <row r="130" spans="1:16">
      <c r="A130" s="233">
        <v>1.4120000000000001E-2</v>
      </c>
      <c r="B130" s="293">
        <v>6549</v>
      </c>
      <c r="C130" s="232">
        <v>44013</v>
      </c>
      <c r="D130" s="232">
        <v>44014</v>
      </c>
      <c r="F130" s="273">
        <f t="shared" si="11"/>
        <v>9.1199999999999996E-3</v>
      </c>
      <c r="H130" s="89">
        <f t="shared" ref="H130:H193" si="14">D130-C130</f>
        <v>1</v>
      </c>
      <c r="I130" s="90">
        <f t="shared" ref="I130:I193" si="15">(1+F130*(D130-C130)/360)</f>
        <v>1.0000253333333333</v>
      </c>
      <c r="J130" s="253">
        <f t="shared" si="12"/>
        <v>1.0076822393882772</v>
      </c>
      <c r="K130" s="84">
        <f t="shared" ref="K130:K193" si="16">((I131/I130-1)*360/(N130-D130))</f>
        <v>2.3489337830511467E-7</v>
      </c>
      <c r="L130" s="244"/>
      <c r="M130" s="70"/>
      <c r="N130" s="87">
        <f t="shared" si="13"/>
        <v>44312</v>
      </c>
      <c r="O130" s="73">
        <f t="shared" ref="O130:O193" si="17">A130+K130</f>
        <v>1.4120234893378306E-2</v>
      </c>
      <c r="P130" s="3"/>
    </row>
    <row r="131" spans="1:16">
      <c r="A131" s="233">
        <v>1.4189999999999999E-2</v>
      </c>
      <c r="B131" s="293">
        <v>7609</v>
      </c>
      <c r="C131" s="232">
        <v>44014</v>
      </c>
      <c r="D131" s="232">
        <v>44015</v>
      </c>
      <c r="F131" s="273">
        <f t="shared" ref="F131:F194" si="18">A131-0.005</f>
        <v>9.1900000000000003E-3</v>
      </c>
      <c r="H131" s="89">
        <f t="shared" si="14"/>
        <v>1</v>
      </c>
      <c r="I131" s="90">
        <f t="shared" si="15"/>
        <v>1.0000255277777779</v>
      </c>
      <c r="J131" s="253">
        <f t="shared" si="12"/>
        <v>1.0077077673383417</v>
      </c>
      <c r="K131" s="84">
        <f t="shared" si="16"/>
        <v>6.2582295030227006E-5</v>
      </c>
      <c r="L131" s="244"/>
      <c r="M131" s="70"/>
      <c r="N131" s="87">
        <f t="shared" si="13"/>
        <v>44313</v>
      </c>
      <c r="O131" s="73">
        <f t="shared" si="17"/>
        <v>1.4252582295030226E-2</v>
      </c>
      <c r="P131" s="3"/>
    </row>
    <row r="132" spans="1:16">
      <c r="A132" s="233">
        <v>1.4279999999999999E-2</v>
      </c>
      <c r="B132" s="293">
        <v>6232</v>
      </c>
      <c r="C132" s="232">
        <v>44015</v>
      </c>
      <c r="D132" s="232">
        <v>44018</v>
      </c>
      <c r="F132" s="273">
        <f t="shared" si="18"/>
        <v>9.2800000000000001E-3</v>
      </c>
      <c r="H132" s="89">
        <f t="shared" si="14"/>
        <v>3</v>
      </c>
      <c r="I132" s="90">
        <f t="shared" si="15"/>
        <v>1.0000773333333333</v>
      </c>
      <c r="J132" s="253">
        <f t="shared" ref="J132:J138" si="19">J131*I131</f>
        <v>1.0077334918782912</v>
      </c>
      <c r="K132" s="84">
        <f t="shared" si="16"/>
        <v>-6.2968103439663326E-5</v>
      </c>
      <c r="L132" s="244"/>
      <c r="M132" s="70"/>
      <c r="N132" s="87">
        <f t="shared" ref="N132:N137" si="20">N131+1</f>
        <v>44314</v>
      </c>
      <c r="O132" s="73">
        <f t="shared" si="17"/>
        <v>1.4217031896560336E-2</v>
      </c>
      <c r="P132" s="3"/>
    </row>
    <row r="133" spans="1:16">
      <c r="A133" s="233">
        <v>1.4200000000000001E-2</v>
      </c>
      <c r="B133" s="293">
        <v>6540</v>
      </c>
      <c r="C133" s="232">
        <v>44018</v>
      </c>
      <c r="D133" s="232">
        <v>44019</v>
      </c>
      <c r="F133" s="273">
        <f t="shared" si="18"/>
        <v>9.1999999999999998E-3</v>
      </c>
      <c r="H133" s="89">
        <f t="shared" si="14"/>
        <v>1</v>
      </c>
      <c r="I133" s="90">
        <f t="shared" si="15"/>
        <v>1.0000255555555555</v>
      </c>
      <c r="J133" s="253">
        <f t="shared" si="19"/>
        <v>1.0078114232683297</v>
      </c>
      <c r="K133" s="84">
        <f t="shared" si="16"/>
        <v>-6.7565840760124349E-8</v>
      </c>
      <c r="L133" s="244"/>
      <c r="M133" s="70"/>
      <c r="N133" s="87">
        <f t="shared" si="20"/>
        <v>44315</v>
      </c>
      <c r="O133" s="73">
        <f t="shared" si="17"/>
        <v>1.419993243415924E-2</v>
      </c>
      <c r="P133" s="3"/>
    </row>
    <row r="134" spans="1:16">
      <c r="A134" s="233">
        <v>1.418E-2</v>
      </c>
      <c r="B134" s="293">
        <v>6872</v>
      </c>
      <c r="C134" s="232">
        <v>44019</v>
      </c>
      <c r="D134" s="232">
        <v>44020</v>
      </c>
      <c r="F134" s="273">
        <f t="shared" si="18"/>
        <v>9.1800000000000007E-3</v>
      </c>
      <c r="H134" s="89">
        <f t="shared" si="14"/>
        <v>1</v>
      </c>
      <c r="I134" s="90">
        <f t="shared" si="15"/>
        <v>1.0000255</v>
      </c>
      <c r="J134" s="253">
        <f t="shared" si="19"/>
        <v>1.0078371784491464</v>
      </c>
      <c r="K134" s="84">
        <f t="shared" si="16"/>
        <v>0</v>
      </c>
      <c r="L134" s="244"/>
      <c r="M134" s="70"/>
      <c r="N134" s="87">
        <f t="shared" si="20"/>
        <v>44316</v>
      </c>
      <c r="O134" s="73">
        <f t="shared" si="17"/>
        <v>1.418E-2</v>
      </c>
      <c r="P134" s="3"/>
    </row>
    <row r="135" spans="1:16">
      <c r="A135" s="233">
        <v>1.418E-2</v>
      </c>
      <c r="B135" s="293">
        <v>7365</v>
      </c>
      <c r="C135" s="232">
        <v>44020</v>
      </c>
      <c r="D135" s="232">
        <v>44021</v>
      </c>
      <c r="F135" s="273">
        <f t="shared" si="18"/>
        <v>9.1800000000000007E-3</v>
      </c>
      <c r="H135" s="89">
        <f t="shared" si="14"/>
        <v>1</v>
      </c>
      <c r="I135" s="90">
        <f t="shared" si="15"/>
        <v>1.0000255</v>
      </c>
      <c r="J135" s="253">
        <f t="shared" si="19"/>
        <v>1.007862878297197</v>
      </c>
      <c r="K135" s="84">
        <f t="shared" si="16"/>
        <v>-3.3782922405469041E-8</v>
      </c>
      <c r="L135" s="244"/>
      <c r="M135" s="70"/>
      <c r="N135" s="87">
        <f t="shared" si="20"/>
        <v>44317</v>
      </c>
      <c r="O135" s="73">
        <f t="shared" si="17"/>
        <v>1.4179966217077594E-2</v>
      </c>
      <c r="P135" s="3"/>
    </row>
    <row r="136" spans="1:16">
      <c r="A136" s="233">
        <v>1.417E-2</v>
      </c>
      <c r="B136" s="293">
        <v>8173</v>
      </c>
      <c r="C136" s="232">
        <v>44021</v>
      </c>
      <c r="D136" s="232">
        <v>44022</v>
      </c>
      <c r="F136" s="273">
        <f t="shared" si="18"/>
        <v>9.1700000000000011E-3</v>
      </c>
      <c r="H136" s="89">
        <f t="shared" si="14"/>
        <v>1</v>
      </c>
      <c r="I136" s="90">
        <f t="shared" si="15"/>
        <v>1.0000254722222222</v>
      </c>
      <c r="J136" s="253">
        <f t="shared" si="19"/>
        <v>1.0078885788005936</v>
      </c>
      <c r="K136" s="84">
        <f t="shared" si="16"/>
        <v>6.1045742326531891E-5</v>
      </c>
      <c r="L136" s="244"/>
      <c r="M136" s="70"/>
      <c r="N136" s="87">
        <f t="shared" si="20"/>
        <v>44318</v>
      </c>
      <c r="O136" s="73">
        <f t="shared" si="17"/>
        <v>1.4231045742326533E-2</v>
      </c>
      <c r="P136" s="3"/>
    </row>
    <row r="137" spans="1:16">
      <c r="A137" s="233">
        <v>1.4080000000000001E-2</v>
      </c>
      <c r="B137" s="293">
        <v>9513</v>
      </c>
      <c r="C137" s="232">
        <v>44022</v>
      </c>
      <c r="D137" s="232">
        <v>44025</v>
      </c>
      <c r="F137" s="273">
        <f t="shared" si="18"/>
        <v>9.0800000000000013E-3</v>
      </c>
      <c r="H137" s="89">
        <f t="shared" si="14"/>
        <v>3</v>
      </c>
      <c r="I137" s="90">
        <f t="shared" si="15"/>
        <v>1.0000756666666666</v>
      </c>
      <c r="J137" s="253">
        <f t="shared" si="19"/>
        <v>1.007914251962448</v>
      </c>
      <c r="K137" s="84">
        <f t="shared" si="16"/>
        <v>-6.1696011940370432E-5</v>
      </c>
      <c r="L137" s="244"/>
      <c r="M137" s="70"/>
      <c r="N137" s="87">
        <f t="shared" si="20"/>
        <v>44319</v>
      </c>
      <c r="O137" s="73">
        <f t="shared" si="17"/>
        <v>1.401830398805963E-2</v>
      </c>
      <c r="P137" s="3"/>
    </row>
    <row r="138" spans="1:16">
      <c r="A138" s="233">
        <v>1.41E-2</v>
      </c>
      <c r="B138" s="293">
        <v>6962</v>
      </c>
      <c r="C138" s="232">
        <v>44025</v>
      </c>
      <c r="D138" s="232">
        <v>44026</v>
      </c>
      <c r="F138" s="273">
        <f t="shared" si="18"/>
        <v>9.1000000000000004E-3</v>
      </c>
      <c r="G138" s="88"/>
      <c r="H138" s="89">
        <f t="shared" si="14"/>
        <v>1</v>
      </c>
      <c r="I138" s="90">
        <f t="shared" si="15"/>
        <v>1.0000252777777778</v>
      </c>
      <c r="J138" s="253">
        <f t="shared" si="19"/>
        <v>1.0079905174741797</v>
      </c>
      <c r="K138" s="84">
        <f t="shared" si="16"/>
        <v>-3.4012745817103584E-8</v>
      </c>
      <c r="L138" s="244"/>
      <c r="M138" s="70"/>
      <c r="N138" s="87">
        <f>N137+1</f>
        <v>44320</v>
      </c>
      <c r="O138" s="73">
        <f t="shared" si="17"/>
        <v>1.4099965987254182E-2</v>
      </c>
      <c r="P138" s="3"/>
    </row>
    <row r="139" spans="1:16">
      <c r="A139" s="233">
        <v>1.409E-2</v>
      </c>
      <c r="B139" s="293">
        <v>6273</v>
      </c>
      <c r="C139" s="232">
        <v>44026</v>
      </c>
      <c r="D139" s="232">
        <v>44027</v>
      </c>
      <c r="F139" s="273">
        <f t="shared" si="18"/>
        <v>9.0900000000000009E-3</v>
      </c>
      <c r="H139" s="89">
        <f t="shared" si="14"/>
        <v>1</v>
      </c>
      <c r="I139" s="90">
        <f t="shared" si="15"/>
        <v>1.00002525</v>
      </c>
      <c r="J139" s="253">
        <f>J138*I138</f>
        <v>1.0080159972344827</v>
      </c>
      <c r="K139" s="84">
        <f t="shared" si="16"/>
        <v>2.0407647979666585E-7</v>
      </c>
      <c r="M139" s="87"/>
      <c r="N139" s="87">
        <f t="shared" ref="N139:N202" si="21">N138+1</f>
        <v>44321</v>
      </c>
      <c r="O139" s="73">
        <f t="shared" si="17"/>
        <v>1.4090204076479797E-2</v>
      </c>
      <c r="P139" s="3"/>
    </row>
    <row r="140" spans="1:16">
      <c r="A140" s="233">
        <v>1.4149999999999999E-2</v>
      </c>
      <c r="B140" s="293">
        <v>6225</v>
      </c>
      <c r="C140" s="232">
        <v>44027</v>
      </c>
      <c r="D140" s="232">
        <v>44028</v>
      </c>
      <c r="F140" s="273">
        <f t="shared" si="18"/>
        <v>9.1499999999999984E-3</v>
      </c>
      <c r="H140" s="89">
        <f t="shared" si="14"/>
        <v>1</v>
      </c>
      <c r="I140" s="90">
        <f t="shared" si="15"/>
        <v>1.0000254166666667</v>
      </c>
      <c r="J140" s="253">
        <f t="shared" ref="J140:J203" si="22">J139*I139</f>
        <v>1.0080414496384127</v>
      </c>
      <c r="K140" s="84">
        <f t="shared" si="16"/>
        <v>-3.4012740936653798E-7</v>
      </c>
      <c r="M140" s="87"/>
      <c r="N140" s="87">
        <f t="shared" si="21"/>
        <v>44322</v>
      </c>
      <c r="O140" s="73">
        <f t="shared" si="17"/>
        <v>1.4149659872590634E-2</v>
      </c>
      <c r="P140" s="3"/>
    </row>
    <row r="141" spans="1:16">
      <c r="A141" s="233">
        <v>1.405E-2</v>
      </c>
      <c r="B141" s="293">
        <v>7124</v>
      </c>
      <c r="C141" s="232">
        <v>44028</v>
      </c>
      <c r="D141" s="232">
        <v>44029</v>
      </c>
      <c r="F141" s="273">
        <f t="shared" si="18"/>
        <v>9.049999999999999E-3</v>
      </c>
      <c r="H141" s="89">
        <f t="shared" si="14"/>
        <v>1</v>
      </c>
      <c r="I141" s="90">
        <f t="shared" si="15"/>
        <v>1.000025138888889</v>
      </c>
      <c r="J141" s="253">
        <f t="shared" si="22"/>
        <v>1.0080670706919244</v>
      </c>
      <c r="K141" s="84">
        <f t="shared" si="16"/>
        <v>6.2991613739548746E-5</v>
      </c>
      <c r="M141" s="87"/>
      <c r="N141" s="87">
        <f t="shared" si="21"/>
        <v>44323</v>
      </c>
      <c r="O141" s="73">
        <f t="shared" si="17"/>
        <v>1.4112991613739549E-2</v>
      </c>
      <c r="P141" s="3"/>
    </row>
    <row r="142" spans="1:16">
      <c r="A142" s="233">
        <v>1.4189999999999999E-2</v>
      </c>
      <c r="B142" s="293">
        <v>6872</v>
      </c>
      <c r="C142" s="232">
        <v>44029</v>
      </c>
      <c r="D142" s="232">
        <v>44032</v>
      </c>
      <c r="F142" s="273">
        <f t="shared" si="18"/>
        <v>9.1900000000000003E-3</v>
      </c>
      <c r="H142" s="89">
        <f t="shared" si="14"/>
        <v>3</v>
      </c>
      <c r="I142" s="90">
        <f t="shared" si="15"/>
        <v>1.0000765833333334</v>
      </c>
      <c r="J142" s="253">
        <f t="shared" si="22"/>
        <v>1.0080924123780071</v>
      </c>
      <c r="K142" s="84">
        <f t="shared" si="16"/>
        <v>-6.3248580870372122E-5</v>
      </c>
      <c r="M142" s="87"/>
      <c r="N142" s="87">
        <f t="shared" si="21"/>
        <v>44324</v>
      </c>
      <c r="O142" s="73">
        <f t="shared" si="17"/>
        <v>1.4126751419129627E-2</v>
      </c>
      <c r="P142" s="3"/>
    </row>
    <row r="143" spans="1:16">
      <c r="A143" s="233">
        <v>1.41E-2</v>
      </c>
      <c r="B143" s="293">
        <v>10530</v>
      </c>
      <c r="C143" s="232">
        <v>44032</v>
      </c>
      <c r="D143" s="232">
        <v>44033</v>
      </c>
      <c r="F143" s="273">
        <f t="shared" si="18"/>
        <v>9.1000000000000004E-3</v>
      </c>
      <c r="H143" s="89">
        <f t="shared" si="14"/>
        <v>1</v>
      </c>
      <c r="I143" s="90">
        <f t="shared" si="15"/>
        <v>1.0000252777777778</v>
      </c>
      <c r="J143" s="253">
        <f t="shared" si="22"/>
        <v>1.0081696154552551</v>
      </c>
      <c r="K143" s="84">
        <f t="shared" si="16"/>
        <v>-1.0273712907801807E-7</v>
      </c>
      <c r="M143" s="87"/>
      <c r="N143" s="87">
        <f t="shared" si="21"/>
        <v>44325</v>
      </c>
      <c r="O143" s="73">
        <f t="shared" si="17"/>
        <v>1.4099897262870921E-2</v>
      </c>
      <c r="P143" s="3"/>
    </row>
    <row r="144" spans="1:16">
      <c r="A144" s="233">
        <v>1.4069999999999999E-2</v>
      </c>
      <c r="B144" s="293">
        <v>9306</v>
      </c>
      <c r="C144" s="232">
        <v>44033</v>
      </c>
      <c r="D144" s="232">
        <v>44034</v>
      </c>
      <c r="F144" s="273">
        <f t="shared" si="18"/>
        <v>9.0699999999999982E-3</v>
      </c>
      <c r="H144" s="89">
        <f t="shared" si="14"/>
        <v>1</v>
      </c>
      <c r="I144" s="90">
        <f t="shared" si="15"/>
        <v>1.0000251944444445</v>
      </c>
      <c r="J144" s="253">
        <f t="shared" si="22"/>
        <v>1.0081950997427569</v>
      </c>
      <c r="K144" s="84">
        <f t="shared" si="16"/>
        <v>-1.3013370765911199E-6</v>
      </c>
      <c r="M144" s="87"/>
      <c r="N144" s="87">
        <f t="shared" si="21"/>
        <v>44326</v>
      </c>
      <c r="O144" s="73">
        <f t="shared" si="17"/>
        <v>1.4068698662923408E-2</v>
      </c>
      <c r="P144" s="3"/>
    </row>
    <row r="145" spans="1:19">
      <c r="A145" s="233">
        <v>1.3690000000000001E-2</v>
      </c>
      <c r="B145" s="293">
        <v>9284</v>
      </c>
      <c r="C145" s="232">
        <v>44034</v>
      </c>
      <c r="D145" s="232">
        <v>44035</v>
      </c>
      <c r="F145" s="273">
        <f t="shared" si="18"/>
        <v>8.6899999999999998E-3</v>
      </c>
      <c r="H145" s="89">
        <f t="shared" si="14"/>
        <v>1</v>
      </c>
      <c r="I145" s="90">
        <f t="shared" si="15"/>
        <v>1.0000241388888889</v>
      </c>
      <c r="J145" s="253">
        <f t="shared" si="22"/>
        <v>1.0082205006581866</v>
      </c>
      <c r="K145" s="84">
        <f t="shared" si="16"/>
        <v>1.5410586907941144E-6</v>
      </c>
      <c r="M145" s="87"/>
      <c r="N145" s="87">
        <f t="shared" si="21"/>
        <v>44327</v>
      </c>
      <c r="O145" s="73">
        <f t="shared" si="17"/>
        <v>1.3691541058690795E-2</v>
      </c>
      <c r="P145" s="3"/>
    </row>
    <row r="146" spans="1:19">
      <c r="A146" s="233">
        <v>1.414E-2</v>
      </c>
      <c r="B146" s="293">
        <v>6278</v>
      </c>
      <c r="C146" s="232">
        <v>44035</v>
      </c>
      <c r="D146" s="232">
        <v>44036</v>
      </c>
      <c r="F146" s="273">
        <f t="shared" si="18"/>
        <v>9.1399999999999988E-3</v>
      </c>
      <c r="H146" s="89">
        <f t="shared" si="14"/>
        <v>1</v>
      </c>
      <c r="I146" s="90">
        <f t="shared" si="15"/>
        <v>1.0000253888888888</v>
      </c>
      <c r="J146" s="253">
        <f t="shared" si="22"/>
        <v>1.0082448379808275</v>
      </c>
      <c r="K146" s="84">
        <f t="shared" si="16"/>
        <v>6.2909361705422724E-5</v>
      </c>
      <c r="M146" s="87"/>
      <c r="N146" s="87">
        <f t="shared" si="21"/>
        <v>44328</v>
      </c>
      <c r="O146" s="73">
        <f t="shared" si="17"/>
        <v>1.4202909361705422E-2</v>
      </c>
      <c r="P146" s="3"/>
    </row>
    <row r="147" spans="1:19">
      <c r="A147" s="233">
        <v>1.417E-2</v>
      </c>
      <c r="B147" s="293">
        <v>5375</v>
      </c>
      <c r="C147" s="232">
        <v>44036</v>
      </c>
      <c r="D147" s="232">
        <v>44039</v>
      </c>
      <c r="F147" s="273">
        <f t="shared" si="18"/>
        <v>9.1700000000000011E-3</v>
      </c>
      <c r="H147" s="89">
        <f t="shared" si="14"/>
        <v>3</v>
      </c>
      <c r="I147" s="90">
        <f t="shared" si="15"/>
        <v>1.0000764166666667</v>
      </c>
      <c r="J147" s="253">
        <f t="shared" si="22"/>
        <v>1.0082704361969916</v>
      </c>
      <c r="K147" s="84">
        <f t="shared" si="16"/>
        <v>-6.2995186117864965E-5</v>
      </c>
      <c r="M147" s="87"/>
      <c r="N147" s="87">
        <f t="shared" si="21"/>
        <v>44329</v>
      </c>
      <c r="O147" s="73">
        <f t="shared" si="17"/>
        <v>1.4107004813882135E-2</v>
      </c>
      <c r="P147" s="3"/>
    </row>
    <row r="148" spans="1:19">
      <c r="A148" s="233">
        <v>1.4239999999999999E-2</v>
      </c>
      <c r="B148" s="293">
        <v>5991</v>
      </c>
      <c r="C148" s="232">
        <v>44039</v>
      </c>
      <c r="D148" s="232">
        <v>44040</v>
      </c>
      <c r="F148" s="273">
        <f t="shared" si="18"/>
        <v>9.2399999999999982E-3</v>
      </c>
      <c r="H148" s="89">
        <f t="shared" si="14"/>
        <v>1</v>
      </c>
      <c r="I148" s="90">
        <f t="shared" si="15"/>
        <v>1.0000256666666667</v>
      </c>
      <c r="J148" s="253">
        <f t="shared" si="22"/>
        <v>1.0083474848628244</v>
      </c>
      <c r="K148" s="84">
        <f t="shared" si="16"/>
        <v>-2.0689124151804717E-7</v>
      </c>
      <c r="M148" s="87"/>
      <c r="N148" s="87">
        <f t="shared" si="21"/>
        <v>44330</v>
      </c>
      <c r="O148" s="73">
        <f t="shared" si="17"/>
        <v>1.4239793108758482E-2</v>
      </c>
      <c r="P148" s="3"/>
    </row>
    <row r="149" spans="1:19">
      <c r="A149" s="233">
        <v>1.418E-2</v>
      </c>
      <c r="B149" s="293">
        <v>5915</v>
      </c>
      <c r="C149" s="232">
        <v>44040</v>
      </c>
      <c r="D149" s="232">
        <v>44041</v>
      </c>
      <c r="F149" s="273">
        <f t="shared" si="18"/>
        <v>9.1800000000000007E-3</v>
      </c>
      <c r="H149" s="89">
        <f t="shared" si="14"/>
        <v>1</v>
      </c>
      <c r="I149" s="90">
        <f t="shared" si="15"/>
        <v>1.0000255</v>
      </c>
      <c r="J149" s="253">
        <f t="shared" si="22"/>
        <v>1.0083733657816025</v>
      </c>
      <c r="K149" s="84">
        <f t="shared" si="16"/>
        <v>1.2765191728982521E-4</v>
      </c>
      <c r="M149" s="87"/>
      <c r="N149" s="87">
        <f t="shared" si="21"/>
        <v>44331</v>
      </c>
      <c r="O149" s="73">
        <f t="shared" si="17"/>
        <v>1.4307651917289825E-2</v>
      </c>
      <c r="P149" s="3"/>
    </row>
    <row r="150" spans="1:19">
      <c r="A150" s="233">
        <v>1.4239999999999999E-2</v>
      </c>
      <c r="B150" s="293">
        <v>5595</v>
      </c>
      <c r="C150" s="232">
        <v>44041</v>
      </c>
      <c r="D150" s="232">
        <v>44046</v>
      </c>
      <c r="F150" s="273">
        <f t="shared" si="18"/>
        <v>9.2399999999999982E-3</v>
      </c>
      <c r="H150" s="89">
        <f t="shared" si="14"/>
        <v>5</v>
      </c>
      <c r="I150" s="90">
        <f t="shared" si="15"/>
        <v>1.0001283333333333</v>
      </c>
      <c r="J150" s="253">
        <f t="shared" si="22"/>
        <v>1.00839907930243</v>
      </c>
      <c r="K150" s="84">
        <f t="shared" si="16"/>
        <v>-1.2896946290499731E-4</v>
      </c>
      <c r="M150" s="87"/>
      <c r="N150" s="87">
        <f t="shared" si="21"/>
        <v>44332</v>
      </c>
      <c r="O150" s="73">
        <f t="shared" si="17"/>
        <v>1.4111030537095002E-2</v>
      </c>
      <c r="P150" s="3"/>
    </row>
    <row r="151" spans="1:19">
      <c r="A151" s="233">
        <v>1.431E-2</v>
      </c>
      <c r="B151" s="293">
        <v>6375</v>
      </c>
      <c r="C151" s="232">
        <v>44046</v>
      </c>
      <c r="D151" s="232">
        <v>44047</v>
      </c>
      <c r="F151" s="273">
        <f t="shared" si="18"/>
        <v>9.3099999999999988E-3</v>
      </c>
      <c r="H151" s="89">
        <f t="shared" si="14"/>
        <v>1</v>
      </c>
      <c r="I151" s="90">
        <f t="shared" si="15"/>
        <v>1.000025861111111</v>
      </c>
      <c r="J151" s="253">
        <f t="shared" si="22"/>
        <v>1.0085284905176071</v>
      </c>
      <c r="K151" s="84">
        <f t="shared" si="16"/>
        <v>1.6083500148483692E-6</v>
      </c>
      <c r="M151" s="87"/>
      <c r="N151" s="87">
        <f t="shared" si="21"/>
        <v>44333</v>
      </c>
      <c r="O151" s="73">
        <f t="shared" si="17"/>
        <v>1.4311608350014849E-2</v>
      </c>
      <c r="P151" s="3"/>
    </row>
    <row r="152" spans="1:19">
      <c r="A152" s="233">
        <v>1.477E-2</v>
      </c>
      <c r="B152" s="293">
        <v>6308</v>
      </c>
      <c r="C152" s="232">
        <v>44047</v>
      </c>
      <c r="D152" s="232">
        <v>44048</v>
      </c>
      <c r="F152" s="273">
        <f t="shared" si="18"/>
        <v>9.7700000000000009E-3</v>
      </c>
      <c r="H152" s="89">
        <f t="shared" si="14"/>
        <v>1</v>
      </c>
      <c r="I152" s="90">
        <f t="shared" si="15"/>
        <v>1.0000271388888888</v>
      </c>
      <c r="J152" s="253">
        <f t="shared" si="22"/>
        <v>1.0085545721849589</v>
      </c>
      <c r="K152" s="84">
        <f t="shared" si="16"/>
        <v>6.9928172343545411E-8</v>
      </c>
      <c r="M152" s="87"/>
      <c r="N152" s="87">
        <f t="shared" si="21"/>
        <v>44334</v>
      </c>
      <c r="O152" s="73">
        <f t="shared" si="17"/>
        <v>1.4770069928172343E-2</v>
      </c>
      <c r="P152" s="3"/>
    </row>
    <row r="153" spans="1:19">
      <c r="A153" s="233">
        <v>1.4789999999999999E-2</v>
      </c>
      <c r="B153" s="293">
        <v>6794</v>
      </c>
      <c r="C153" s="232">
        <v>44048</v>
      </c>
      <c r="D153" s="232">
        <v>44049</v>
      </c>
      <c r="F153" s="273">
        <f t="shared" si="18"/>
        <v>9.7900000000000001E-3</v>
      </c>
      <c r="H153" s="89">
        <f t="shared" si="14"/>
        <v>1</v>
      </c>
      <c r="I153" s="90">
        <f t="shared" si="15"/>
        <v>1.0000271944444445</v>
      </c>
      <c r="J153" s="253">
        <f t="shared" si="22"/>
        <v>1.0085819432354317</v>
      </c>
      <c r="K153" s="84">
        <f t="shared" si="16"/>
        <v>-2.0978450481663018E-6</v>
      </c>
      <c r="M153" s="87"/>
      <c r="N153" s="87">
        <f t="shared" si="21"/>
        <v>44335</v>
      </c>
      <c r="O153" s="73">
        <f t="shared" si="17"/>
        <v>1.4787902154951833E-2</v>
      </c>
      <c r="P153" s="3"/>
      <c r="Q153" s="4"/>
      <c r="R153" s="4"/>
      <c r="S153" s="4"/>
    </row>
    <row r="154" spans="1:19">
      <c r="A154" s="233">
        <v>1.4189999999999999E-2</v>
      </c>
      <c r="B154" s="293">
        <v>5430</v>
      </c>
      <c r="C154" s="232">
        <v>44049</v>
      </c>
      <c r="D154" s="232">
        <v>44050</v>
      </c>
      <c r="F154" s="273">
        <f t="shared" si="18"/>
        <v>9.1900000000000003E-3</v>
      </c>
      <c r="H154" s="89">
        <f t="shared" si="14"/>
        <v>1</v>
      </c>
      <c r="I154" s="90">
        <f t="shared" si="15"/>
        <v>1.0000255277777779</v>
      </c>
      <c r="J154" s="253">
        <f t="shared" si="22"/>
        <v>1.0086093710610549</v>
      </c>
      <c r="K154" s="84">
        <f t="shared" si="16"/>
        <v>6.4264093746071866E-5</v>
      </c>
      <c r="M154" s="87"/>
      <c r="N154" s="87">
        <f t="shared" si="21"/>
        <v>44336</v>
      </c>
      <c r="O154" s="73">
        <f t="shared" si="17"/>
        <v>1.4254264093746071E-2</v>
      </c>
      <c r="P154" s="3"/>
    </row>
    <row r="155" spans="1:19">
      <c r="A155" s="233">
        <v>1.4189999999999999E-2</v>
      </c>
      <c r="B155" s="293">
        <v>5303</v>
      </c>
      <c r="C155" s="232">
        <v>44050</v>
      </c>
      <c r="D155" s="232">
        <v>44053</v>
      </c>
      <c r="F155" s="273">
        <f t="shared" si="18"/>
        <v>9.1900000000000003E-3</v>
      </c>
      <c r="H155" s="89">
        <f t="shared" si="14"/>
        <v>3</v>
      </c>
      <c r="I155" s="90">
        <f t="shared" si="15"/>
        <v>1.0000765833333334</v>
      </c>
      <c r="J155" s="253">
        <f t="shared" si="22"/>
        <v>1.008635118616944</v>
      </c>
      <c r="K155" s="84">
        <f t="shared" si="16"/>
        <v>-6.4572519610072327E-5</v>
      </c>
      <c r="M155" s="87"/>
      <c r="N155" s="87">
        <f t="shared" si="21"/>
        <v>44337</v>
      </c>
      <c r="O155" s="73">
        <f t="shared" si="17"/>
        <v>1.4125427480389927E-2</v>
      </c>
      <c r="P155" s="3"/>
    </row>
    <row r="156" spans="1:19">
      <c r="A156" s="233">
        <v>1.423E-2</v>
      </c>
      <c r="B156" s="293">
        <v>5242</v>
      </c>
      <c r="C156" s="232">
        <v>44053</v>
      </c>
      <c r="D156" s="232">
        <v>44054</v>
      </c>
      <c r="F156" s="273">
        <f t="shared" si="18"/>
        <v>9.2299999999999986E-3</v>
      </c>
      <c r="H156" s="89">
        <f t="shared" si="14"/>
        <v>1</v>
      </c>
      <c r="I156" s="90">
        <f t="shared" si="15"/>
        <v>1.0000256388888888</v>
      </c>
      <c r="J156" s="253">
        <f t="shared" si="22"/>
        <v>1.0087123632564448</v>
      </c>
      <c r="K156" s="84">
        <f t="shared" si="16"/>
        <v>-7.0420729670097256E-8</v>
      </c>
      <c r="M156" s="87"/>
      <c r="N156" s="87">
        <f t="shared" si="21"/>
        <v>44338</v>
      </c>
      <c r="O156" s="73">
        <f t="shared" si="17"/>
        <v>1.422992957927033E-2</v>
      </c>
      <c r="P156" s="3"/>
    </row>
    <row r="157" spans="1:19">
      <c r="A157" s="233">
        <v>1.421E-2</v>
      </c>
      <c r="B157" s="293">
        <v>5255</v>
      </c>
      <c r="C157" s="232">
        <v>44054</v>
      </c>
      <c r="D157" s="232">
        <v>44055</v>
      </c>
      <c r="F157" s="273">
        <f t="shared" si="18"/>
        <v>9.2099999999999994E-3</v>
      </c>
      <c r="H157" s="89">
        <f t="shared" si="14"/>
        <v>1</v>
      </c>
      <c r="I157" s="90">
        <f t="shared" si="15"/>
        <v>1.0000255833333334</v>
      </c>
      <c r="J157" s="253">
        <f t="shared" si="22"/>
        <v>1.0087382255206472</v>
      </c>
      <c r="K157" s="84">
        <f t="shared" si="16"/>
        <v>7.0420733469874656E-8</v>
      </c>
      <c r="M157" s="87"/>
      <c r="N157" s="87">
        <f t="shared" si="21"/>
        <v>44339</v>
      </c>
      <c r="O157" s="73">
        <f t="shared" si="17"/>
        <v>1.4210070420733471E-2</v>
      </c>
      <c r="P157" s="3"/>
    </row>
    <row r="158" spans="1:19">
      <c r="A158" s="233">
        <v>1.423E-2</v>
      </c>
      <c r="B158" s="293">
        <v>5913</v>
      </c>
      <c r="C158" s="232">
        <v>44055</v>
      </c>
      <c r="D158" s="232">
        <v>44056</v>
      </c>
      <c r="F158" s="273">
        <f t="shared" si="18"/>
        <v>9.2299999999999986E-3</v>
      </c>
      <c r="H158" s="89">
        <f t="shared" si="14"/>
        <v>1</v>
      </c>
      <c r="I158" s="90">
        <f t="shared" si="15"/>
        <v>1.0000256388888888</v>
      </c>
      <c r="J158" s="253">
        <f t="shared" si="22"/>
        <v>1.0087640324069167</v>
      </c>
      <c r="K158" s="84">
        <f t="shared" si="16"/>
        <v>9.6511610056706471E-5</v>
      </c>
      <c r="M158" s="87"/>
      <c r="N158" s="87">
        <f t="shared" si="21"/>
        <v>44340</v>
      </c>
      <c r="O158" s="73">
        <f t="shared" si="17"/>
        <v>1.4326511610056707E-2</v>
      </c>
      <c r="P158" s="3"/>
    </row>
    <row r="159" spans="1:19">
      <c r="A159" s="233">
        <v>1.4160000000000001E-2</v>
      </c>
      <c r="B159" s="293">
        <v>5828</v>
      </c>
      <c r="C159" s="232">
        <v>44056</v>
      </c>
      <c r="D159" s="232">
        <v>44060</v>
      </c>
      <c r="F159" s="273">
        <f t="shared" si="18"/>
        <v>9.1600000000000015E-3</v>
      </c>
      <c r="H159" s="89">
        <f t="shared" si="14"/>
        <v>4</v>
      </c>
      <c r="I159" s="90">
        <f t="shared" si="15"/>
        <v>1.0001017777777779</v>
      </c>
      <c r="J159" s="253">
        <f t="shared" si="22"/>
        <v>1.0087898959958586</v>
      </c>
      <c r="K159" s="84">
        <f t="shared" si="16"/>
        <v>-9.7890392805245267E-5</v>
      </c>
      <c r="M159" s="87"/>
      <c r="N159" s="87">
        <f t="shared" si="21"/>
        <v>44341</v>
      </c>
      <c r="O159" s="73">
        <f t="shared" si="17"/>
        <v>1.4062109607194756E-2</v>
      </c>
      <c r="P159" s="3"/>
    </row>
    <row r="160" spans="1:19">
      <c r="A160" s="233">
        <v>1.413E-2</v>
      </c>
      <c r="B160" s="293">
        <v>4650</v>
      </c>
      <c r="C160" s="232">
        <v>44060</v>
      </c>
      <c r="D160" s="232">
        <v>44061</v>
      </c>
      <c r="F160" s="273">
        <f t="shared" si="18"/>
        <v>9.1299999999999992E-3</v>
      </c>
      <c r="H160" s="89">
        <f t="shared" si="14"/>
        <v>1</v>
      </c>
      <c r="I160" s="90">
        <f t="shared" si="15"/>
        <v>1.0000253611111112</v>
      </c>
      <c r="J160" s="253">
        <f t="shared" si="22"/>
        <v>1.0088925683897179</v>
      </c>
      <c r="K160" s="84">
        <f t="shared" si="16"/>
        <v>3.5586286088725331E-7</v>
      </c>
      <c r="M160" s="87"/>
      <c r="N160" s="87">
        <f t="shared" si="21"/>
        <v>44342</v>
      </c>
      <c r="O160" s="73">
        <f t="shared" si="17"/>
        <v>1.4130355862860888E-2</v>
      </c>
      <c r="P160" s="3"/>
    </row>
    <row r="161" spans="1:16">
      <c r="A161" s="233">
        <v>1.423E-2</v>
      </c>
      <c r="B161" s="293">
        <v>4771</v>
      </c>
      <c r="C161" s="232">
        <v>44061</v>
      </c>
      <c r="D161" s="232">
        <v>44062</v>
      </c>
      <c r="F161" s="273">
        <f t="shared" si="18"/>
        <v>9.2299999999999986E-3</v>
      </c>
      <c r="H161" s="89">
        <f t="shared" si="14"/>
        <v>1</v>
      </c>
      <c r="I161" s="90">
        <f t="shared" si="15"/>
        <v>1.0000256388888888</v>
      </c>
      <c r="J161" s="253">
        <f t="shared" si="22"/>
        <v>1.008918155026244</v>
      </c>
      <c r="K161" s="84">
        <f t="shared" si="16"/>
        <v>1.3013901213462727E-4</v>
      </c>
      <c r="M161" s="87"/>
      <c r="N161" s="87">
        <f t="shared" si="21"/>
        <v>44343</v>
      </c>
      <c r="O161" s="73">
        <f t="shared" si="17"/>
        <v>1.4360139012134628E-2</v>
      </c>
      <c r="P161" s="3"/>
    </row>
    <row r="162" spans="1:16">
      <c r="A162" s="233">
        <v>1.4160000000000001E-2</v>
      </c>
      <c r="B162" s="293">
        <v>7084</v>
      </c>
      <c r="C162" s="232">
        <v>44062</v>
      </c>
      <c r="D162" s="232">
        <v>44067</v>
      </c>
      <c r="F162" s="273">
        <f t="shared" si="18"/>
        <v>9.1600000000000015E-3</v>
      </c>
      <c r="H162" s="89">
        <f t="shared" si="14"/>
        <v>5</v>
      </c>
      <c r="I162" s="90">
        <f t="shared" si="15"/>
        <v>1.0001272222222222</v>
      </c>
      <c r="J162" s="253">
        <f t="shared" si="22"/>
        <v>1.0089440225667188</v>
      </c>
      <c r="K162" s="84">
        <f t="shared" si="16"/>
        <v>-1.3218534915096934E-4</v>
      </c>
      <c r="M162" s="87"/>
      <c r="N162" s="87">
        <f t="shared" si="21"/>
        <v>44344</v>
      </c>
      <c r="O162" s="73">
        <f t="shared" si="17"/>
        <v>1.4027814650849032E-2</v>
      </c>
      <c r="P162" s="3"/>
    </row>
    <row r="163" spans="1:16">
      <c r="A163" s="233">
        <v>1.418E-2</v>
      </c>
      <c r="B163" s="293">
        <v>5651</v>
      </c>
      <c r="C163" s="232">
        <v>44067</v>
      </c>
      <c r="D163" s="232">
        <v>44068</v>
      </c>
      <c r="F163" s="273">
        <f t="shared" si="18"/>
        <v>9.1800000000000007E-3</v>
      </c>
      <c r="H163" s="89">
        <f t="shared" si="14"/>
        <v>1</v>
      </c>
      <c r="I163" s="90">
        <f t="shared" si="15"/>
        <v>1.0000255</v>
      </c>
      <c r="J163" s="253">
        <f t="shared" si="22"/>
        <v>1.0090723826673675</v>
      </c>
      <c r="K163" s="84">
        <f t="shared" si="16"/>
        <v>-1.4440064999328263E-7</v>
      </c>
      <c r="M163" s="87"/>
      <c r="N163" s="87">
        <f t="shared" si="21"/>
        <v>44345</v>
      </c>
      <c r="O163" s="73">
        <f t="shared" si="17"/>
        <v>1.4179855599350007E-2</v>
      </c>
      <c r="P163" s="3"/>
    </row>
    <row r="164" spans="1:16">
      <c r="A164" s="233">
        <v>1.414E-2</v>
      </c>
      <c r="B164" s="293">
        <v>6903</v>
      </c>
      <c r="C164" s="232">
        <v>44068</v>
      </c>
      <c r="D164" s="232">
        <v>44069</v>
      </c>
      <c r="F164" s="273">
        <f t="shared" si="18"/>
        <v>9.1399999999999988E-3</v>
      </c>
      <c r="H164" s="89">
        <f t="shared" si="14"/>
        <v>1</v>
      </c>
      <c r="I164" s="90">
        <f t="shared" si="15"/>
        <v>1.0000253888888888</v>
      </c>
      <c r="J164" s="253">
        <f t="shared" si="22"/>
        <v>1.0090981140131257</v>
      </c>
      <c r="K164" s="84">
        <f t="shared" si="16"/>
        <v>3.6100166495123543E-7</v>
      </c>
      <c r="M164" s="87"/>
      <c r="N164" s="87">
        <f t="shared" si="21"/>
        <v>44346</v>
      </c>
      <c r="O164" s="73">
        <f t="shared" si="17"/>
        <v>1.4140361001664952E-2</v>
      </c>
      <c r="P164" s="3"/>
    </row>
    <row r="165" spans="1:16">
      <c r="A165" s="233">
        <v>1.4239999999999999E-2</v>
      </c>
      <c r="B165" s="293">
        <v>4858</v>
      </c>
      <c r="C165" s="232">
        <v>44069</v>
      </c>
      <c r="D165" s="232">
        <v>44070</v>
      </c>
      <c r="F165" s="273">
        <f t="shared" si="18"/>
        <v>9.2399999999999982E-3</v>
      </c>
      <c r="H165" s="89">
        <f t="shared" si="14"/>
        <v>1</v>
      </c>
      <c r="I165" s="90">
        <f t="shared" si="15"/>
        <v>1.0000256666666667</v>
      </c>
      <c r="J165" s="253">
        <f t="shared" si="22"/>
        <v>1.0091237338930203</v>
      </c>
      <c r="K165" s="84">
        <f t="shared" si="16"/>
        <v>-1.2996056327847296E-6</v>
      </c>
      <c r="M165" s="87"/>
      <c r="N165" s="87">
        <f t="shared" si="21"/>
        <v>44347</v>
      </c>
      <c r="O165" s="73">
        <f t="shared" si="17"/>
        <v>1.4238700394367214E-2</v>
      </c>
      <c r="P165" s="3"/>
    </row>
    <row r="166" spans="1:16">
      <c r="A166" s="233">
        <v>1.388E-2</v>
      </c>
      <c r="B166" s="293">
        <v>5940</v>
      </c>
      <c r="C166" s="232">
        <v>44070</v>
      </c>
      <c r="D166" s="232">
        <v>44071</v>
      </c>
      <c r="F166" s="273">
        <f t="shared" si="18"/>
        <v>8.879999999999999E-3</v>
      </c>
      <c r="H166" s="89">
        <f t="shared" si="14"/>
        <v>1</v>
      </c>
      <c r="I166" s="90">
        <f t="shared" si="15"/>
        <v>1.0000246666666666</v>
      </c>
      <c r="J166" s="253">
        <f t="shared" si="22"/>
        <v>1.0091496347355235</v>
      </c>
      <c r="K166" s="84">
        <f t="shared" si="16"/>
        <v>6.7687861052185815E-5</v>
      </c>
      <c r="M166" s="87"/>
      <c r="N166" s="87">
        <f t="shared" si="21"/>
        <v>44348</v>
      </c>
      <c r="O166" s="73">
        <f t="shared" si="17"/>
        <v>1.3947687861052186E-2</v>
      </c>
      <c r="P166" s="3"/>
    </row>
    <row r="167" spans="1:16">
      <c r="A167" s="233">
        <v>1.421E-2</v>
      </c>
      <c r="B167" s="293">
        <v>5336</v>
      </c>
      <c r="C167" s="232">
        <v>44071</v>
      </c>
      <c r="D167" s="232">
        <v>44074</v>
      </c>
      <c r="F167" s="273">
        <f t="shared" si="18"/>
        <v>9.2099999999999994E-3</v>
      </c>
      <c r="H167" s="89">
        <f t="shared" si="14"/>
        <v>3</v>
      </c>
      <c r="I167" s="90">
        <f t="shared" si="15"/>
        <v>1.0000767500000001</v>
      </c>
      <c r="J167" s="253">
        <f t="shared" si="22"/>
        <v>1.0091745270931802</v>
      </c>
      <c r="K167" s="84">
        <f t="shared" si="16"/>
        <v>-6.7013038567573997E-5</v>
      </c>
      <c r="M167" s="87"/>
      <c r="N167" s="87">
        <f t="shared" si="21"/>
        <v>44349</v>
      </c>
      <c r="O167" s="73">
        <f t="shared" si="17"/>
        <v>1.4142986961432426E-2</v>
      </c>
      <c r="P167" s="3"/>
    </row>
    <row r="168" spans="1:16">
      <c r="A168" s="233">
        <v>1.4200000000000001E-2</v>
      </c>
      <c r="B168" s="293">
        <v>4311</v>
      </c>
      <c r="C168" s="232">
        <v>44074</v>
      </c>
      <c r="D168" s="232">
        <v>44075</v>
      </c>
      <c r="F168" s="273">
        <f t="shared" si="18"/>
        <v>9.1999999999999998E-3</v>
      </c>
      <c r="H168" s="89">
        <f t="shared" si="14"/>
        <v>1</v>
      </c>
      <c r="I168" s="90">
        <f t="shared" si="15"/>
        <v>1.0000255555555555</v>
      </c>
      <c r="J168" s="253">
        <f t="shared" si="22"/>
        <v>1.0092519812381346</v>
      </c>
      <c r="K168" s="84">
        <f t="shared" si="16"/>
        <v>-3.9998977802662755E-7</v>
      </c>
      <c r="M168" s="87"/>
      <c r="N168" s="87">
        <f t="shared" si="21"/>
        <v>44350</v>
      </c>
      <c r="O168" s="73">
        <f t="shared" si="17"/>
        <v>1.4199600010221974E-2</v>
      </c>
      <c r="P168" s="3"/>
    </row>
    <row r="169" spans="1:16">
      <c r="A169" s="233">
        <v>1.409E-2</v>
      </c>
      <c r="B169" s="293">
        <v>5953</v>
      </c>
      <c r="C169" s="232">
        <v>44075</v>
      </c>
      <c r="D169" s="232">
        <v>44076</v>
      </c>
      <c r="F169" s="273">
        <f t="shared" si="18"/>
        <v>9.0900000000000009E-3</v>
      </c>
      <c r="H169" s="89">
        <f t="shared" si="14"/>
        <v>1</v>
      </c>
      <c r="I169" s="90">
        <f t="shared" si="15"/>
        <v>1.00002525</v>
      </c>
      <c r="J169" s="253">
        <f t="shared" si="22"/>
        <v>1.0092777732332108</v>
      </c>
      <c r="K169" s="84">
        <f t="shared" si="16"/>
        <v>7.2725436436630017E-8</v>
      </c>
      <c r="M169" s="87"/>
      <c r="N169" s="87">
        <f t="shared" si="21"/>
        <v>44351</v>
      </c>
      <c r="O169" s="73">
        <f t="shared" si="17"/>
        <v>1.4090072725436437E-2</v>
      </c>
      <c r="P169" s="3"/>
    </row>
    <row r="170" spans="1:16">
      <c r="A170" s="233">
        <v>1.4109999999999999E-2</v>
      </c>
      <c r="B170" s="293">
        <v>6421</v>
      </c>
      <c r="C170" s="232">
        <v>44076</v>
      </c>
      <c r="D170" s="232">
        <v>44077</v>
      </c>
      <c r="F170" s="273">
        <f t="shared" si="18"/>
        <v>9.11E-3</v>
      </c>
      <c r="H170" s="89">
        <f t="shared" si="14"/>
        <v>1</v>
      </c>
      <c r="I170" s="90">
        <f t="shared" si="15"/>
        <v>1.0000253055555555</v>
      </c>
      <c r="J170" s="253">
        <f t="shared" si="22"/>
        <v>1.0093032574969849</v>
      </c>
      <c r="K170" s="84">
        <f t="shared" si="16"/>
        <v>1.4545086473431598E-7</v>
      </c>
      <c r="M170" s="87"/>
      <c r="N170" s="87">
        <f t="shared" si="21"/>
        <v>44352</v>
      </c>
      <c r="O170" s="73">
        <f t="shared" si="17"/>
        <v>1.4110145450864734E-2</v>
      </c>
      <c r="P170" s="3"/>
    </row>
    <row r="171" spans="1:16">
      <c r="A171" s="233">
        <v>1.4149999999999999E-2</v>
      </c>
      <c r="B171" s="293">
        <v>5218</v>
      </c>
      <c r="C171" s="232">
        <v>44077</v>
      </c>
      <c r="D171" s="232">
        <v>44078</v>
      </c>
      <c r="F171" s="273">
        <f t="shared" si="18"/>
        <v>9.1499999999999984E-3</v>
      </c>
      <c r="H171" s="89">
        <f t="shared" si="14"/>
        <v>1</v>
      </c>
      <c r="I171" s="90">
        <f t="shared" si="15"/>
        <v>1.0000254166666667</v>
      </c>
      <c r="J171" s="253">
        <f t="shared" si="22"/>
        <v>1.0093287984766397</v>
      </c>
      <c r="K171" s="84">
        <f t="shared" si="16"/>
        <v>6.5780146269648043E-5</v>
      </c>
      <c r="M171" s="87"/>
      <c r="N171" s="87">
        <f t="shared" si="21"/>
        <v>44353</v>
      </c>
      <c r="O171" s="73">
        <f t="shared" si="17"/>
        <v>1.4215780146269648E-2</v>
      </c>
      <c r="P171" s="3"/>
    </row>
    <row r="172" spans="1:16">
      <c r="A172" s="233">
        <v>1.4080000000000001E-2</v>
      </c>
      <c r="B172" s="293">
        <v>7237</v>
      </c>
      <c r="C172" s="232">
        <v>44078</v>
      </c>
      <c r="D172" s="232">
        <v>44081</v>
      </c>
      <c r="F172" s="273">
        <f t="shared" si="18"/>
        <v>9.0800000000000013E-3</v>
      </c>
      <c r="H172" s="89">
        <f t="shared" si="14"/>
        <v>3</v>
      </c>
      <c r="I172" s="90">
        <f t="shared" si="15"/>
        <v>1.0000756666666666</v>
      </c>
      <c r="J172" s="253">
        <f t="shared" si="22"/>
        <v>1.0093544522502675</v>
      </c>
      <c r="K172" s="84">
        <f t="shared" si="16"/>
        <v>-6.5929077300376696E-5</v>
      </c>
      <c r="M172" s="87"/>
      <c r="N172" s="87">
        <f t="shared" si="21"/>
        <v>44354</v>
      </c>
      <c r="O172" s="73">
        <f t="shared" si="17"/>
        <v>1.4014070922699623E-2</v>
      </c>
      <c r="P172" s="3"/>
    </row>
    <row r="173" spans="1:16">
      <c r="A173" s="233">
        <v>1.4239999999999999E-2</v>
      </c>
      <c r="B173" s="293">
        <v>5714</v>
      </c>
      <c r="C173" s="232">
        <v>44081</v>
      </c>
      <c r="D173" s="232">
        <v>44082</v>
      </c>
      <c r="F173" s="273">
        <f t="shared" si="18"/>
        <v>9.2399999999999982E-3</v>
      </c>
      <c r="H173" s="89">
        <f t="shared" si="14"/>
        <v>1</v>
      </c>
      <c r="I173" s="90">
        <f t="shared" si="15"/>
        <v>1.0000256666666667</v>
      </c>
      <c r="J173" s="253">
        <f t="shared" si="22"/>
        <v>1.0094308267371543</v>
      </c>
      <c r="K173" s="84">
        <f t="shared" si="16"/>
        <v>-2.9303277182047213E-7</v>
      </c>
      <c r="M173" s="87"/>
      <c r="N173" s="87">
        <f t="shared" si="21"/>
        <v>44355</v>
      </c>
      <c r="O173" s="73">
        <f t="shared" si="17"/>
        <v>1.4239706967228179E-2</v>
      </c>
      <c r="P173" s="3"/>
    </row>
    <row r="174" spans="1:16">
      <c r="A174" s="233">
        <v>1.4160000000000001E-2</v>
      </c>
      <c r="B174" s="293">
        <v>5357</v>
      </c>
      <c r="C174" s="232">
        <v>44082</v>
      </c>
      <c r="D174" s="232">
        <v>44083</v>
      </c>
      <c r="F174" s="273">
        <f t="shared" si="18"/>
        <v>9.1600000000000015E-3</v>
      </c>
      <c r="H174" s="89">
        <f t="shared" si="14"/>
        <v>1</v>
      </c>
      <c r="I174" s="90">
        <f t="shared" si="15"/>
        <v>1.0000254444444445</v>
      </c>
      <c r="J174" s="253">
        <f t="shared" si="22"/>
        <v>1.0094567354617072</v>
      </c>
      <c r="K174" s="84">
        <f t="shared" si="16"/>
        <v>1.8314552306953879E-7</v>
      </c>
      <c r="M174" s="87"/>
      <c r="N174" s="87">
        <f t="shared" si="21"/>
        <v>44356</v>
      </c>
      <c r="O174" s="73">
        <f t="shared" si="17"/>
        <v>1.4160183145523071E-2</v>
      </c>
      <c r="P174" s="3"/>
    </row>
    <row r="175" spans="1:16">
      <c r="A175" s="233">
        <v>1.421E-2</v>
      </c>
      <c r="B175" s="293">
        <v>4703</v>
      </c>
      <c r="C175" s="232">
        <v>44083</v>
      </c>
      <c r="D175" s="232">
        <v>44084</v>
      </c>
      <c r="F175" s="273">
        <f t="shared" si="18"/>
        <v>9.2099999999999994E-3</v>
      </c>
      <c r="H175" s="89">
        <f t="shared" si="14"/>
        <v>1</v>
      </c>
      <c r="I175" s="90">
        <f t="shared" si="15"/>
        <v>1.0000255833333334</v>
      </c>
      <c r="J175" s="253">
        <f t="shared" si="22"/>
        <v>1.0094824205275319</v>
      </c>
      <c r="K175" s="84">
        <f t="shared" si="16"/>
        <v>7.325819892104176E-8</v>
      </c>
      <c r="M175" s="87"/>
      <c r="N175" s="87">
        <f t="shared" si="21"/>
        <v>44357</v>
      </c>
      <c r="O175" s="73">
        <f t="shared" si="17"/>
        <v>1.4210073258198921E-2</v>
      </c>
      <c r="P175" s="3"/>
    </row>
    <row r="176" spans="1:16">
      <c r="A176" s="233">
        <v>1.423E-2</v>
      </c>
      <c r="B176" s="293">
        <v>4489</v>
      </c>
      <c r="C176" s="232">
        <v>44084</v>
      </c>
      <c r="D176" s="232">
        <v>44085</v>
      </c>
      <c r="F176" s="273">
        <f t="shared" si="18"/>
        <v>9.2299999999999986E-3</v>
      </c>
      <c r="H176" s="89">
        <f t="shared" si="14"/>
        <v>1</v>
      </c>
      <c r="I176" s="90">
        <f t="shared" si="15"/>
        <v>1.0000256388888888</v>
      </c>
      <c r="J176" s="253">
        <f t="shared" si="22"/>
        <v>1.0095082464527905</v>
      </c>
      <c r="K176" s="84">
        <f t="shared" si="16"/>
        <v>6.7617313986502529E-5</v>
      </c>
      <c r="M176" s="87"/>
      <c r="N176" s="87">
        <f t="shared" si="21"/>
        <v>44358</v>
      </c>
      <c r="O176" s="73">
        <f t="shared" si="17"/>
        <v>1.4297617313986502E-2</v>
      </c>
      <c r="P176" s="3"/>
    </row>
    <row r="177" spans="1:16">
      <c r="A177" s="233">
        <v>1.423E-2</v>
      </c>
      <c r="B177" s="293">
        <v>5601</v>
      </c>
      <c r="C177" s="232">
        <v>44085</v>
      </c>
      <c r="D177" s="232">
        <v>44088</v>
      </c>
      <c r="F177" s="273">
        <f t="shared" si="18"/>
        <v>9.2299999999999986E-3</v>
      </c>
      <c r="H177" s="89">
        <f t="shared" si="14"/>
        <v>3</v>
      </c>
      <c r="I177" s="90">
        <f t="shared" si="15"/>
        <v>1.0000769166666668</v>
      </c>
      <c r="J177" s="253">
        <f t="shared" si="22"/>
        <v>1.0095341291225537</v>
      </c>
      <c r="K177" s="84">
        <f t="shared" si="16"/>
        <v>-6.8002149575275062E-5</v>
      </c>
      <c r="M177" s="87"/>
      <c r="N177" s="87">
        <f t="shared" si="21"/>
        <v>44359</v>
      </c>
      <c r="O177" s="73">
        <f t="shared" si="17"/>
        <v>1.4161997850424725E-2</v>
      </c>
      <c r="P177" s="3"/>
    </row>
    <row r="178" spans="1:16">
      <c r="A178" s="233">
        <v>1.426E-2</v>
      </c>
      <c r="B178" s="293">
        <v>2965</v>
      </c>
      <c r="C178" s="232">
        <v>44088</v>
      </c>
      <c r="D178" s="232">
        <v>44089</v>
      </c>
      <c r="F178" s="273">
        <f t="shared" si="18"/>
        <v>9.2600000000000009E-3</v>
      </c>
      <c r="H178" s="89">
        <f t="shared" si="14"/>
        <v>1</v>
      </c>
      <c r="I178" s="90">
        <f t="shared" si="15"/>
        <v>1.0000257222222222</v>
      </c>
      <c r="J178" s="253">
        <f t="shared" si="22"/>
        <v>1.0096117791226522</v>
      </c>
      <c r="K178" s="84">
        <f t="shared" si="16"/>
        <v>-6.2729013776710186E-7</v>
      </c>
      <c r="M178" s="87"/>
      <c r="N178" s="87">
        <f t="shared" si="21"/>
        <v>44360</v>
      </c>
      <c r="O178" s="73">
        <f t="shared" si="17"/>
        <v>1.4259372709862233E-2</v>
      </c>
      <c r="P178" s="3"/>
    </row>
    <row r="179" spans="1:16">
      <c r="A179" s="233">
        <v>1.409E-2</v>
      </c>
      <c r="B179" s="293">
        <v>7415</v>
      </c>
      <c r="C179" s="232">
        <v>44089</v>
      </c>
      <c r="D179" s="232">
        <v>44090</v>
      </c>
      <c r="F179" s="273">
        <f t="shared" si="18"/>
        <v>9.0900000000000009E-3</v>
      </c>
      <c r="H179" s="89">
        <f t="shared" si="14"/>
        <v>1</v>
      </c>
      <c r="I179" s="90">
        <f t="shared" si="15"/>
        <v>1.00002525</v>
      </c>
      <c r="J179" s="253">
        <f t="shared" si="22"/>
        <v>1.0096377485811929</v>
      </c>
      <c r="K179" s="84">
        <f t="shared" si="16"/>
        <v>3.6899437306408222E-8</v>
      </c>
      <c r="M179" s="87"/>
      <c r="N179" s="87">
        <f t="shared" si="21"/>
        <v>44361</v>
      </c>
      <c r="O179" s="73">
        <f t="shared" si="17"/>
        <v>1.4090036899437306E-2</v>
      </c>
      <c r="P179" s="3"/>
    </row>
    <row r="180" spans="1:16">
      <c r="A180" s="233">
        <v>1.41E-2</v>
      </c>
      <c r="B180" s="293">
        <v>6907</v>
      </c>
      <c r="C180" s="232">
        <v>44090</v>
      </c>
      <c r="D180" s="232">
        <v>44091</v>
      </c>
      <c r="F180" s="273">
        <f t="shared" si="18"/>
        <v>9.1000000000000004E-3</v>
      </c>
      <c r="H180" s="89">
        <f t="shared" si="14"/>
        <v>1</v>
      </c>
      <c r="I180" s="90">
        <f t="shared" si="15"/>
        <v>1.0000252777777778</v>
      </c>
      <c r="J180" s="253">
        <f t="shared" si="22"/>
        <v>1.0096632419343445</v>
      </c>
      <c r="K180" s="84">
        <f t="shared" si="16"/>
        <v>3.320949263187299E-7</v>
      </c>
      <c r="M180" s="87"/>
      <c r="N180" s="87">
        <f t="shared" si="21"/>
        <v>44362</v>
      </c>
      <c r="O180" s="73">
        <f t="shared" si="17"/>
        <v>1.4100332094926319E-2</v>
      </c>
      <c r="P180" s="3"/>
    </row>
    <row r="181" spans="1:16">
      <c r="A181" s="233">
        <v>1.4189999999999999E-2</v>
      </c>
      <c r="B181" s="293">
        <v>5525</v>
      </c>
      <c r="C181" s="232">
        <v>44091</v>
      </c>
      <c r="D181" s="232">
        <v>44092</v>
      </c>
      <c r="F181" s="273">
        <f t="shared" si="18"/>
        <v>9.1900000000000003E-3</v>
      </c>
      <c r="H181" s="89">
        <f t="shared" si="14"/>
        <v>1</v>
      </c>
      <c r="I181" s="90">
        <f t="shared" si="15"/>
        <v>1.0000255277777779</v>
      </c>
      <c r="J181" s="253">
        <f t="shared" si="22"/>
        <v>1.0096887639774046</v>
      </c>
      <c r="K181" s="84">
        <f t="shared" si="16"/>
        <v>6.8153241748881543E-5</v>
      </c>
      <c r="M181" s="87"/>
      <c r="N181" s="87">
        <f t="shared" si="21"/>
        <v>44363</v>
      </c>
      <c r="O181" s="73">
        <f t="shared" si="17"/>
        <v>1.425815324174888E-2</v>
      </c>
      <c r="P181" s="3"/>
    </row>
    <row r="182" spans="1:16">
      <c r="A182" s="233">
        <v>1.422E-2</v>
      </c>
      <c r="B182" s="293">
        <v>6131</v>
      </c>
      <c r="C182" s="232">
        <v>44092</v>
      </c>
      <c r="D182" s="232">
        <v>44095</v>
      </c>
      <c r="F182" s="273">
        <f t="shared" si="18"/>
        <v>9.219999999999999E-3</v>
      </c>
      <c r="G182">
        <v>90</v>
      </c>
      <c r="H182" s="268">
        <f t="shared" si="14"/>
        <v>3</v>
      </c>
      <c r="I182" s="269">
        <f t="shared" si="15"/>
        <v>1.0000768333333334</v>
      </c>
      <c r="J182" s="262">
        <f t="shared" si="22"/>
        <v>1.0097145390877962</v>
      </c>
      <c r="K182" s="263">
        <f t="shared" si="16"/>
        <v>-6.8582091204150394E-5</v>
      </c>
      <c r="M182" s="87"/>
      <c r="N182" s="87">
        <f t="shared" si="21"/>
        <v>44364</v>
      </c>
      <c r="O182" s="73">
        <f t="shared" si="17"/>
        <v>1.4151417908795849E-2</v>
      </c>
      <c r="P182" s="3"/>
    </row>
    <row r="183" spans="1:16">
      <c r="A183" s="233">
        <v>1.421E-2</v>
      </c>
      <c r="B183" s="293">
        <v>5843</v>
      </c>
      <c r="C183" s="232">
        <v>44095</v>
      </c>
      <c r="D183" s="232">
        <v>44096</v>
      </c>
      <c r="F183" s="273">
        <f t="shared" si="18"/>
        <v>9.2099999999999994E-3</v>
      </c>
      <c r="H183" s="89">
        <f t="shared" si="14"/>
        <v>1</v>
      </c>
      <c r="I183" s="90">
        <f t="shared" si="15"/>
        <v>1.0000255833333334</v>
      </c>
      <c r="J183" s="253">
        <f t="shared" si="22"/>
        <v>1.0097921188215495</v>
      </c>
      <c r="K183" s="84">
        <f t="shared" si="16"/>
        <v>-2.9739016127007332E-7</v>
      </c>
      <c r="M183" s="87"/>
      <c r="N183" s="87">
        <f t="shared" si="21"/>
        <v>44365</v>
      </c>
      <c r="O183" s="73">
        <f t="shared" si="17"/>
        <v>1.4209702609838731E-2</v>
      </c>
      <c r="P183" s="3"/>
    </row>
    <row r="184" spans="1:16">
      <c r="A184" s="233">
        <v>1.413E-2</v>
      </c>
      <c r="B184" s="293">
        <v>6850</v>
      </c>
      <c r="C184" s="232">
        <v>44096</v>
      </c>
      <c r="D184" s="232">
        <v>44097</v>
      </c>
      <c r="F184" s="273">
        <f t="shared" si="18"/>
        <v>9.1299999999999992E-3</v>
      </c>
      <c r="H184" s="89">
        <f t="shared" si="14"/>
        <v>1</v>
      </c>
      <c r="I184" s="90">
        <f t="shared" si="15"/>
        <v>1.0000253611111112</v>
      </c>
      <c r="J184" s="253">
        <f t="shared" si="22"/>
        <v>1.0098179526699227</v>
      </c>
      <c r="K184" s="84">
        <f t="shared" si="16"/>
        <v>1.11521335214853E-7</v>
      </c>
      <c r="M184" s="87"/>
      <c r="N184" s="87">
        <f t="shared" si="21"/>
        <v>44366</v>
      </c>
      <c r="O184" s="73">
        <f t="shared" si="17"/>
        <v>1.4130111521335215E-2</v>
      </c>
      <c r="P184" s="3"/>
    </row>
    <row r="185" spans="1:16">
      <c r="A185" s="233">
        <v>1.4160000000000001E-2</v>
      </c>
      <c r="B185" s="293">
        <v>5762</v>
      </c>
      <c r="C185" s="232">
        <v>44097</v>
      </c>
      <c r="D185" s="232">
        <v>44098</v>
      </c>
      <c r="F185" s="273">
        <f t="shared" si="18"/>
        <v>9.1600000000000015E-3</v>
      </c>
      <c r="H185" s="89">
        <f t="shared" si="14"/>
        <v>1</v>
      </c>
      <c r="I185" s="90">
        <f t="shared" si="15"/>
        <v>1.0000254444444445</v>
      </c>
      <c r="J185" s="253">
        <f t="shared" si="22"/>
        <v>1.0098435627752225</v>
      </c>
      <c r="K185" s="84">
        <f t="shared" si="16"/>
        <v>3.3456397771151278E-7</v>
      </c>
      <c r="M185" s="87"/>
      <c r="N185" s="87">
        <f t="shared" si="21"/>
        <v>44367</v>
      </c>
      <c r="O185" s="73">
        <f t="shared" si="17"/>
        <v>1.4160334563977712E-2</v>
      </c>
      <c r="P185" s="6"/>
    </row>
    <row r="186" spans="1:16">
      <c r="A186" s="233">
        <v>1.4250000000000001E-2</v>
      </c>
      <c r="B186" s="293">
        <v>4677</v>
      </c>
      <c r="C186" s="232">
        <v>44098</v>
      </c>
      <c r="D186" s="232">
        <v>44099</v>
      </c>
      <c r="F186" s="273">
        <f t="shared" si="18"/>
        <v>9.2500000000000013E-3</v>
      </c>
      <c r="H186" s="89">
        <f t="shared" si="14"/>
        <v>1</v>
      </c>
      <c r="I186" s="90">
        <f t="shared" si="15"/>
        <v>1.0000256944444443</v>
      </c>
      <c r="J186" s="253">
        <f t="shared" si="22"/>
        <v>1.0098692576836532</v>
      </c>
      <c r="K186" s="84">
        <f t="shared" si="16"/>
        <v>6.8102339367825948E-5</v>
      </c>
      <c r="M186" s="87"/>
      <c r="N186" s="87">
        <f t="shared" si="21"/>
        <v>44368</v>
      </c>
      <c r="O186" s="73">
        <f t="shared" si="17"/>
        <v>1.4318102339367826E-2</v>
      </c>
      <c r="P186" s="3"/>
    </row>
    <row r="187" spans="1:16">
      <c r="A187" s="233">
        <v>1.4189999999999999E-2</v>
      </c>
      <c r="B187" s="293">
        <v>4787</v>
      </c>
      <c r="C187" s="232">
        <v>44099</v>
      </c>
      <c r="D187" s="232">
        <v>44102</v>
      </c>
      <c r="F187" s="273">
        <f t="shared" si="18"/>
        <v>9.1900000000000003E-3</v>
      </c>
      <c r="H187" s="89">
        <f t="shared" si="14"/>
        <v>3</v>
      </c>
      <c r="I187" s="90">
        <f t="shared" si="15"/>
        <v>1.0000765833333334</v>
      </c>
      <c r="J187" s="253">
        <f t="shared" si="22"/>
        <v>1.0098952057131909</v>
      </c>
      <c r="K187" s="84">
        <f t="shared" si="16"/>
        <v>-6.890858042930435E-5</v>
      </c>
      <c r="M187" s="87"/>
      <c r="N187" s="87">
        <f t="shared" si="21"/>
        <v>44369</v>
      </c>
      <c r="O187" s="73">
        <f t="shared" si="17"/>
        <v>1.4121091419570695E-2</v>
      </c>
      <c r="P187" s="3"/>
    </row>
    <row r="188" spans="1:16">
      <c r="A188" s="233">
        <v>1.417E-2</v>
      </c>
      <c r="B188" s="293">
        <v>6263</v>
      </c>
      <c r="C188" s="232">
        <v>44102</v>
      </c>
      <c r="D188" s="232">
        <v>44103</v>
      </c>
      <c r="F188" s="273">
        <f t="shared" si="18"/>
        <v>9.1700000000000011E-3</v>
      </c>
      <c r="H188" s="89">
        <f t="shared" si="14"/>
        <v>1</v>
      </c>
      <c r="I188" s="90">
        <f t="shared" si="15"/>
        <v>1.0000254722222222</v>
      </c>
      <c r="J188" s="253">
        <f t="shared" si="22"/>
        <v>1.0099725468543619</v>
      </c>
      <c r="K188" s="84">
        <f t="shared" si="16"/>
        <v>-2.9961783615937128E-7</v>
      </c>
      <c r="M188" s="87"/>
      <c r="N188" s="87">
        <f t="shared" si="21"/>
        <v>44370</v>
      </c>
      <c r="O188" s="73">
        <f t="shared" si="17"/>
        <v>1.4169700382163841E-2</v>
      </c>
      <c r="P188" s="3"/>
    </row>
    <row r="189" spans="1:16">
      <c r="A189" s="233">
        <v>1.409E-2</v>
      </c>
      <c r="B189" s="293">
        <v>7316</v>
      </c>
      <c r="C189" s="232">
        <v>44103</v>
      </c>
      <c r="D189" s="232">
        <v>44104</v>
      </c>
      <c r="F189" s="273">
        <f t="shared" si="18"/>
        <v>9.0900000000000009E-3</v>
      </c>
      <c r="H189" s="89">
        <f t="shared" si="14"/>
        <v>1</v>
      </c>
      <c r="I189" s="90">
        <f t="shared" si="15"/>
        <v>1.00002525</v>
      </c>
      <c r="J189" s="253">
        <f t="shared" si="22"/>
        <v>1.0099982730995136</v>
      </c>
      <c r="K189" s="84">
        <f t="shared" si="16"/>
        <v>1.0112104220638685E-6</v>
      </c>
      <c r="M189" s="87"/>
      <c r="N189" s="87">
        <f t="shared" si="21"/>
        <v>44371</v>
      </c>
      <c r="O189" s="73">
        <f t="shared" si="17"/>
        <v>1.4091011210422064E-2</v>
      </c>
      <c r="P189" s="3"/>
    </row>
    <row r="190" spans="1:16">
      <c r="A190" s="233">
        <v>1.436E-2</v>
      </c>
      <c r="B190" s="293">
        <v>10008</v>
      </c>
      <c r="C190" s="232">
        <v>44104</v>
      </c>
      <c r="D190" s="232">
        <v>44105</v>
      </c>
      <c r="F190" s="273">
        <f t="shared" si="18"/>
        <v>9.3600000000000003E-3</v>
      </c>
      <c r="H190" s="89">
        <f t="shared" si="14"/>
        <v>1</v>
      </c>
      <c r="I190" s="90">
        <f t="shared" si="15"/>
        <v>1.0000260000000001</v>
      </c>
      <c r="J190" s="253">
        <f t="shared" si="22"/>
        <v>1.0100237755559094</v>
      </c>
      <c r="K190" s="84">
        <f t="shared" si="16"/>
        <v>-4.8687872714776666E-7</v>
      </c>
      <c r="M190" s="87"/>
      <c r="N190" s="87">
        <f t="shared" si="21"/>
        <v>44372</v>
      </c>
      <c r="O190" s="73">
        <f t="shared" si="17"/>
        <v>1.4359513121272852E-2</v>
      </c>
      <c r="P190" s="3"/>
    </row>
    <row r="191" spans="1:16">
      <c r="A191" s="233">
        <v>1.423E-2</v>
      </c>
      <c r="B191" s="293">
        <v>5881</v>
      </c>
      <c r="C191" s="232">
        <v>44105</v>
      </c>
      <c r="D191" s="232">
        <v>44106</v>
      </c>
      <c r="F191" s="273">
        <f t="shared" si="18"/>
        <v>9.2299999999999986E-3</v>
      </c>
      <c r="H191" s="89">
        <f t="shared" si="14"/>
        <v>1</v>
      </c>
      <c r="I191" s="90">
        <f t="shared" si="15"/>
        <v>1.0000256388888888</v>
      </c>
      <c r="J191" s="253">
        <f t="shared" si="22"/>
        <v>1.0100500361740739</v>
      </c>
      <c r="K191" s="84">
        <f t="shared" si="16"/>
        <v>6.9024447518560832E-5</v>
      </c>
      <c r="M191" s="87"/>
      <c r="N191" s="87">
        <f t="shared" si="21"/>
        <v>44373</v>
      </c>
      <c r="O191" s="73">
        <f t="shared" si="17"/>
        <v>1.4299024447518561E-2</v>
      </c>
      <c r="P191" s="3"/>
    </row>
    <row r="192" spans="1:16">
      <c r="A192" s="233">
        <v>1.422E-2</v>
      </c>
      <c r="B192" s="293">
        <v>6596</v>
      </c>
      <c r="C192" s="232">
        <v>44106</v>
      </c>
      <c r="D192" s="232">
        <v>44109</v>
      </c>
      <c r="F192" s="273">
        <f t="shared" si="18"/>
        <v>9.219999999999999E-3</v>
      </c>
      <c r="H192" s="89">
        <f t="shared" si="14"/>
        <v>3</v>
      </c>
      <c r="I192" s="90">
        <f t="shared" si="15"/>
        <v>1.0000768333333334</v>
      </c>
      <c r="J192" s="253">
        <f t="shared" si="22"/>
        <v>1.0100759327347235</v>
      </c>
      <c r="K192" s="84">
        <f t="shared" si="16"/>
        <v>-6.9692758480610211E-5</v>
      </c>
      <c r="M192" s="87"/>
      <c r="N192" s="87">
        <f t="shared" si="21"/>
        <v>44374</v>
      </c>
      <c r="O192" s="73">
        <f t="shared" si="17"/>
        <v>1.415030724151939E-2</v>
      </c>
      <c r="P192" s="3"/>
    </row>
    <row r="193" spans="1:16">
      <c r="A193" s="233">
        <v>1.4189999999999999E-2</v>
      </c>
      <c r="B193" s="293">
        <v>6656</v>
      </c>
      <c r="C193" s="232">
        <v>44109</v>
      </c>
      <c r="D193" s="232">
        <v>44110</v>
      </c>
      <c r="F193" s="273">
        <f t="shared" si="18"/>
        <v>9.1900000000000003E-3</v>
      </c>
      <c r="H193" s="89">
        <f t="shared" si="14"/>
        <v>1</v>
      </c>
      <c r="I193" s="90">
        <f t="shared" si="15"/>
        <v>1.0000255277777779</v>
      </c>
      <c r="J193" s="253">
        <f t="shared" si="22"/>
        <v>1.0101535402355555</v>
      </c>
      <c r="K193" s="84">
        <f t="shared" si="16"/>
        <v>7.5469771413393242E-8</v>
      </c>
      <c r="M193" s="87"/>
      <c r="N193" s="87">
        <f t="shared" si="21"/>
        <v>44375</v>
      </c>
      <c r="O193" s="73">
        <f t="shared" si="17"/>
        <v>1.4190075469771413E-2</v>
      </c>
      <c r="P193" s="3"/>
    </row>
    <row r="194" spans="1:16">
      <c r="A194" s="233">
        <v>1.421E-2</v>
      </c>
      <c r="B194" s="293">
        <v>7144</v>
      </c>
      <c r="C194" s="232">
        <v>44110</v>
      </c>
      <c r="D194" s="232">
        <v>44111</v>
      </c>
      <c r="F194" s="273">
        <f t="shared" si="18"/>
        <v>9.2099999999999994E-3</v>
      </c>
      <c r="H194" s="89">
        <f t="shared" ref="H194:H242" si="23">D194-C194</f>
        <v>1</v>
      </c>
      <c r="I194" s="90">
        <f t="shared" ref="I194:I242" si="24">(1+F194*(D194-C194)/360)</f>
        <v>1.0000255833333334</v>
      </c>
      <c r="J194" s="253">
        <f t="shared" si="22"/>
        <v>1.0101793272106521</v>
      </c>
      <c r="K194" s="84">
        <f t="shared" ref="K194:K241" si="25">((I195/I194-1)*360/(N194-D194))</f>
        <v>-1.5093953483318071E-7</v>
      </c>
      <c r="M194" s="87"/>
      <c r="N194" s="87">
        <f t="shared" si="21"/>
        <v>44376</v>
      </c>
      <c r="O194" s="73">
        <f t="shared" ref="O194:O242" si="26">A194+K194</f>
        <v>1.4209849060465168E-2</v>
      </c>
      <c r="P194" s="3"/>
    </row>
    <row r="195" spans="1:16">
      <c r="A195" s="233">
        <v>1.417E-2</v>
      </c>
      <c r="B195" s="293">
        <v>6908</v>
      </c>
      <c r="C195" s="232">
        <v>44111</v>
      </c>
      <c r="D195" s="232">
        <v>44112</v>
      </c>
      <c r="F195" s="273">
        <f t="shared" ref="F195:F242" si="27">A195-0.005</f>
        <v>9.1700000000000011E-3</v>
      </c>
      <c r="H195" s="89">
        <f t="shared" si="23"/>
        <v>1</v>
      </c>
      <c r="I195" s="90">
        <f t="shared" si="24"/>
        <v>1.0000254722222222</v>
      </c>
      <c r="J195" s="253">
        <f t="shared" si="22"/>
        <v>1.0102051709651065</v>
      </c>
      <c r="K195" s="84">
        <f t="shared" si="25"/>
        <v>1.5093955157450601E-7</v>
      </c>
      <c r="M195" s="87"/>
      <c r="N195" s="87">
        <f t="shared" si="21"/>
        <v>44377</v>
      </c>
      <c r="O195" s="73">
        <f t="shared" si="26"/>
        <v>1.4170150939551575E-2</v>
      </c>
      <c r="P195" s="3"/>
    </row>
    <row r="196" spans="1:16">
      <c r="A196" s="233">
        <v>1.421E-2</v>
      </c>
      <c r="B196" s="293">
        <v>7260</v>
      </c>
      <c r="C196" s="232">
        <v>44112</v>
      </c>
      <c r="D196" s="232">
        <v>44113</v>
      </c>
      <c r="F196" s="273">
        <f t="shared" si="27"/>
        <v>9.2099999999999994E-3</v>
      </c>
      <c r="H196" s="89">
        <f t="shared" si="23"/>
        <v>1</v>
      </c>
      <c r="I196" s="90">
        <f t="shared" si="24"/>
        <v>1.0000255833333334</v>
      </c>
      <c r="J196" s="253">
        <f t="shared" si="22"/>
        <v>1.0102309031357113</v>
      </c>
      <c r="K196" s="84">
        <f t="shared" si="25"/>
        <v>6.9054837120647696E-5</v>
      </c>
      <c r="M196" s="87"/>
      <c r="N196" s="87">
        <f t="shared" si="21"/>
        <v>44378</v>
      </c>
      <c r="O196" s="73">
        <f t="shared" si="26"/>
        <v>1.4279054837120648E-2</v>
      </c>
      <c r="P196" s="3"/>
    </row>
    <row r="197" spans="1:16">
      <c r="A197" s="233">
        <v>1.417E-2</v>
      </c>
      <c r="B197" s="293">
        <v>6720</v>
      </c>
      <c r="C197" s="232">
        <v>44113</v>
      </c>
      <c r="D197" s="232">
        <v>44116</v>
      </c>
      <c r="F197" s="273">
        <f t="shared" si="27"/>
        <v>9.1700000000000011E-3</v>
      </c>
      <c r="H197" s="89">
        <f t="shared" si="23"/>
        <v>3</v>
      </c>
      <c r="I197" s="90">
        <f t="shared" si="24"/>
        <v>1.0000764166666667</v>
      </c>
      <c r="J197" s="253">
        <f t="shared" si="22"/>
        <v>1.0102567482096498</v>
      </c>
      <c r="K197" s="84">
        <f t="shared" si="25"/>
        <v>-6.9728511883862494E-5</v>
      </c>
      <c r="M197" s="87"/>
      <c r="N197" s="87">
        <f t="shared" si="21"/>
        <v>44379</v>
      </c>
      <c r="O197" s="73">
        <f t="shared" si="26"/>
        <v>1.4100271488116137E-2</v>
      </c>
      <c r="P197" s="3"/>
    </row>
    <row r="198" spans="1:16">
      <c r="A198" s="233">
        <v>1.417E-2</v>
      </c>
      <c r="B198" s="293">
        <v>6169</v>
      </c>
      <c r="C198" s="232">
        <v>44116</v>
      </c>
      <c r="D198" s="232">
        <v>44117</v>
      </c>
      <c r="F198" s="273">
        <f t="shared" si="27"/>
        <v>9.1700000000000011E-3</v>
      </c>
      <c r="H198" s="89">
        <f t="shared" si="23"/>
        <v>1</v>
      </c>
      <c r="I198" s="90">
        <f t="shared" si="24"/>
        <v>1.0000254722222222</v>
      </c>
      <c r="J198" s="253">
        <f t="shared" si="22"/>
        <v>1.0103339486628256</v>
      </c>
      <c r="K198" s="84">
        <f t="shared" si="25"/>
        <v>3.0417476142415261E-7</v>
      </c>
      <c r="M198" s="87"/>
      <c r="N198" s="87">
        <f t="shared" si="21"/>
        <v>44380</v>
      </c>
      <c r="O198" s="73">
        <f t="shared" si="26"/>
        <v>1.4170304174761424E-2</v>
      </c>
      <c r="P198" s="3"/>
    </row>
    <row r="199" spans="1:16">
      <c r="A199" s="233">
        <v>1.4250000000000001E-2</v>
      </c>
      <c r="B199" s="293">
        <v>5971</v>
      </c>
      <c r="C199" s="232">
        <v>44117</v>
      </c>
      <c r="D199" s="232">
        <v>44118</v>
      </c>
      <c r="F199" s="273">
        <f t="shared" si="27"/>
        <v>9.2500000000000013E-3</v>
      </c>
      <c r="H199" s="89">
        <f t="shared" si="23"/>
        <v>1</v>
      </c>
      <c r="I199" s="90">
        <f t="shared" si="24"/>
        <v>1.0000256944444443</v>
      </c>
      <c r="J199" s="253">
        <f t="shared" si="22"/>
        <v>1.0103596841136844</v>
      </c>
      <c r="K199" s="84">
        <f t="shared" si="25"/>
        <v>-2.2813102008228294E-7</v>
      </c>
      <c r="M199" s="87"/>
      <c r="N199" s="87">
        <f t="shared" si="21"/>
        <v>44381</v>
      </c>
      <c r="O199" s="73">
        <f t="shared" si="26"/>
        <v>1.4249771868979919E-2</v>
      </c>
      <c r="P199" s="3"/>
    </row>
    <row r="200" spans="1:16">
      <c r="A200" s="233">
        <v>1.4189999999999999E-2</v>
      </c>
      <c r="B200" s="293">
        <v>5604</v>
      </c>
      <c r="C200" s="232">
        <v>44118</v>
      </c>
      <c r="D200" s="232">
        <v>44119</v>
      </c>
      <c r="F200" s="273">
        <f t="shared" si="27"/>
        <v>9.1900000000000003E-3</v>
      </c>
      <c r="H200" s="89">
        <f t="shared" si="23"/>
        <v>1</v>
      </c>
      <c r="I200" s="90">
        <f t="shared" si="24"/>
        <v>1.0000255277777779</v>
      </c>
      <c r="J200" s="253">
        <f t="shared" si="22"/>
        <v>1.0103856447444566</v>
      </c>
      <c r="K200" s="84">
        <f t="shared" si="25"/>
        <v>-1.444830036904652E-6</v>
      </c>
      <c r="M200" s="87"/>
      <c r="N200" s="87">
        <f t="shared" si="21"/>
        <v>44382</v>
      </c>
      <c r="O200" s="73">
        <f t="shared" si="26"/>
        <v>1.4188555169963094E-2</v>
      </c>
      <c r="P200" s="3"/>
    </row>
    <row r="201" spans="1:16">
      <c r="A201" s="233">
        <v>1.3809999999999999E-2</v>
      </c>
      <c r="B201" s="293">
        <v>7150</v>
      </c>
      <c r="C201" s="232">
        <v>44119</v>
      </c>
      <c r="D201" s="232">
        <v>44120</v>
      </c>
      <c r="F201" s="273">
        <f t="shared" si="27"/>
        <v>8.8099999999999984E-3</v>
      </c>
      <c r="H201" s="89">
        <f t="shared" si="23"/>
        <v>1</v>
      </c>
      <c r="I201" s="90">
        <f t="shared" si="24"/>
        <v>1.0000244722222222</v>
      </c>
      <c r="J201" s="253">
        <f t="shared" si="22"/>
        <v>1.0104114376446656</v>
      </c>
      <c r="K201" s="84">
        <f t="shared" si="25"/>
        <v>7.0986855949919058E-5</v>
      </c>
      <c r="M201" s="87"/>
      <c r="N201" s="87">
        <f t="shared" si="21"/>
        <v>44383</v>
      </c>
      <c r="O201" s="73">
        <f t="shared" si="26"/>
        <v>1.3880986855949918E-2</v>
      </c>
      <c r="P201" s="3"/>
    </row>
    <row r="202" spans="1:16">
      <c r="A202" s="233">
        <v>1.4160000000000001E-2</v>
      </c>
      <c r="B202" s="293">
        <v>7751</v>
      </c>
      <c r="C202" s="232">
        <v>44120</v>
      </c>
      <c r="D202" s="232">
        <v>44123</v>
      </c>
      <c r="F202" s="273">
        <f t="shared" si="27"/>
        <v>9.1600000000000015E-3</v>
      </c>
      <c r="H202" s="89">
        <f t="shared" si="23"/>
        <v>3</v>
      </c>
      <c r="I202" s="90">
        <f t="shared" si="24"/>
        <v>1.0000763333333333</v>
      </c>
      <c r="J202" s="253">
        <f t="shared" si="22"/>
        <v>1.0104361646579034</v>
      </c>
      <c r="K202" s="84">
        <f t="shared" si="25"/>
        <v>-6.9649855808029027E-5</v>
      </c>
      <c r="M202" s="87"/>
      <c r="N202" s="87">
        <f t="shared" si="21"/>
        <v>44384</v>
      </c>
      <c r="O202" s="73">
        <f t="shared" si="26"/>
        <v>1.4090350144191972E-2</v>
      </c>
      <c r="P202" s="3"/>
    </row>
    <row r="203" spans="1:16">
      <c r="A203" s="233">
        <v>1.43E-2</v>
      </c>
      <c r="B203" s="293">
        <v>6203</v>
      </c>
      <c r="C203" s="232">
        <v>44123</v>
      </c>
      <c r="D203" s="232">
        <v>44124</v>
      </c>
      <c r="F203" s="273">
        <f t="shared" si="27"/>
        <v>9.2999999999999992E-3</v>
      </c>
      <c r="G203">
        <v>60</v>
      </c>
      <c r="H203" s="268">
        <f t="shared" si="23"/>
        <v>1</v>
      </c>
      <c r="I203" s="269">
        <f t="shared" si="24"/>
        <v>1.0000258333333334</v>
      </c>
      <c r="J203" s="270">
        <f t="shared" si="22"/>
        <v>1.0105132946184723</v>
      </c>
      <c r="K203" s="263">
        <f t="shared" si="25"/>
        <v>0</v>
      </c>
      <c r="M203" s="87"/>
      <c r="N203" s="87">
        <f t="shared" ref="N203:N218" si="28">N202+1</f>
        <v>44385</v>
      </c>
      <c r="O203" s="73">
        <f t="shared" si="26"/>
        <v>1.43E-2</v>
      </c>
      <c r="P203" s="3"/>
    </row>
    <row r="204" spans="1:16">
      <c r="A204" s="233">
        <v>1.43E-2</v>
      </c>
      <c r="B204" s="293">
        <v>5559</v>
      </c>
      <c r="C204" s="232">
        <v>44124</v>
      </c>
      <c r="D204" s="232">
        <v>44125</v>
      </c>
      <c r="F204" s="273">
        <f t="shared" si="27"/>
        <v>9.2999999999999992E-3</v>
      </c>
      <c r="H204" s="89">
        <f t="shared" si="23"/>
        <v>1</v>
      </c>
      <c r="I204" s="90">
        <f t="shared" si="24"/>
        <v>1.0000258333333334</v>
      </c>
      <c r="J204" s="253">
        <f t="shared" ref="J204:J242" si="29">J203*I203</f>
        <v>1.0105393995452501</v>
      </c>
      <c r="K204" s="84">
        <f t="shared" si="25"/>
        <v>-3.0650549179182854E-7</v>
      </c>
      <c r="M204" s="87"/>
      <c r="N204" s="87">
        <f t="shared" si="28"/>
        <v>44386</v>
      </c>
      <c r="O204" s="73">
        <f t="shared" si="26"/>
        <v>1.4299693494508209E-2</v>
      </c>
      <c r="P204" s="3"/>
    </row>
    <row r="205" spans="1:16">
      <c r="A205" s="233">
        <v>1.422E-2</v>
      </c>
      <c r="B205" s="293">
        <v>6061</v>
      </c>
      <c r="C205" s="232">
        <v>44125</v>
      </c>
      <c r="D205" s="232">
        <v>44126</v>
      </c>
      <c r="F205" s="273">
        <f t="shared" si="27"/>
        <v>9.219999999999999E-3</v>
      </c>
      <c r="H205" s="89">
        <f t="shared" si="23"/>
        <v>1</v>
      </c>
      <c r="I205" s="90">
        <f t="shared" si="24"/>
        <v>1.0000256111111112</v>
      </c>
      <c r="J205" s="253">
        <f t="shared" si="29"/>
        <v>1.0105655051464051</v>
      </c>
      <c r="K205" s="84">
        <f t="shared" si="25"/>
        <v>1.9156597503691219E-7</v>
      </c>
      <c r="M205" s="87"/>
      <c r="N205" s="87">
        <f t="shared" si="28"/>
        <v>44387</v>
      </c>
      <c r="O205" s="73">
        <f t="shared" si="26"/>
        <v>1.4220191565975038E-2</v>
      </c>
      <c r="P205" s="3"/>
    </row>
    <row r="206" spans="1:16">
      <c r="A206" s="233">
        <v>1.427E-2</v>
      </c>
      <c r="B206" s="293">
        <v>6305</v>
      </c>
      <c r="C206" s="232">
        <v>44126</v>
      </c>
      <c r="D206" s="232">
        <v>44127</v>
      </c>
      <c r="F206" s="273">
        <f t="shared" si="27"/>
        <v>9.2700000000000005E-3</v>
      </c>
      <c r="H206" s="89">
        <f t="shared" si="23"/>
        <v>1</v>
      </c>
      <c r="I206" s="90">
        <f t="shared" si="24"/>
        <v>1.00002575</v>
      </c>
      <c r="J206" s="253">
        <f t="shared" si="29"/>
        <v>1.0105913868518426</v>
      </c>
      <c r="K206" s="84">
        <f t="shared" si="25"/>
        <v>7.1032653667694293E-5</v>
      </c>
      <c r="M206" s="87"/>
      <c r="N206" s="87">
        <f t="shared" si="28"/>
        <v>44388</v>
      </c>
      <c r="O206" s="73">
        <f t="shared" si="26"/>
        <v>1.4341032653667695E-2</v>
      </c>
      <c r="P206" s="3"/>
    </row>
    <row r="207" spans="1:16">
      <c r="A207" s="233">
        <v>1.427E-2</v>
      </c>
      <c r="B207" s="293">
        <v>6382</v>
      </c>
      <c r="C207" s="232">
        <v>44127</v>
      </c>
      <c r="D207" s="232">
        <v>44130</v>
      </c>
      <c r="F207" s="273">
        <f t="shared" si="27"/>
        <v>9.2700000000000005E-3</v>
      </c>
      <c r="H207" s="89">
        <f t="shared" si="23"/>
        <v>3</v>
      </c>
      <c r="I207" s="90">
        <f t="shared" si="24"/>
        <v>1.0000772499999999</v>
      </c>
      <c r="J207" s="253">
        <f t="shared" si="29"/>
        <v>1.010617409580054</v>
      </c>
      <c r="K207" s="84">
        <f t="shared" si="25"/>
        <v>-7.3237585639592719E-5</v>
      </c>
      <c r="M207" s="87"/>
      <c r="N207" s="87">
        <f t="shared" si="28"/>
        <v>44389</v>
      </c>
      <c r="O207" s="73">
        <f t="shared" si="26"/>
        <v>1.4196762414360407E-2</v>
      </c>
      <c r="P207" s="3"/>
    </row>
    <row r="208" spans="1:16">
      <c r="A208" s="233">
        <v>1.384E-2</v>
      </c>
      <c r="B208" s="293">
        <v>7823</v>
      </c>
      <c r="C208" s="232">
        <v>44130</v>
      </c>
      <c r="D208" s="232">
        <v>44131</v>
      </c>
      <c r="F208" s="273">
        <f t="shared" si="27"/>
        <v>8.8400000000000006E-3</v>
      </c>
      <c r="H208" s="89">
        <f t="shared" si="23"/>
        <v>1</v>
      </c>
      <c r="I208" s="90">
        <f t="shared" si="24"/>
        <v>1.0000245555555556</v>
      </c>
      <c r="J208" s="253">
        <f t="shared" si="29"/>
        <v>1.0106954797749439</v>
      </c>
      <c r="K208" s="84">
        <f t="shared" si="25"/>
        <v>1.4285363502158643E-6</v>
      </c>
      <c r="M208" s="87"/>
      <c r="N208" s="87">
        <f t="shared" si="28"/>
        <v>44390</v>
      </c>
      <c r="O208" s="73">
        <f t="shared" si="26"/>
        <v>1.3841428536350215E-2</v>
      </c>
      <c r="P208" s="3"/>
    </row>
    <row r="209" spans="1:16">
      <c r="A209" s="233">
        <v>1.421E-2</v>
      </c>
      <c r="B209" s="293">
        <v>5887</v>
      </c>
      <c r="C209" s="232">
        <v>44131</v>
      </c>
      <c r="D209" s="232">
        <v>44132</v>
      </c>
      <c r="F209" s="273">
        <f t="shared" si="27"/>
        <v>9.2099999999999994E-3</v>
      </c>
      <c r="H209" s="89">
        <f t="shared" si="23"/>
        <v>1</v>
      </c>
      <c r="I209" s="90">
        <f t="shared" si="24"/>
        <v>1.0000255833333334</v>
      </c>
      <c r="J209" s="253">
        <f t="shared" si="29"/>
        <v>1.0107202979639474</v>
      </c>
      <c r="K209" s="84">
        <f t="shared" si="25"/>
        <v>1.4648273896959799E-4</v>
      </c>
      <c r="M209" s="87"/>
      <c r="N209" s="87">
        <f t="shared" si="28"/>
        <v>44391</v>
      </c>
      <c r="O209" s="73">
        <f t="shared" si="26"/>
        <v>1.4356482738969598E-2</v>
      </c>
      <c r="P209" s="3"/>
    </row>
    <row r="210" spans="1:16">
      <c r="A210" s="233">
        <v>1.443E-2</v>
      </c>
      <c r="B210" s="293">
        <v>8408</v>
      </c>
      <c r="C210" s="232">
        <v>44132</v>
      </c>
      <c r="D210" s="232">
        <v>44137</v>
      </c>
      <c r="F210" s="273">
        <f t="shared" si="27"/>
        <v>9.4300000000000009E-3</v>
      </c>
      <c r="H210" s="89">
        <f t="shared" si="23"/>
        <v>5</v>
      </c>
      <c r="I210" s="90">
        <f t="shared" si="24"/>
        <v>1.0001309722222222</v>
      </c>
      <c r="J210" s="253">
        <f t="shared" si="29"/>
        <v>1.0107461555582369</v>
      </c>
      <c r="K210" s="84">
        <f t="shared" si="25"/>
        <v>-1.4860798746225569E-4</v>
      </c>
      <c r="M210" s="87"/>
      <c r="N210" s="87">
        <f t="shared" si="28"/>
        <v>44392</v>
      </c>
      <c r="O210" s="73">
        <f t="shared" si="26"/>
        <v>1.4281392012537744E-2</v>
      </c>
      <c r="P210" s="3"/>
    </row>
    <row r="211" spans="1:16">
      <c r="A211" s="233">
        <v>1.4250000000000001E-2</v>
      </c>
      <c r="B211" s="293">
        <v>5922</v>
      </c>
      <c r="C211" s="232">
        <v>44137</v>
      </c>
      <c r="D211" s="232">
        <v>44138</v>
      </c>
      <c r="F211" s="273">
        <f t="shared" si="27"/>
        <v>9.2500000000000013E-3</v>
      </c>
      <c r="H211" s="89">
        <f t="shared" si="23"/>
        <v>1</v>
      </c>
      <c r="I211" s="90">
        <f t="shared" si="24"/>
        <v>1.0000256944444443</v>
      </c>
      <c r="J211" s="253">
        <f t="shared" si="29"/>
        <v>1.0108785352283329</v>
      </c>
      <c r="K211" s="84">
        <f t="shared" si="25"/>
        <v>7.8429357439885655E-8</v>
      </c>
      <c r="M211" s="87"/>
      <c r="N211" s="87">
        <f t="shared" si="28"/>
        <v>44393</v>
      </c>
      <c r="O211" s="73">
        <f t="shared" si="26"/>
        <v>1.425007842935744E-2</v>
      </c>
      <c r="P211" s="3"/>
    </row>
    <row r="212" spans="1:16">
      <c r="A212" s="233">
        <v>1.427E-2</v>
      </c>
      <c r="B212" s="293">
        <v>5650</v>
      </c>
      <c r="C212" s="232">
        <v>44138</v>
      </c>
      <c r="D212" s="232">
        <v>44139</v>
      </c>
      <c r="F212" s="273">
        <f t="shared" si="27"/>
        <v>9.2700000000000005E-3</v>
      </c>
      <c r="H212" s="89">
        <f t="shared" si="23"/>
        <v>1</v>
      </c>
      <c r="I212" s="90">
        <f t="shared" si="24"/>
        <v>1.00002575</v>
      </c>
      <c r="J212" s="253">
        <f t="shared" si="29"/>
        <v>1.0109045091906963</v>
      </c>
      <c r="K212" s="84">
        <f t="shared" si="25"/>
        <v>-1.5685870610247869E-7</v>
      </c>
      <c r="M212" s="87"/>
      <c r="N212" s="87">
        <f t="shared" si="28"/>
        <v>44394</v>
      </c>
      <c r="O212" s="73">
        <f t="shared" si="26"/>
        <v>1.4269843141293898E-2</v>
      </c>
      <c r="P212" s="3"/>
    </row>
    <row r="213" spans="1:16">
      <c r="A213" s="233">
        <v>1.423E-2</v>
      </c>
      <c r="B213" s="293">
        <v>6176</v>
      </c>
      <c r="C213" s="232">
        <v>44139</v>
      </c>
      <c r="D213" s="232">
        <v>44140</v>
      </c>
      <c r="F213" s="273">
        <f t="shared" si="27"/>
        <v>9.2299999999999986E-3</v>
      </c>
      <c r="H213" s="89">
        <f t="shared" si="23"/>
        <v>1</v>
      </c>
      <c r="I213" s="90">
        <f t="shared" si="24"/>
        <v>1.0000256388888888</v>
      </c>
      <c r="J213" s="253">
        <f t="shared" si="29"/>
        <v>1.010930539981808</v>
      </c>
      <c r="K213" s="84">
        <f t="shared" si="25"/>
        <v>1.0999717979445604E-4</v>
      </c>
      <c r="M213" s="87"/>
      <c r="N213" s="87">
        <f t="shared" si="28"/>
        <v>44395</v>
      </c>
      <c r="O213" s="73">
        <f t="shared" si="26"/>
        <v>1.4339997179794456E-2</v>
      </c>
      <c r="P213" s="3"/>
    </row>
    <row r="214" spans="1:16">
      <c r="A214" s="233">
        <v>1.4319999999999999E-2</v>
      </c>
      <c r="B214" s="293">
        <v>6608</v>
      </c>
      <c r="C214" s="232">
        <v>44140</v>
      </c>
      <c r="D214" s="232">
        <v>44144</v>
      </c>
      <c r="F214" s="273">
        <f t="shared" si="27"/>
        <v>9.3199999999999984E-3</v>
      </c>
      <c r="H214" s="89">
        <f t="shared" si="23"/>
        <v>4</v>
      </c>
      <c r="I214" s="90">
        <f t="shared" si="24"/>
        <v>1.0001035555555555</v>
      </c>
      <c r="J214" s="253">
        <f t="shared" si="29"/>
        <v>1.010956459117597</v>
      </c>
      <c r="K214" s="84">
        <f t="shared" si="25"/>
        <v>-1.1133767671399144E-4</v>
      </c>
      <c r="M214" s="87"/>
      <c r="N214" s="87">
        <f t="shared" si="28"/>
        <v>44396</v>
      </c>
      <c r="O214" s="73">
        <f t="shared" si="26"/>
        <v>1.4208662323286008E-2</v>
      </c>
      <c r="P214" s="3"/>
    </row>
    <row r="215" spans="1:16">
      <c r="A215" s="233">
        <v>1.422E-2</v>
      </c>
      <c r="B215" s="293">
        <v>5430</v>
      </c>
      <c r="C215" s="232">
        <v>44144</v>
      </c>
      <c r="D215" s="232">
        <v>44145</v>
      </c>
      <c r="F215" s="273">
        <f t="shared" si="27"/>
        <v>9.219999999999999E-3</v>
      </c>
      <c r="H215" s="89">
        <f t="shared" si="23"/>
        <v>1</v>
      </c>
      <c r="I215" s="90">
        <f t="shared" si="24"/>
        <v>1.0000256111111112</v>
      </c>
      <c r="J215" s="253">
        <f t="shared" si="29"/>
        <v>1.0110611492753634</v>
      </c>
      <c r="K215" s="84">
        <f t="shared" si="25"/>
        <v>-1.5872609369717493E-7</v>
      </c>
      <c r="M215" s="87"/>
      <c r="N215" s="87">
        <f t="shared" si="28"/>
        <v>44397</v>
      </c>
      <c r="O215" s="73">
        <f t="shared" si="26"/>
        <v>1.4219841273906303E-2</v>
      </c>
      <c r="P215" s="3"/>
    </row>
    <row r="216" spans="1:16">
      <c r="A216" s="233">
        <v>1.418E-2</v>
      </c>
      <c r="B216" s="293">
        <v>7162</v>
      </c>
      <c r="C216" s="232">
        <v>44145</v>
      </c>
      <c r="D216" s="232">
        <v>44146</v>
      </c>
      <c r="F216" s="273">
        <f t="shared" si="27"/>
        <v>9.1800000000000007E-3</v>
      </c>
      <c r="H216" s="89">
        <f t="shared" si="23"/>
        <v>1</v>
      </c>
      <c r="I216" s="90">
        <f t="shared" si="24"/>
        <v>1.0000255</v>
      </c>
      <c r="J216" s="253">
        <f t="shared" si="29"/>
        <v>1.0110870436747976</v>
      </c>
      <c r="K216" s="84">
        <f t="shared" si="25"/>
        <v>5.5554138908168025E-7</v>
      </c>
      <c r="M216" s="87"/>
      <c r="N216" s="87">
        <f t="shared" si="28"/>
        <v>44398</v>
      </c>
      <c r="O216" s="73">
        <f t="shared" si="26"/>
        <v>1.4180555541389082E-2</v>
      </c>
      <c r="P216" s="3"/>
    </row>
    <row r="217" spans="1:16">
      <c r="A217" s="233">
        <v>1.4319999999999999E-2</v>
      </c>
      <c r="B217" s="293">
        <v>7928</v>
      </c>
      <c r="C217" s="232">
        <v>44146</v>
      </c>
      <c r="D217" s="232">
        <v>44147</v>
      </c>
      <c r="F217" s="273">
        <f t="shared" si="27"/>
        <v>9.3199999999999984E-3</v>
      </c>
      <c r="H217" s="89">
        <f t="shared" si="23"/>
        <v>1</v>
      </c>
      <c r="I217" s="90">
        <f t="shared" si="24"/>
        <v>1.0000258888888889</v>
      </c>
      <c r="J217" s="253">
        <f t="shared" si="29"/>
        <v>1.0111128263944114</v>
      </c>
      <c r="K217" s="84">
        <f t="shared" si="25"/>
        <v>-3.5713361141403208E-7</v>
      </c>
      <c r="M217" s="87"/>
      <c r="N217" s="87">
        <f t="shared" si="28"/>
        <v>44399</v>
      </c>
      <c r="O217" s="73">
        <f t="shared" si="26"/>
        <v>1.4319642866388585E-2</v>
      </c>
      <c r="P217" s="3"/>
    </row>
    <row r="218" spans="1:16">
      <c r="A218" s="233">
        <v>1.423E-2</v>
      </c>
      <c r="B218" s="293">
        <v>6702</v>
      </c>
      <c r="C218" s="232">
        <v>44147</v>
      </c>
      <c r="D218" s="232">
        <v>44148</v>
      </c>
      <c r="F218" s="273">
        <f t="shared" si="27"/>
        <v>9.2299999999999986E-3</v>
      </c>
      <c r="H218" s="89">
        <f t="shared" si="23"/>
        <v>1</v>
      </c>
      <c r="I218" s="90">
        <f t="shared" si="24"/>
        <v>1.0000256388888888</v>
      </c>
      <c r="J218" s="253">
        <f t="shared" si="29"/>
        <v>1.011139002982028</v>
      </c>
      <c r="K218" s="84">
        <f t="shared" si="25"/>
        <v>7.2537822750629033E-5</v>
      </c>
      <c r="M218" s="87"/>
      <c r="N218" s="87">
        <f t="shared" si="28"/>
        <v>44400</v>
      </c>
      <c r="O218" s="73">
        <f t="shared" si="26"/>
        <v>1.4302537822750629E-2</v>
      </c>
      <c r="P218" s="3"/>
    </row>
    <row r="219" spans="1:16">
      <c r="A219" s="233">
        <v>1.417E-2</v>
      </c>
      <c r="B219" s="293">
        <v>8190</v>
      </c>
      <c r="C219" s="232">
        <v>44148</v>
      </c>
      <c r="D219" s="232">
        <v>44151</v>
      </c>
      <c r="F219" s="273">
        <f t="shared" si="27"/>
        <v>9.1700000000000011E-3</v>
      </c>
      <c r="H219" s="89">
        <f t="shared" si="23"/>
        <v>3</v>
      </c>
      <c r="I219" s="90">
        <f t="shared" si="24"/>
        <v>1.0000764166666667</v>
      </c>
      <c r="J219" s="253">
        <f t="shared" si="29"/>
        <v>1.0111649274625767</v>
      </c>
      <c r="K219" s="84">
        <f t="shared" si="25"/>
        <v>-7.3234403671111888E-5</v>
      </c>
      <c r="M219" s="87"/>
      <c r="N219" s="87">
        <f t="shared" ref="N219:N234" si="30">N218+1</f>
        <v>44401</v>
      </c>
      <c r="O219" s="73">
        <f t="shared" si="26"/>
        <v>1.4096765596328888E-2</v>
      </c>
      <c r="P219" s="3"/>
    </row>
    <row r="220" spans="1:16">
      <c r="A220" s="233">
        <v>1.4200000000000001E-2</v>
      </c>
      <c r="B220" s="293">
        <v>6460</v>
      </c>
      <c r="C220" s="232">
        <v>44151</v>
      </c>
      <c r="D220" s="232">
        <v>44152</v>
      </c>
      <c r="F220" s="273">
        <f t="shared" si="27"/>
        <v>9.1999999999999998E-3</v>
      </c>
      <c r="H220" s="89">
        <f t="shared" si="23"/>
        <v>1</v>
      </c>
      <c r="I220" s="90">
        <f t="shared" si="24"/>
        <v>1.0000255555555555</v>
      </c>
      <c r="J220" s="253">
        <f t="shared" si="29"/>
        <v>1.0112421973157837</v>
      </c>
      <c r="K220" s="84">
        <f t="shared" si="25"/>
        <v>3.6639063668459928E-5</v>
      </c>
      <c r="M220" s="87"/>
      <c r="N220" s="87">
        <f t="shared" si="30"/>
        <v>44402</v>
      </c>
      <c r="O220" s="73">
        <f t="shared" si="26"/>
        <v>1.423663906366846E-2</v>
      </c>
      <c r="P220" s="3"/>
    </row>
    <row r="221" spans="1:16">
      <c r="A221" s="233">
        <v>1.418E-2</v>
      </c>
      <c r="B221" s="293">
        <v>6770</v>
      </c>
      <c r="C221" s="232">
        <v>44152</v>
      </c>
      <c r="D221" s="232">
        <v>44154</v>
      </c>
      <c r="F221" s="273">
        <f t="shared" si="27"/>
        <v>9.1800000000000007E-3</v>
      </c>
      <c r="G221">
        <v>31</v>
      </c>
      <c r="H221" s="268">
        <f t="shared" si="23"/>
        <v>2</v>
      </c>
      <c r="I221" s="269">
        <f t="shared" si="24"/>
        <v>1.000051</v>
      </c>
      <c r="J221" s="270">
        <f t="shared" si="29"/>
        <v>1.0112680401719372</v>
      </c>
      <c r="K221" s="263">
        <f t="shared" si="25"/>
        <v>-3.6825431139816652E-5</v>
      </c>
      <c r="M221" s="87"/>
      <c r="N221" s="87">
        <f t="shared" si="30"/>
        <v>44403</v>
      </c>
      <c r="O221" s="73">
        <f t="shared" si="26"/>
        <v>1.4143174568860183E-2</v>
      </c>
      <c r="P221" s="3"/>
    </row>
    <row r="222" spans="1:16">
      <c r="A222" s="233">
        <v>1.4189999999999999E-2</v>
      </c>
      <c r="B222" s="293">
        <v>7025</v>
      </c>
      <c r="C222" s="232">
        <v>44154</v>
      </c>
      <c r="D222" s="232">
        <v>44155</v>
      </c>
      <c r="F222" s="273">
        <f t="shared" si="27"/>
        <v>9.1900000000000003E-3</v>
      </c>
      <c r="H222" s="89">
        <f t="shared" si="23"/>
        <v>1</v>
      </c>
      <c r="I222" s="90">
        <f t="shared" si="24"/>
        <v>1.0000255277777779</v>
      </c>
      <c r="J222" s="253">
        <f t="shared" si="29"/>
        <v>1.0113196148419858</v>
      </c>
      <c r="K222" s="84">
        <f t="shared" si="25"/>
        <v>7.3933855604792431E-5</v>
      </c>
      <c r="M222" s="87"/>
      <c r="N222" s="87">
        <f t="shared" si="30"/>
        <v>44404</v>
      </c>
      <c r="O222" s="73">
        <f t="shared" si="26"/>
        <v>1.4263933855604791E-2</v>
      </c>
      <c r="P222" s="3"/>
    </row>
    <row r="223" spans="1:16">
      <c r="A223" s="233">
        <v>1.4200000000000001E-2</v>
      </c>
      <c r="B223" s="293">
        <v>7133</v>
      </c>
      <c r="C223" s="232">
        <v>44155</v>
      </c>
      <c r="D223" s="232">
        <v>44158</v>
      </c>
      <c r="F223" s="273">
        <f t="shared" si="27"/>
        <v>9.1999999999999998E-3</v>
      </c>
      <c r="H223" s="89">
        <f t="shared" si="23"/>
        <v>3</v>
      </c>
      <c r="I223" s="90">
        <f t="shared" si="24"/>
        <v>1.0000766666666667</v>
      </c>
      <c r="J223" s="253">
        <f t="shared" si="29"/>
        <v>1.011345431584376</v>
      </c>
      <c r="K223" s="84">
        <f t="shared" si="25"/>
        <v>-7.4731112720074336E-5</v>
      </c>
      <c r="M223" s="87"/>
      <c r="N223" s="87">
        <f t="shared" si="30"/>
        <v>44405</v>
      </c>
      <c r="O223" s="73">
        <f t="shared" si="26"/>
        <v>1.4125268887279926E-2</v>
      </c>
      <c r="P223" s="3"/>
    </row>
    <row r="224" spans="1:16">
      <c r="A224" s="233">
        <v>1.414E-2</v>
      </c>
      <c r="B224" s="293">
        <v>8213</v>
      </c>
      <c r="C224" s="232">
        <v>44158</v>
      </c>
      <c r="D224" s="232">
        <v>44159</v>
      </c>
      <c r="F224" s="273">
        <f t="shared" si="27"/>
        <v>9.1399999999999988E-3</v>
      </c>
      <c r="H224" s="89">
        <f t="shared" si="23"/>
        <v>1</v>
      </c>
      <c r="I224" s="90">
        <f t="shared" si="24"/>
        <v>1.0000253888888888</v>
      </c>
      <c r="J224" s="253">
        <f t="shared" si="29"/>
        <v>1.0114229680674642</v>
      </c>
      <c r="K224" s="84">
        <f t="shared" si="25"/>
        <v>2.4290881274036336E-7</v>
      </c>
      <c r="M224" s="87"/>
      <c r="N224" s="87">
        <f t="shared" si="30"/>
        <v>44406</v>
      </c>
      <c r="O224" s="73">
        <f t="shared" si="26"/>
        <v>1.4140242908812739E-2</v>
      </c>
      <c r="P224" s="3"/>
    </row>
    <row r="225" spans="1:16">
      <c r="A225" s="233">
        <v>1.4200000000000001E-2</v>
      </c>
      <c r="B225" s="293">
        <v>6714</v>
      </c>
      <c r="C225" s="232">
        <v>44159</v>
      </c>
      <c r="D225" s="232">
        <v>44160</v>
      </c>
      <c r="F225" s="273">
        <f t="shared" si="27"/>
        <v>9.1999999999999998E-3</v>
      </c>
      <c r="H225" s="89">
        <f t="shared" si="23"/>
        <v>1</v>
      </c>
      <c r="I225" s="90">
        <f t="shared" si="24"/>
        <v>1.0000255555555555</v>
      </c>
      <c r="J225" s="253">
        <f t="shared" si="29"/>
        <v>1.0114486469728201</v>
      </c>
      <c r="K225" s="84">
        <f t="shared" si="25"/>
        <v>1.2145438598163253E-7</v>
      </c>
      <c r="M225" s="87"/>
      <c r="N225" s="87">
        <f t="shared" si="30"/>
        <v>44407</v>
      </c>
      <c r="O225" s="73">
        <f t="shared" si="26"/>
        <v>1.4200121454385983E-2</v>
      </c>
      <c r="P225" s="3"/>
    </row>
    <row r="226" spans="1:16">
      <c r="A226" s="233">
        <v>1.423E-2</v>
      </c>
      <c r="B226" s="293">
        <v>6321</v>
      </c>
      <c r="C226" s="232">
        <v>44160</v>
      </c>
      <c r="D226" s="232">
        <v>44161</v>
      </c>
      <c r="F226" s="273">
        <f t="shared" si="27"/>
        <v>9.2299999999999986E-3</v>
      </c>
      <c r="H226" s="89">
        <f t="shared" si="23"/>
        <v>1</v>
      </c>
      <c r="I226" s="90">
        <f t="shared" si="24"/>
        <v>1.0000256388888888</v>
      </c>
      <c r="J226" s="253">
        <f t="shared" si="29"/>
        <v>1.0114744951049093</v>
      </c>
      <c r="K226" s="84">
        <f t="shared" si="25"/>
        <v>-1.4169677191912531E-6</v>
      </c>
      <c r="M226" s="87"/>
      <c r="N226" s="87">
        <f t="shared" si="30"/>
        <v>44408</v>
      </c>
      <c r="O226" s="73">
        <f t="shared" si="26"/>
        <v>1.4228583032280808E-2</v>
      </c>
      <c r="P226" s="3"/>
    </row>
    <row r="227" spans="1:16">
      <c r="A227" s="233">
        <v>1.388E-2</v>
      </c>
      <c r="B227" s="293">
        <v>7261</v>
      </c>
      <c r="C227" s="232">
        <v>44161</v>
      </c>
      <c r="D227" s="232">
        <v>44162</v>
      </c>
      <c r="F227" s="273">
        <f t="shared" si="27"/>
        <v>8.879999999999999E-3</v>
      </c>
      <c r="H227" s="89">
        <f t="shared" si="23"/>
        <v>1</v>
      </c>
      <c r="I227" s="90">
        <f t="shared" si="24"/>
        <v>1.0000246666666666</v>
      </c>
      <c r="J227" s="253">
        <f t="shared" si="29"/>
        <v>1.0115004281871032</v>
      </c>
      <c r="K227" s="84">
        <f t="shared" si="25"/>
        <v>7.6151967738978481E-5</v>
      </c>
      <c r="M227" s="87"/>
      <c r="N227" s="87">
        <f t="shared" si="30"/>
        <v>44409</v>
      </c>
      <c r="O227" s="73">
        <f t="shared" si="26"/>
        <v>1.3956151967738979E-2</v>
      </c>
      <c r="P227" s="3"/>
    </row>
    <row r="228" spans="1:16">
      <c r="A228" s="233">
        <v>1.423E-2</v>
      </c>
      <c r="B228" s="293">
        <v>6222</v>
      </c>
      <c r="C228" s="232">
        <v>44162</v>
      </c>
      <c r="D228" s="232">
        <v>44165</v>
      </c>
      <c r="F228" s="273">
        <f t="shared" si="27"/>
        <v>9.2299999999999986E-3</v>
      </c>
      <c r="H228" s="89">
        <f t="shared" si="23"/>
        <v>3</v>
      </c>
      <c r="I228" s="90">
        <f t="shared" si="24"/>
        <v>1.0000769166666668</v>
      </c>
      <c r="J228" s="253">
        <f t="shared" si="29"/>
        <v>1.0115253785309983</v>
      </c>
      <c r="K228" s="84">
        <f t="shared" si="25"/>
        <v>-7.5137077849522248E-5</v>
      </c>
      <c r="M228" s="87"/>
      <c r="N228" s="87">
        <f t="shared" si="30"/>
        <v>44410</v>
      </c>
      <c r="O228" s="73">
        <f t="shared" si="26"/>
        <v>1.4154862922150478E-2</v>
      </c>
      <c r="P228" s="3"/>
    </row>
    <row r="229" spans="1:16">
      <c r="A229" s="233">
        <v>1.4279999999999999E-2</v>
      </c>
      <c r="B229" s="293">
        <v>6435</v>
      </c>
      <c r="C229" s="232">
        <v>44165</v>
      </c>
      <c r="D229" s="232">
        <v>44166</v>
      </c>
      <c r="F229" s="273">
        <f t="shared" si="27"/>
        <v>9.2800000000000001E-3</v>
      </c>
      <c r="H229" s="89">
        <f t="shared" si="23"/>
        <v>1</v>
      </c>
      <c r="I229" s="90">
        <f t="shared" si="24"/>
        <v>1.0000257777777777</v>
      </c>
      <c r="J229" s="253">
        <f t="shared" si="29"/>
        <v>1.0116031816913638</v>
      </c>
      <c r="K229" s="84">
        <f t="shared" si="25"/>
        <v>1.6326109770215207E-7</v>
      </c>
      <c r="M229" s="87"/>
      <c r="N229" s="87">
        <f t="shared" si="30"/>
        <v>44411</v>
      </c>
      <c r="O229" s="73">
        <f t="shared" si="26"/>
        <v>1.4280163261097701E-2</v>
      </c>
      <c r="P229" s="3"/>
    </row>
    <row r="230" spans="1:16">
      <c r="A230" s="233">
        <v>1.4319999999999999E-2</v>
      </c>
      <c r="B230" s="293">
        <v>6596</v>
      </c>
      <c r="C230" s="232">
        <v>44166</v>
      </c>
      <c r="D230" s="232">
        <v>44167</v>
      </c>
      <c r="F230" s="273">
        <f t="shared" si="27"/>
        <v>9.3199999999999984E-3</v>
      </c>
      <c r="H230" s="89">
        <f t="shared" si="23"/>
        <v>1</v>
      </c>
      <c r="I230" s="90">
        <f t="shared" si="24"/>
        <v>1.0000258888888889</v>
      </c>
      <c r="J230" s="253">
        <f t="shared" si="29"/>
        <v>1.0116292585733806</v>
      </c>
      <c r="K230" s="84">
        <f t="shared" si="25"/>
        <v>-2.4489161930971454E-7</v>
      </c>
      <c r="M230" s="87"/>
      <c r="N230" s="87">
        <f t="shared" si="30"/>
        <v>44412</v>
      </c>
      <c r="O230" s="73">
        <f t="shared" si="26"/>
        <v>1.431975510838069E-2</v>
      </c>
      <c r="P230" s="3"/>
    </row>
    <row r="231" spans="1:16">
      <c r="A231" s="233">
        <v>1.426E-2</v>
      </c>
      <c r="B231" s="293">
        <v>7078</v>
      </c>
      <c r="C231" s="232">
        <v>44167</v>
      </c>
      <c r="D231" s="232">
        <v>44168</v>
      </c>
      <c r="F231" s="273">
        <f t="shared" si="27"/>
        <v>9.2600000000000009E-3</v>
      </c>
      <c r="H231" s="89">
        <f t="shared" si="23"/>
        <v>1</v>
      </c>
      <c r="I231" s="90">
        <f t="shared" si="24"/>
        <v>1.0000257222222222</v>
      </c>
      <c r="J231" s="253">
        <f t="shared" si="29"/>
        <v>1.0116554485308527</v>
      </c>
      <c r="K231" s="84">
        <f t="shared" si="25"/>
        <v>0</v>
      </c>
      <c r="M231" s="87"/>
      <c r="N231" s="87">
        <f t="shared" si="30"/>
        <v>44413</v>
      </c>
      <c r="O231" s="73">
        <f t="shared" si="26"/>
        <v>1.426E-2</v>
      </c>
      <c r="P231" s="3"/>
    </row>
    <row r="232" spans="1:16">
      <c r="A232" s="233">
        <v>1.426E-2</v>
      </c>
      <c r="B232" s="293">
        <v>6786</v>
      </c>
      <c r="C232" s="232">
        <v>44168</v>
      </c>
      <c r="D232" s="232">
        <v>44169</v>
      </c>
      <c r="F232" s="273">
        <f t="shared" si="27"/>
        <v>9.2600000000000009E-3</v>
      </c>
      <c r="H232" s="89">
        <f t="shared" si="23"/>
        <v>1</v>
      </c>
      <c r="I232" s="90">
        <f t="shared" si="24"/>
        <v>1.0000257222222222</v>
      </c>
      <c r="J232" s="253">
        <f t="shared" si="29"/>
        <v>1.011681470557112</v>
      </c>
      <c r="K232" s="84">
        <f t="shared" si="25"/>
        <v>7.5712338224531034E-5</v>
      </c>
      <c r="M232" s="87"/>
      <c r="N232" s="87">
        <f t="shared" si="30"/>
        <v>44414</v>
      </c>
      <c r="O232" s="73">
        <f t="shared" si="26"/>
        <v>1.433571233822453E-2</v>
      </c>
      <c r="P232" s="3"/>
    </row>
    <row r="233" spans="1:16">
      <c r="A233" s="233">
        <v>1.427E-2</v>
      </c>
      <c r="B233" s="293">
        <v>7487</v>
      </c>
      <c r="C233" s="232">
        <v>44169</v>
      </c>
      <c r="D233" s="232">
        <v>44172</v>
      </c>
      <c r="F233" s="273">
        <f t="shared" si="27"/>
        <v>9.2700000000000005E-3</v>
      </c>
      <c r="G233">
        <v>14</v>
      </c>
      <c r="H233" s="268">
        <f t="shared" si="23"/>
        <v>3</v>
      </c>
      <c r="I233" s="269">
        <f t="shared" si="24"/>
        <v>1.0000772499999999</v>
      </c>
      <c r="J233" s="270">
        <f t="shared" si="29"/>
        <v>1.0117074932527157</v>
      </c>
      <c r="K233" s="263">
        <f t="shared" si="25"/>
        <v>-7.6249253778076171E-5</v>
      </c>
      <c r="M233" s="87"/>
      <c r="N233" s="87">
        <f t="shared" si="30"/>
        <v>44415</v>
      </c>
      <c r="O233" s="73">
        <f t="shared" si="26"/>
        <v>1.4193750746221924E-2</v>
      </c>
      <c r="P233" s="3"/>
    </row>
    <row r="234" spans="1:16">
      <c r="A234" s="233">
        <v>1.4279999999999999E-2</v>
      </c>
      <c r="B234" s="293">
        <v>5981</v>
      </c>
      <c r="C234" s="232">
        <v>44172</v>
      </c>
      <c r="D234" s="232">
        <v>44173</v>
      </c>
      <c r="F234" s="273">
        <f t="shared" si="27"/>
        <v>9.2800000000000001E-3</v>
      </c>
      <c r="H234" s="89">
        <f t="shared" si="23"/>
        <v>1</v>
      </c>
      <c r="I234" s="90">
        <f t="shared" si="24"/>
        <v>1.0000257777777777</v>
      </c>
      <c r="J234" s="253">
        <f t="shared" si="29"/>
        <v>1.0117856476565694</v>
      </c>
      <c r="K234" s="84">
        <f t="shared" si="25"/>
        <v>-2.0575601288607425E-7</v>
      </c>
      <c r="M234" s="87"/>
      <c r="N234" s="87">
        <f t="shared" si="30"/>
        <v>44416</v>
      </c>
      <c r="O234" s="73">
        <f t="shared" si="26"/>
        <v>1.4279794243987114E-2</v>
      </c>
      <c r="P234" s="3"/>
    </row>
    <row r="235" spans="1:16">
      <c r="A235" s="233">
        <v>1.423E-2</v>
      </c>
      <c r="B235" s="293">
        <v>6657</v>
      </c>
      <c r="C235" s="232">
        <v>44173</v>
      </c>
      <c r="D235" s="232">
        <v>44174</v>
      </c>
      <c r="F235" s="273">
        <f t="shared" si="27"/>
        <v>9.2299999999999986E-3</v>
      </c>
      <c r="H235" s="89">
        <f t="shared" si="23"/>
        <v>1</v>
      </c>
      <c r="I235" s="90">
        <f t="shared" si="24"/>
        <v>1.0000256388888888</v>
      </c>
      <c r="J235" s="253">
        <f t="shared" si="29"/>
        <v>1.0118117292421533</v>
      </c>
      <c r="K235" s="84">
        <f t="shared" si="25"/>
        <v>2.8805845840327881E-7</v>
      </c>
      <c r="M235" s="87"/>
      <c r="N235" s="87">
        <f t="shared" ref="N235:N242" si="31">N234+1</f>
        <v>44417</v>
      </c>
      <c r="O235" s="73">
        <f t="shared" si="26"/>
        <v>1.4230288058458404E-2</v>
      </c>
      <c r="P235" s="3"/>
    </row>
    <row r="236" spans="1:16">
      <c r="A236" s="233">
        <v>1.43E-2</v>
      </c>
      <c r="B236" s="293">
        <v>7121</v>
      </c>
      <c r="C236" s="232">
        <v>44174</v>
      </c>
      <c r="D236" s="232">
        <v>44175</v>
      </c>
      <c r="F236" s="273">
        <f t="shared" si="27"/>
        <v>9.2999999999999992E-3</v>
      </c>
      <c r="H236" s="89">
        <f t="shared" si="23"/>
        <v>1</v>
      </c>
      <c r="I236" s="90">
        <f t="shared" si="24"/>
        <v>1.0000258333333334</v>
      </c>
      <c r="J236" s="253">
        <f t="shared" si="29"/>
        <v>1.0118376709706558</v>
      </c>
      <c r="K236" s="84">
        <f t="shared" si="25"/>
        <v>-2.4690720184455335E-7</v>
      </c>
      <c r="M236" s="87"/>
      <c r="N236" s="87">
        <f t="shared" si="31"/>
        <v>44418</v>
      </c>
      <c r="O236" s="73">
        <f t="shared" si="26"/>
        <v>1.4299753092798156E-2</v>
      </c>
      <c r="P236" s="3"/>
    </row>
    <row r="237" spans="1:16">
      <c r="A237" s="233">
        <v>1.4239999999999999E-2</v>
      </c>
      <c r="B237" s="293">
        <v>6321</v>
      </c>
      <c r="C237" s="232">
        <v>44175</v>
      </c>
      <c r="D237" s="232">
        <v>44176</v>
      </c>
      <c r="F237" s="273">
        <f t="shared" si="27"/>
        <v>9.2399999999999982E-3</v>
      </c>
      <c r="H237" s="89">
        <f t="shared" si="23"/>
        <v>1</v>
      </c>
      <c r="I237" s="90">
        <f t="shared" si="24"/>
        <v>1.0000256666666667</v>
      </c>
      <c r="J237" s="253">
        <f t="shared" si="29"/>
        <v>1.0118638101104893</v>
      </c>
      <c r="K237" s="84">
        <f t="shared" si="25"/>
        <v>7.6294338074865844E-5</v>
      </c>
      <c r="M237" s="87"/>
      <c r="N237" s="87">
        <f t="shared" si="31"/>
        <v>44419</v>
      </c>
      <c r="O237" s="73">
        <f t="shared" si="26"/>
        <v>1.4316294338074865E-2</v>
      </c>
      <c r="P237" s="3"/>
    </row>
    <row r="238" spans="1:16">
      <c r="A238" s="233">
        <v>1.426E-2</v>
      </c>
      <c r="B238" s="293">
        <v>6468</v>
      </c>
      <c r="C238" s="232">
        <v>44176</v>
      </c>
      <c r="D238" s="232">
        <v>44179</v>
      </c>
      <c r="F238" s="273">
        <f t="shared" si="27"/>
        <v>9.2600000000000009E-3</v>
      </c>
      <c r="G238">
        <v>7</v>
      </c>
      <c r="H238" s="268">
        <f t="shared" si="23"/>
        <v>3</v>
      </c>
      <c r="I238" s="269">
        <f t="shared" si="24"/>
        <v>1.0000771666666666</v>
      </c>
      <c r="J238" s="270">
        <f t="shared" si="29"/>
        <v>1.0118897812816154</v>
      </c>
      <c r="K238" s="263">
        <f t="shared" si="25"/>
        <v>-7.7379920965398282E-5</v>
      </c>
      <c r="M238" s="87"/>
      <c r="N238" s="87">
        <f t="shared" si="31"/>
        <v>44420</v>
      </c>
      <c r="O238" s="73">
        <f t="shared" si="26"/>
        <v>1.4182620079034602E-2</v>
      </c>
      <c r="P238" s="3"/>
    </row>
    <row r="239" spans="1:16">
      <c r="A239" s="233">
        <v>1.413E-2</v>
      </c>
      <c r="B239" s="293">
        <v>8954</v>
      </c>
      <c r="C239" s="232">
        <v>44179</v>
      </c>
      <c r="D239" s="232">
        <v>44180</v>
      </c>
      <c r="F239" s="273">
        <f t="shared" si="27"/>
        <v>9.1299999999999992E-3</v>
      </c>
      <c r="H239" s="89">
        <f t="shared" si="23"/>
        <v>1</v>
      </c>
      <c r="I239" s="90">
        <f t="shared" si="24"/>
        <v>1.0000253611111112</v>
      </c>
      <c r="J239" s="253">
        <f t="shared" si="29"/>
        <v>1.0119678654430708</v>
      </c>
      <c r="K239" s="84">
        <f t="shared" si="25"/>
        <v>4.1492723613824976E-7</v>
      </c>
      <c r="M239" s="87"/>
      <c r="N239" s="87">
        <f t="shared" si="31"/>
        <v>44421</v>
      </c>
      <c r="O239" s="73">
        <f t="shared" si="26"/>
        <v>1.4130414927236138E-2</v>
      </c>
      <c r="P239" s="3"/>
    </row>
    <row r="240" spans="1:16">
      <c r="A240" s="233">
        <v>1.423E-2</v>
      </c>
      <c r="B240" s="293">
        <v>7081</v>
      </c>
      <c r="C240" s="232">
        <v>44180</v>
      </c>
      <c r="D240" s="232">
        <v>44181</v>
      </c>
      <c r="F240" s="273">
        <f t="shared" si="27"/>
        <v>9.2299999999999986E-3</v>
      </c>
      <c r="H240" s="89">
        <f t="shared" si="23"/>
        <v>1</v>
      </c>
      <c r="I240" s="90">
        <f t="shared" si="24"/>
        <v>1.0000256388888888</v>
      </c>
      <c r="J240" s="253">
        <f t="shared" si="29"/>
        <v>1.0119935300725473</v>
      </c>
      <c r="K240" s="84">
        <f t="shared" si="25"/>
        <v>-6.2239068173123331E-7</v>
      </c>
      <c r="M240" s="87"/>
      <c r="N240" s="87">
        <f t="shared" si="31"/>
        <v>44422</v>
      </c>
      <c r="O240" s="73">
        <f t="shared" si="26"/>
        <v>1.4229377609318269E-2</v>
      </c>
      <c r="P240" s="3"/>
    </row>
    <row r="241" spans="1:19">
      <c r="A241" s="234">
        <v>1.4080000000000001E-2</v>
      </c>
      <c r="B241" s="293">
        <v>7812</v>
      </c>
      <c r="C241" s="236">
        <v>44181</v>
      </c>
      <c r="D241" s="236">
        <v>44182</v>
      </c>
      <c r="F241" s="273">
        <f t="shared" si="27"/>
        <v>9.0800000000000013E-3</v>
      </c>
      <c r="H241" s="89">
        <f t="shared" si="23"/>
        <v>1</v>
      </c>
      <c r="I241" s="90">
        <f t="shared" si="24"/>
        <v>1.0000252222222221</v>
      </c>
      <c r="J241" s="253">
        <f t="shared" si="29"/>
        <v>1.012019476462221</v>
      </c>
      <c r="K241" s="84">
        <f t="shared" si="25"/>
        <v>4.1492729418310497E-7</v>
      </c>
      <c r="L241" s="247"/>
      <c r="M241" s="87"/>
      <c r="N241" s="87">
        <f t="shared" si="31"/>
        <v>44423</v>
      </c>
      <c r="O241" s="251">
        <f t="shared" si="26"/>
        <v>1.4080414927294184E-2</v>
      </c>
      <c r="P241" s="23"/>
      <c r="Q241" s="19"/>
      <c r="R241" s="19"/>
      <c r="S241" s="19"/>
    </row>
    <row r="242" spans="1:19" ht="17" thickBot="1">
      <c r="A242" s="238">
        <v>1.418E-2</v>
      </c>
      <c r="B242" s="207">
        <v>7658</v>
      </c>
      <c r="C242" s="240">
        <v>44182</v>
      </c>
      <c r="D242" s="240">
        <v>44183</v>
      </c>
      <c r="E242" s="212"/>
      <c r="F242" s="274">
        <f t="shared" si="27"/>
        <v>9.1800000000000007E-3</v>
      </c>
      <c r="G242" s="197" t="s">
        <v>89</v>
      </c>
      <c r="H242" s="225">
        <f t="shared" si="23"/>
        <v>1</v>
      </c>
      <c r="I242" s="226">
        <f t="shared" si="24"/>
        <v>1.0000255</v>
      </c>
      <c r="J242" s="254">
        <f t="shared" si="29"/>
        <v>1.0120450018423495</v>
      </c>
      <c r="K242" s="227"/>
      <c r="L242" s="248"/>
      <c r="M242" s="229"/>
      <c r="N242" s="229">
        <f t="shared" si="31"/>
        <v>44424</v>
      </c>
      <c r="O242" s="252">
        <f t="shared" si="26"/>
        <v>1.418E-2</v>
      </c>
      <c r="P242" s="228"/>
      <c r="Q242" s="212"/>
      <c r="R242" s="212"/>
      <c r="S242" s="212"/>
    </row>
    <row r="243" spans="1:19">
      <c r="G243" s="271">
        <f>SUM(H182:H242)</f>
        <v>91</v>
      </c>
      <c r="H243" s="272">
        <f>SUM(H2:H242)</f>
        <v>351</v>
      </c>
      <c r="I243" s="245"/>
      <c r="J243" s="241"/>
      <c r="K243" s="242">
        <f>SUM(K2:K242)</f>
        <v>-1.0850413984210296E-4</v>
      </c>
      <c r="L243" s="241"/>
      <c r="M243" s="241"/>
      <c r="N243" s="3"/>
      <c r="O243" s="3"/>
      <c r="P243" s="3"/>
    </row>
    <row r="244" spans="1:19">
      <c r="J244" s="1"/>
      <c r="K244" s="5"/>
      <c r="L244" s="3"/>
      <c r="M244" s="3"/>
      <c r="N244" s="3"/>
      <c r="O244" s="3"/>
      <c r="P244" s="3"/>
    </row>
    <row r="245" spans="1:19">
      <c r="J245" s="1"/>
      <c r="K245" s="5"/>
      <c r="L245" s="3"/>
      <c r="M245" s="3"/>
      <c r="N245" s="3"/>
      <c r="O245" s="3"/>
      <c r="P245" s="3"/>
    </row>
    <row r="246" spans="1:19">
      <c r="J246" s="1"/>
      <c r="K246" s="5"/>
      <c r="L246" s="3"/>
      <c r="M246" s="3"/>
      <c r="N246" s="3"/>
      <c r="O246" s="3"/>
      <c r="P246" s="3"/>
    </row>
    <row r="247" spans="1:19">
      <c r="J247" s="1"/>
      <c r="K247" s="5"/>
      <c r="L247" s="3"/>
      <c r="M247" s="3"/>
      <c r="N247" s="3"/>
      <c r="O247" s="3"/>
      <c r="P247" s="3"/>
    </row>
    <row r="248" spans="1:19">
      <c r="J248" s="1"/>
      <c r="K248" s="5"/>
      <c r="L248" s="3"/>
      <c r="M248" s="3"/>
      <c r="N248" s="3"/>
      <c r="O248" s="3"/>
      <c r="P248" s="3"/>
    </row>
    <row r="249" spans="1:19">
      <c r="J249" s="1"/>
      <c r="K249" s="5"/>
      <c r="L249" s="3"/>
      <c r="M249" s="3"/>
      <c r="N249" s="3"/>
      <c r="O249" s="3"/>
      <c r="P249" s="3"/>
    </row>
    <row r="250" spans="1:19">
      <c r="J250" s="1"/>
      <c r="K250" s="5"/>
      <c r="L250" s="3"/>
      <c r="M250" s="3"/>
      <c r="N250" s="3"/>
      <c r="O250" s="3"/>
      <c r="P250" s="3"/>
    </row>
    <row r="251" spans="1:19">
      <c r="J251" s="1"/>
      <c r="K251" s="5"/>
      <c r="L251" s="3"/>
      <c r="M251" s="3"/>
      <c r="N251" s="3"/>
      <c r="O251" s="3"/>
      <c r="P251" s="3"/>
    </row>
    <row r="252" spans="1:19">
      <c r="J252" s="1"/>
      <c r="K252" s="5"/>
      <c r="L252" s="3"/>
      <c r="M252" s="3"/>
      <c r="N252" s="3"/>
      <c r="O252" s="3"/>
      <c r="P252" s="3"/>
    </row>
    <row r="253" spans="1:19">
      <c r="J253" s="1"/>
      <c r="K253" s="5"/>
      <c r="L253" s="3"/>
      <c r="M253" s="3"/>
      <c r="N253" s="3"/>
      <c r="O253" s="3"/>
      <c r="P253" s="3"/>
    </row>
    <row r="254" spans="1:19">
      <c r="J254" s="1"/>
      <c r="K254" s="5"/>
      <c r="L254" s="3"/>
      <c r="M254" s="3"/>
      <c r="N254" s="3"/>
      <c r="O254" s="3"/>
      <c r="P254" s="3"/>
    </row>
    <row r="255" spans="1:19">
      <c r="J255" s="1"/>
      <c r="K255" s="5"/>
      <c r="L255" s="3"/>
      <c r="M255" s="3"/>
      <c r="N255" s="3"/>
      <c r="O255" s="3"/>
      <c r="P255" s="3"/>
    </row>
    <row r="256" spans="1:19">
      <c r="J256" s="1"/>
      <c r="K256" s="5"/>
      <c r="L256" s="3"/>
      <c r="M256" s="3"/>
      <c r="N256" s="3"/>
      <c r="O256" s="3"/>
      <c r="P256" s="3"/>
    </row>
    <row r="257" spans="10:16">
      <c r="J257" s="1"/>
      <c r="K257" s="5"/>
      <c r="L257" s="3"/>
      <c r="M257" s="3"/>
      <c r="N257" s="3"/>
      <c r="O257" s="3"/>
      <c r="P257" s="3"/>
    </row>
    <row r="258" spans="10:16">
      <c r="J258" s="1"/>
      <c r="K258" s="5"/>
      <c r="L258" s="3"/>
      <c r="M258" s="3"/>
      <c r="N258" s="3"/>
      <c r="O258" s="3"/>
      <c r="P258" s="3"/>
    </row>
    <row r="259" spans="10:16">
      <c r="J259" s="1"/>
      <c r="K259" s="5"/>
      <c r="L259" s="3"/>
      <c r="M259" s="3"/>
      <c r="N259" s="3"/>
      <c r="O259" s="3"/>
      <c r="P259" s="3"/>
    </row>
    <row r="260" spans="10:16">
      <c r="J260" s="1"/>
      <c r="K260" s="5"/>
      <c r="L260" s="3"/>
      <c r="M260" s="3"/>
      <c r="N260" s="3"/>
      <c r="O260" s="3"/>
      <c r="P260" s="3"/>
    </row>
    <row r="261" spans="10:16">
      <c r="J261" s="1"/>
      <c r="K261" s="5"/>
      <c r="L261" s="3"/>
      <c r="M261" s="3"/>
      <c r="N261" s="3"/>
      <c r="O261" s="3"/>
      <c r="P261" s="3"/>
    </row>
    <row r="262" spans="10:16">
      <c r="J262" s="1"/>
      <c r="K262" s="5"/>
      <c r="L262" s="3"/>
      <c r="M262" s="3"/>
      <c r="N262" s="3"/>
      <c r="O262" s="3"/>
      <c r="P262" s="3"/>
    </row>
    <row r="263" spans="10:16">
      <c r="J263" s="1"/>
      <c r="K263" s="5"/>
      <c r="L263" s="3"/>
      <c r="M263" s="3"/>
      <c r="N263" s="3"/>
      <c r="O263" s="3"/>
      <c r="P263" s="3"/>
    </row>
  </sheetData>
  <autoFilter ref="A1:O1" xr:uid="{DF5AF9A6-ABA7-DB48-BBA8-11A7A33AFCD4}"/>
  <conditionalFormatting sqref="A2:A242">
    <cfRule type="colorScale" priority="3">
      <colorScale>
        <cfvo type="min"/>
        <cfvo type="percentile" val="50"/>
        <cfvo type="max"/>
        <color rgb="FFF8696B"/>
        <color rgb="FFFFEB84"/>
        <color rgb="FF63BE7B"/>
      </colorScale>
    </cfRule>
  </conditionalFormatting>
  <conditionalFormatting sqref="B1:B242">
    <cfRule type="colorScale" priority="2">
      <colorScale>
        <cfvo type="min"/>
        <cfvo type="percentile" val="50"/>
        <cfvo type="max"/>
        <color rgb="FFF8696B"/>
        <color rgb="FFFCFCFF"/>
        <color rgb="FF5A8AC6"/>
      </colorScale>
    </cfRule>
  </conditionalFormatting>
  <conditionalFormatting sqref="F2:F242">
    <cfRule type="colorScale" priority="1">
      <colorScale>
        <cfvo type="min"/>
        <cfvo type="percentile" val="50"/>
        <cfvo type="max"/>
        <color rgb="FFF8696B"/>
        <color rgb="FFFFEB84"/>
        <color rgb="FF63BE7B"/>
      </colorScale>
    </cfRule>
  </conditionalFormatting>
  <hyperlinks>
    <hyperlink ref="R30" r:id="rId1" xr:uid="{C9FC5275-FD89-9940-AF90-5BFA7B53FE07}"/>
    <hyperlink ref="R29" r:id="rId2" xr:uid="{B9A51E11-1601-E24F-9CAA-AB9C6E1263B9}"/>
  </hyperlinks>
  <pageMargins left="0.7" right="0.7" top="0.75" bottom="0.75" header="0.3" footer="0.3"/>
  <drawing r:id="rId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5579E-884B-BF41-8CE9-EDB8ABA079A7}">
  <sheetPr>
    <tabColor theme="1" tint="0.14999847407452621"/>
  </sheetPr>
  <dimension ref="A1:AF140"/>
  <sheetViews>
    <sheetView showGridLines="0" topLeftCell="O1" zoomScale="58" zoomScaleNormal="58" workbookViewId="0">
      <pane ySplit="1" topLeftCell="A2" activePane="bottomLeft" state="frozen"/>
      <selection activeCell="H24" sqref="H24"/>
      <selection pane="bottomLeft" activeCell="H24" sqref="H24"/>
    </sheetView>
  </sheetViews>
  <sheetFormatPr baseColWidth="10" defaultRowHeight="16" outlineLevelCol="1"/>
  <cols>
    <col min="2" max="2" width="26.5703125" customWidth="1"/>
    <col min="3" max="3" width="12.85546875" customWidth="1"/>
    <col min="4" max="4" width="18.42578125" hidden="1" customWidth="1" outlineLevel="1"/>
    <col min="5" max="5" width="16.42578125" hidden="1" customWidth="1" outlineLevel="1"/>
    <col min="6" max="6" width="14.5703125" customWidth="1" collapsed="1"/>
    <col min="7" max="8" width="29" customWidth="1"/>
    <col min="9" max="10" width="32.7109375" customWidth="1"/>
    <col min="11" max="11" width="34.7109375" customWidth="1"/>
    <col min="12" max="12" width="28.5703125" customWidth="1"/>
    <col min="13" max="13" width="43.28515625" customWidth="1"/>
    <col min="14" max="14" width="27.28515625" customWidth="1"/>
    <col min="15" max="15" width="16" customWidth="1"/>
    <col min="16" max="16" width="17.28515625" customWidth="1"/>
    <col min="17" max="17" width="16.7109375" customWidth="1"/>
    <col min="18" max="18" width="17.42578125" customWidth="1"/>
    <col min="19" max="19" width="12.28515625" customWidth="1"/>
    <col min="20" max="20" width="16.7109375" customWidth="1"/>
    <col min="21" max="21" width="18.28515625" customWidth="1"/>
    <col min="22" max="22" width="19" customWidth="1"/>
    <col min="23" max="23" width="8.28515625" customWidth="1"/>
    <col min="24" max="24" width="28.42578125" customWidth="1"/>
    <col min="25" max="25" width="12.7109375" customWidth="1"/>
    <col min="30" max="30" width="28.42578125" customWidth="1"/>
    <col min="31" max="31" width="10.85546875" customWidth="1"/>
  </cols>
  <sheetData>
    <row r="1" spans="1:26" ht="17" thickBot="1">
      <c r="A1" s="94"/>
      <c r="B1" s="95" t="s">
        <v>17</v>
      </c>
      <c r="C1" s="95" t="s">
        <v>18</v>
      </c>
      <c r="D1" s="95" t="s">
        <v>19</v>
      </c>
      <c r="E1" s="95" t="s">
        <v>20</v>
      </c>
      <c r="F1" s="95" t="s">
        <v>21</v>
      </c>
      <c r="G1" s="95" t="s">
        <v>22</v>
      </c>
      <c r="H1" s="95" t="s">
        <v>23</v>
      </c>
      <c r="I1" s="95" t="s">
        <v>24</v>
      </c>
      <c r="J1" s="95" t="s">
        <v>25</v>
      </c>
      <c r="K1" s="95" t="s">
        <v>26</v>
      </c>
      <c r="L1" s="96" t="s">
        <v>27</v>
      </c>
      <c r="M1" s="96" t="s">
        <v>28</v>
      </c>
      <c r="N1" s="97" t="s">
        <v>29</v>
      </c>
      <c r="O1" s="97" t="s">
        <v>30</v>
      </c>
      <c r="P1" s="98" t="s">
        <v>31</v>
      </c>
      <c r="R1" s="99"/>
      <c r="S1" s="99" t="s">
        <v>32</v>
      </c>
      <c r="T1" s="99" t="s">
        <v>33</v>
      </c>
      <c r="U1" s="99" t="s">
        <v>34</v>
      </c>
      <c r="V1" s="99" t="s">
        <v>35</v>
      </c>
      <c r="W1" s="99" t="s">
        <v>36</v>
      </c>
      <c r="X1" s="99" t="s">
        <v>37</v>
      </c>
    </row>
    <row r="2" spans="1:26">
      <c r="A2" s="100"/>
      <c r="B2" s="101" cm="1">
        <f t="array" ref="B2:B64">'Données MONIA BKAM'!D2:D64</f>
        <v>43832</v>
      </c>
      <c r="C2" s="108" cm="1">
        <f t="array" ref="C2:C64">'Données MONIA BKAM'!A2:A64</f>
        <v>2.223E-2</v>
      </c>
      <c r="D2" s="108">
        <f t="shared" ref="D2:D22" si="0">C2-$T$7</f>
        <v>9.9913622186645346E-4</v>
      </c>
      <c r="E2" s="108">
        <f>(C2-$T$2)</f>
        <v>2.6550721609511219E-4</v>
      </c>
      <c r="F2" s="116">
        <f>'Données MONIA BKAM'!D2-'Données MONIA BKAM'!C2</f>
        <v>2</v>
      </c>
      <c r="G2" s="117">
        <f>(1+C2/360*(B2-'Données MONIA BKAM'!C2))</f>
        <v>1.0001234999999999</v>
      </c>
      <c r="H2" s="117">
        <v>1</v>
      </c>
      <c r="I2" s="118">
        <f t="shared" ref="I2:I64" si="1">C2*F2/360</f>
        <v>1.2349999999999999E-4</v>
      </c>
      <c r="J2" s="119">
        <v>10000</v>
      </c>
      <c r="K2" s="120">
        <v>150000000</v>
      </c>
      <c r="L2" s="121">
        <f t="shared" ref="L2:L64" si="2">K2+(I2*N2)</f>
        <v>150018527.28783751</v>
      </c>
      <c r="M2" s="121">
        <f t="shared" ref="M2:M64" si="3">I2*L2</f>
        <v>18527.288120047931</v>
      </c>
      <c r="N2" s="122">
        <f t="shared" ref="N2:N64" si="4">K2+(I2*K2)</f>
        <v>150018525</v>
      </c>
      <c r="O2" s="123">
        <f t="shared" ref="O2:O64" si="5">I2*K2</f>
        <v>18525</v>
      </c>
      <c r="P2" s="124">
        <f>M2-O2</f>
        <v>2.288120047931443</v>
      </c>
      <c r="R2" s="125" t="s">
        <v>38</v>
      </c>
      <c r="S2" s="126">
        <v>43831</v>
      </c>
      <c r="T2" s="127">
        <f>C66</f>
        <v>2.1964492783904888E-2</v>
      </c>
      <c r="U2" s="127">
        <f>C70</f>
        <v>2.1945666666666662E-2</v>
      </c>
      <c r="V2" s="128">
        <f>AVERAGE(C2:C22)</f>
        <v>2.1922857142857143E-2</v>
      </c>
      <c r="W2" s="128">
        <f>T2-U2</f>
        <v>1.8826117238225637E-5</v>
      </c>
      <c r="X2" s="129">
        <f>K66-K70</f>
        <v>-9331.8016531765461</v>
      </c>
    </row>
    <row r="3" spans="1:26">
      <c r="A3" s="100"/>
      <c r="B3" s="101">
        <v>43833</v>
      </c>
      <c r="C3" s="108">
        <v>2.197E-2</v>
      </c>
      <c r="D3" s="108">
        <f t="shared" si="0"/>
        <v>7.3913622186645364E-4</v>
      </c>
      <c r="E3" s="108">
        <f t="shared" ref="E3:E21" si="6">C3-$T$2</f>
        <v>5.5072160951123716E-6</v>
      </c>
      <c r="F3" s="116">
        <f>'Données MONIA BKAM'!D3-'Données MONIA BKAM'!C3</f>
        <v>1</v>
      </c>
      <c r="G3" s="117">
        <f>(1+C3/360*(B3-'Données MONIA BKAM'!C3))</f>
        <v>1.0000610277777777</v>
      </c>
      <c r="H3" s="117">
        <f>(1+C2*F2/360)</f>
        <v>1.0001234999999999</v>
      </c>
      <c r="I3" s="118">
        <f t="shared" si="1"/>
        <v>6.1027777777777781E-5</v>
      </c>
      <c r="J3" s="119">
        <f>(I3*J2)+J2</f>
        <v>10000.610277777778</v>
      </c>
      <c r="K3" s="120">
        <v>150000000</v>
      </c>
      <c r="L3" s="121">
        <f t="shared" si="2"/>
        <v>150009154.72532511</v>
      </c>
      <c r="M3" s="121">
        <f t="shared" si="3"/>
        <v>9154.7253592094239</v>
      </c>
      <c r="N3" s="122">
        <f t="shared" si="4"/>
        <v>150009154.16666666</v>
      </c>
      <c r="O3" s="123">
        <f t="shared" si="5"/>
        <v>9154.1666666666679</v>
      </c>
      <c r="P3" s="124">
        <f t="shared" ref="P3:P64" si="7">M3-O3</f>
        <v>0.55869254275603453</v>
      </c>
      <c r="R3" s="125" t="s">
        <v>39</v>
      </c>
      <c r="S3" s="126">
        <v>43863</v>
      </c>
      <c r="T3" s="127">
        <f>C67</f>
        <v>2.1967757610428598E-2</v>
      </c>
      <c r="U3" s="127">
        <f>C71</f>
        <v>2.1927580645161288E-2</v>
      </c>
      <c r="V3" s="128">
        <f>AVERAGE(C2:C44)</f>
        <v>2.1900000000000006E-2</v>
      </c>
      <c r="W3" s="128">
        <f>T3-U3</f>
        <v>4.0176965267309933E-5</v>
      </c>
      <c r="X3" s="129">
        <f>K67-K71</f>
        <v>-9297.2334167957306</v>
      </c>
      <c r="Y3" s="100"/>
    </row>
    <row r="4" spans="1:26" ht="17" thickBot="1">
      <c r="A4" s="100"/>
      <c r="B4" s="101">
        <v>43836</v>
      </c>
      <c r="C4" s="108">
        <v>2.1829999999999999E-2</v>
      </c>
      <c r="D4" s="108">
        <f t="shared" si="0"/>
        <v>5.9913622186645241E-4</v>
      </c>
      <c r="E4" s="108">
        <f t="shared" si="6"/>
        <v>-1.3449278390488886E-4</v>
      </c>
      <c r="F4" s="116">
        <f>'Données MONIA BKAM'!D4-'Données MONIA BKAM'!C4</f>
        <v>3</v>
      </c>
      <c r="G4" s="117">
        <f>(1+C4/360*(B4-'Données MONIA BKAM'!C4))</f>
        <v>1.0001819166666666</v>
      </c>
      <c r="H4" s="117">
        <f>(1+C4*F4/360)*H3</f>
        <v>1.0003054391333748</v>
      </c>
      <c r="I4" s="118">
        <f t="shared" si="1"/>
        <v>1.8191666666666665E-4</v>
      </c>
      <c r="J4" s="119">
        <f>(I4*J3)+J3</f>
        <v>10002.429555464143</v>
      </c>
      <c r="K4" s="120">
        <v>150000000</v>
      </c>
      <c r="L4" s="121">
        <f t="shared" si="2"/>
        <v>150027292.46405104</v>
      </c>
      <c r="M4" s="121">
        <f t="shared" si="3"/>
        <v>27292.464954085284</v>
      </c>
      <c r="N4" s="122">
        <f t="shared" si="4"/>
        <v>150027287.5</v>
      </c>
      <c r="O4" s="123">
        <f t="shared" si="5"/>
        <v>27287.499999999996</v>
      </c>
      <c r="P4" s="124">
        <f t="shared" si="7"/>
        <v>4.9649540852878999</v>
      </c>
      <c r="R4" s="130" t="s">
        <v>40</v>
      </c>
      <c r="S4" s="131">
        <v>43920</v>
      </c>
      <c r="T4" s="132">
        <f>C68</f>
        <v>2.1708018303499443E-2</v>
      </c>
      <c r="U4" s="132">
        <f>C72</f>
        <v>2.1650555555555548E-2</v>
      </c>
      <c r="V4" s="133">
        <f>AVERAGE(_xlfn.ANCHORARRAY(C2))</f>
        <v>2.1664444444444448E-2</v>
      </c>
      <c r="W4" s="133">
        <f>T4-U4</f>
        <v>5.7462747943895498E-5</v>
      </c>
      <c r="X4" s="134">
        <f>K68-K72</f>
        <v>-9270.8305507302284</v>
      </c>
      <c r="Y4" s="100"/>
    </row>
    <row r="5" spans="1:26">
      <c r="A5" s="100"/>
      <c r="B5" s="101">
        <v>43837</v>
      </c>
      <c r="C5" s="108">
        <v>2.1930000000000002E-2</v>
      </c>
      <c r="D5" s="108">
        <f t="shared" si="0"/>
        <v>6.9913622186645527E-4</v>
      </c>
      <c r="E5" s="108">
        <f t="shared" si="6"/>
        <v>-3.4492783904885999E-5</v>
      </c>
      <c r="F5" s="116">
        <f>'Données MONIA BKAM'!D5-'Données MONIA BKAM'!C5</f>
        <v>1</v>
      </c>
      <c r="G5" s="117">
        <f>(1+C5/360*(B5-'Données MONIA BKAM'!C5))</f>
        <v>1.0000609166666667</v>
      </c>
      <c r="H5" s="117">
        <f t="shared" ref="H5:H63" si="8">(1+C5*F5/360)*H4</f>
        <v>1.0003663744063753</v>
      </c>
      <c r="I5" s="118">
        <f t="shared" si="1"/>
        <v>6.0916666666666672E-5</v>
      </c>
      <c r="J5" s="119">
        <f t="shared" ref="J5:J64" si="9">(I5*J4)+J4</f>
        <v>10003.038870131229</v>
      </c>
      <c r="K5" s="120">
        <v>150000000</v>
      </c>
      <c r="L5" s="121">
        <f t="shared" si="2"/>
        <v>150009138.05662605</v>
      </c>
      <c r="M5" s="121">
        <f t="shared" si="3"/>
        <v>9138.0566599494705</v>
      </c>
      <c r="N5" s="122">
        <f t="shared" si="4"/>
        <v>150009137.5</v>
      </c>
      <c r="O5" s="123">
        <f t="shared" si="5"/>
        <v>9137.5</v>
      </c>
      <c r="P5" s="124">
        <f t="shared" si="7"/>
        <v>0.55665994947048603</v>
      </c>
      <c r="Q5" s="100"/>
      <c r="R5" s="100"/>
      <c r="S5" s="100"/>
      <c r="T5" s="100"/>
      <c r="U5" s="100"/>
      <c r="V5" s="100"/>
      <c r="W5" s="100"/>
      <c r="X5" s="100"/>
      <c r="Y5" s="100"/>
    </row>
    <row r="6" spans="1:26" ht="17" thickBot="1">
      <c r="A6" s="100"/>
      <c r="B6" s="101">
        <v>43838</v>
      </c>
      <c r="C6" s="108">
        <v>2.172E-2</v>
      </c>
      <c r="D6" s="108">
        <f t="shared" si="0"/>
        <v>4.8913622186645342E-4</v>
      </c>
      <c r="E6" s="108">
        <f t="shared" si="6"/>
        <v>-2.4449278390488785E-4</v>
      </c>
      <c r="F6" s="116">
        <f>'Données MONIA BKAM'!D6-'Données MONIA BKAM'!C6</f>
        <v>1</v>
      </c>
      <c r="G6" s="117">
        <f>(1+C6/360*(B6-'Données MONIA BKAM'!C6))</f>
        <v>1.0000603333333333</v>
      </c>
      <c r="H6" s="117">
        <f t="shared" si="8"/>
        <v>1.0004267298442979</v>
      </c>
      <c r="I6" s="118">
        <f t="shared" si="1"/>
        <v>6.0333333333333334E-5</v>
      </c>
      <c r="J6" s="119">
        <f t="shared" si="9"/>
        <v>10003.642386809728</v>
      </c>
      <c r="K6" s="120">
        <v>150000000</v>
      </c>
      <c r="L6" s="121">
        <f t="shared" si="2"/>
        <v>150009050.54601666</v>
      </c>
      <c r="M6" s="121">
        <f t="shared" si="3"/>
        <v>9050.546049609673</v>
      </c>
      <c r="N6" s="122">
        <f t="shared" si="4"/>
        <v>150009050</v>
      </c>
      <c r="O6" s="123">
        <f t="shared" si="5"/>
        <v>9050</v>
      </c>
      <c r="P6" s="124">
        <f t="shared" si="7"/>
        <v>0.54604960967299121</v>
      </c>
      <c r="R6" s="94"/>
      <c r="S6" s="99" t="s">
        <v>32</v>
      </c>
      <c r="T6" s="99" t="s">
        <v>33</v>
      </c>
      <c r="U6" s="100"/>
      <c r="V6" s="100"/>
      <c r="W6" s="100"/>
      <c r="X6" s="100"/>
      <c r="Y6" s="100"/>
    </row>
    <row r="7" spans="1:26">
      <c r="A7" s="100"/>
      <c r="B7" s="101">
        <v>43839</v>
      </c>
      <c r="C7" s="108">
        <v>2.1760000000000002E-2</v>
      </c>
      <c r="D7" s="108">
        <f t="shared" si="0"/>
        <v>5.2913622186645526E-4</v>
      </c>
      <c r="E7" s="108">
        <f t="shared" si="6"/>
        <v>-2.0449278390488601E-4</v>
      </c>
      <c r="F7" s="116">
        <f>'Données MONIA BKAM'!D7-'Données MONIA BKAM'!C7</f>
        <v>1</v>
      </c>
      <c r="G7" s="117">
        <f>(1+C7/360*(B7-'Données MONIA BKAM'!C7))</f>
        <v>1.0000604444444445</v>
      </c>
      <c r="H7" s="117">
        <f t="shared" si="8"/>
        <v>1.0004872000821907</v>
      </c>
      <c r="I7" s="118">
        <f t="shared" si="1"/>
        <v>6.0444444444444449E-5</v>
      </c>
      <c r="J7" s="119">
        <f t="shared" si="9"/>
        <v>10004.24705141622</v>
      </c>
      <c r="K7" s="120">
        <v>150000000</v>
      </c>
      <c r="L7" s="121">
        <f t="shared" si="2"/>
        <v>150009067.21469629</v>
      </c>
      <c r="M7" s="121">
        <f t="shared" si="3"/>
        <v>9067.2147294216429</v>
      </c>
      <c r="N7" s="122">
        <f t="shared" si="4"/>
        <v>150009066.66666666</v>
      </c>
      <c r="O7" s="123">
        <f t="shared" si="5"/>
        <v>9066.6666666666679</v>
      </c>
      <c r="P7" s="124">
        <f t="shared" si="7"/>
        <v>0.5480627549750352</v>
      </c>
      <c r="R7" s="125" t="s">
        <v>38</v>
      </c>
      <c r="S7" s="126">
        <v>43831</v>
      </c>
      <c r="T7" s="127">
        <f>((H22/H2)-1)*(360/F66)</f>
        <v>2.1230863778133546E-2</v>
      </c>
      <c r="U7" s="100"/>
      <c r="V7" s="100"/>
      <c r="W7" s="100"/>
      <c r="X7" s="100"/>
      <c r="Y7" s="100"/>
    </row>
    <row r="8" spans="1:26">
      <c r="A8" s="100"/>
      <c r="B8" s="101">
        <v>43840</v>
      </c>
      <c r="C8" s="108">
        <v>2.172E-2</v>
      </c>
      <c r="D8" s="108">
        <f t="shared" si="0"/>
        <v>4.8913622186645342E-4</v>
      </c>
      <c r="E8" s="108">
        <f t="shared" si="6"/>
        <v>-2.4449278390488785E-4</v>
      </c>
      <c r="F8" s="116">
        <f>'Données MONIA BKAM'!D8-'Données MONIA BKAM'!C8</f>
        <v>1</v>
      </c>
      <c r="G8" s="117">
        <f>(1+C8/360*(B8-'Données MONIA BKAM'!C8))</f>
        <v>1.0000603333333333</v>
      </c>
      <c r="H8" s="117">
        <f t="shared" si="8"/>
        <v>1.000547562809929</v>
      </c>
      <c r="I8" s="118">
        <f t="shared" si="1"/>
        <v>6.0333333333333334E-5</v>
      </c>
      <c r="J8" s="119">
        <f t="shared" si="9"/>
        <v>10004.850640988321</v>
      </c>
      <c r="K8" s="120">
        <v>150000000</v>
      </c>
      <c r="L8" s="121">
        <f t="shared" si="2"/>
        <v>150009050.54601666</v>
      </c>
      <c r="M8" s="121">
        <f t="shared" si="3"/>
        <v>9050.546049609673</v>
      </c>
      <c r="N8" s="122">
        <f t="shared" si="4"/>
        <v>150009050</v>
      </c>
      <c r="O8" s="123">
        <f t="shared" si="5"/>
        <v>9050</v>
      </c>
      <c r="P8" s="124">
        <f t="shared" si="7"/>
        <v>0.54604960967299121</v>
      </c>
      <c r="R8" s="125" t="s">
        <v>39</v>
      </c>
      <c r="S8" s="126">
        <v>43863</v>
      </c>
      <c r="T8" s="127">
        <f>(((H44/H2)-1)*(360/F67))</f>
        <v>-5.806451612903226</v>
      </c>
      <c r="U8" s="100"/>
      <c r="V8" s="100"/>
      <c r="W8" s="100"/>
      <c r="X8" s="100"/>
      <c r="Y8" s="100"/>
    </row>
    <row r="9" spans="1:26" ht="17" thickBot="1">
      <c r="A9" s="100"/>
      <c r="B9" s="101">
        <v>43843</v>
      </c>
      <c r="C9" s="108">
        <v>2.18E-2</v>
      </c>
      <c r="D9" s="108">
        <f t="shared" si="0"/>
        <v>5.6913622186645363E-4</v>
      </c>
      <c r="E9" s="108">
        <f t="shared" si="6"/>
        <v>-1.6449278390488764E-4</v>
      </c>
      <c r="F9" s="116">
        <f>'Données MONIA BKAM'!D9-'Données MONIA BKAM'!C9</f>
        <v>3</v>
      </c>
      <c r="G9" s="117">
        <f>(1+C9/360*(B9-'Données MONIA BKAM'!C9))</f>
        <v>1.0001816666666667</v>
      </c>
      <c r="H9" s="117">
        <f t="shared" si="8"/>
        <v>1.0007293289505061</v>
      </c>
      <c r="I9" s="118">
        <f t="shared" si="1"/>
        <v>1.8166666666666667E-4</v>
      </c>
      <c r="J9" s="119">
        <f t="shared" si="9"/>
        <v>10006.668188854768</v>
      </c>
      <c r="K9" s="120">
        <v>150000000</v>
      </c>
      <c r="L9" s="121">
        <f t="shared" si="2"/>
        <v>150027254.95041665</v>
      </c>
      <c r="M9" s="121">
        <f t="shared" si="3"/>
        <v>27254.951315992359</v>
      </c>
      <c r="N9" s="122">
        <f t="shared" si="4"/>
        <v>150027250</v>
      </c>
      <c r="O9" s="123">
        <f t="shared" si="5"/>
        <v>27250</v>
      </c>
      <c r="P9" s="124">
        <f t="shared" si="7"/>
        <v>4.9513159923590138</v>
      </c>
      <c r="R9" s="130" t="s">
        <v>40</v>
      </c>
      <c r="S9" s="131">
        <v>43920</v>
      </c>
      <c r="T9" s="132">
        <f>(((H64/H2)-1)*(360/F68))</f>
        <v>-4</v>
      </c>
      <c r="U9" s="100"/>
      <c r="V9" s="100"/>
      <c r="W9" s="100"/>
      <c r="X9" s="100"/>
      <c r="Y9" s="100"/>
    </row>
    <row r="10" spans="1:26">
      <c r="A10" s="100"/>
      <c r="B10" s="101">
        <v>43844</v>
      </c>
      <c r="C10" s="108">
        <v>2.1999999999999999E-2</v>
      </c>
      <c r="D10" s="108">
        <f t="shared" si="0"/>
        <v>7.6913622186645242E-4</v>
      </c>
      <c r="E10" s="108">
        <f t="shared" si="6"/>
        <v>3.5507216095111149E-5</v>
      </c>
      <c r="F10" s="116">
        <f>'Données MONIA BKAM'!D10-'Données MONIA BKAM'!C10</f>
        <v>1</v>
      </c>
      <c r="G10" s="117">
        <f>(1+C10/360*(B10-'Données MONIA BKAM'!C10))</f>
        <v>1.0000611111111111</v>
      </c>
      <c r="H10" s="117">
        <f t="shared" si="8"/>
        <v>1.0007904846317197</v>
      </c>
      <c r="I10" s="118">
        <f t="shared" si="1"/>
        <v>6.1111111111111107E-5</v>
      </c>
      <c r="J10" s="119">
        <f t="shared" si="9"/>
        <v>10007.279707466309</v>
      </c>
      <c r="K10" s="120">
        <v>150000000</v>
      </c>
      <c r="L10" s="121">
        <f t="shared" si="2"/>
        <v>150009167.22685185</v>
      </c>
      <c r="M10" s="121">
        <f t="shared" si="3"/>
        <v>9167.226886085391</v>
      </c>
      <c r="N10" s="122">
        <f t="shared" si="4"/>
        <v>150009166.66666666</v>
      </c>
      <c r="O10" s="123">
        <f t="shared" si="5"/>
        <v>9166.6666666666661</v>
      </c>
      <c r="P10" s="124">
        <f t="shared" si="7"/>
        <v>0.56021941872495518</v>
      </c>
      <c r="Q10" s="100"/>
      <c r="R10" s="100"/>
      <c r="S10" s="100"/>
      <c r="T10" s="100"/>
      <c r="U10" s="100"/>
      <c r="V10" s="100"/>
      <c r="W10" s="100"/>
      <c r="X10" s="100"/>
      <c r="Y10" s="100"/>
    </row>
    <row r="11" spans="1:26">
      <c r="A11" s="100"/>
      <c r="B11" s="101">
        <v>43845</v>
      </c>
      <c r="C11" s="108">
        <v>2.1760000000000002E-2</v>
      </c>
      <c r="D11" s="108">
        <f t="shared" si="0"/>
        <v>5.2913622186645526E-4</v>
      </c>
      <c r="E11" s="108">
        <f t="shared" si="6"/>
        <v>-2.0449278390488601E-4</v>
      </c>
      <c r="F11" s="116">
        <f>'Données MONIA BKAM'!D11-'Données MONIA BKAM'!C11</f>
        <v>1</v>
      </c>
      <c r="G11" s="117">
        <f>(1+C11/360*(B11-'Données MONIA BKAM'!C11))</f>
        <v>1.0000604444444445</v>
      </c>
      <c r="H11" s="117">
        <f t="shared" si="8"/>
        <v>1.0008509768565685</v>
      </c>
      <c r="I11" s="118">
        <f t="shared" si="1"/>
        <v>6.0444444444444449E-5</v>
      </c>
      <c r="J11" s="119">
        <f t="shared" si="9"/>
        <v>10007.884591928627</v>
      </c>
      <c r="K11" s="120">
        <v>150000000</v>
      </c>
      <c r="L11" s="121">
        <f t="shared" si="2"/>
        <v>150009067.21469629</v>
      </c>
      <c r="M11" s="121">
        <f t="shared" si="3"/>
        <v>9067.2147294216429</v>
      </c>
      <c r="N11" s="122">
        <f t="shared" si="4"/>
        <v>150009066.66666666</v>
      </c>
      <c r="O11" s="123">
        <f t="shared" si="5"/>
        <v>9066.6666666666679</v>
      </c>
      <c r="P11" s="124">
        <f t="shared" si="7"/>
        <v>0.5480627549750352</v>
      </c>
      <c r="Q11" s="100"/>
      <c r="R11" s="100"/>
      <c r="S11" s="100"/>
      <c r="T11" s="100"/>
      <c r="U11" s="100"/>
      <c r="V11" s="100"/>
      <c r="W11" s="100"/>
      <c r="X11" s="100"/>
      <c r="Y11" s="100"/>
    </row>
    <row r="12" spans="1:26" ht="18">
      <c r="A12" s="100"/>
      <c r="B12" s="101">
        <v>43846</v>
      </c>
      <c r="C12" s="108">
        <v>2.164E-2</v>
      </c>
      <c r="D12" s="108">
        <f t="shared" si="0"/>
        <v>4.0913622186645321E-4</v>
      </c>
      <c r="E12" s="108">
        <f t="shared" si="6"/>
        <v>-3.2449278390488806E-4</v>
      </c>
      <c r="F12" s="116">
        <f>'Données MONIA BKAM'!D12-'Données MONIA BKAM'!C12</f>
        <v>1</v>
      </c>
      <c r="G12" s="117">
        <f>(1+C12/360*(B12-'Données MONIA BKAM'!C12))</f>
        <v>1.0000601111111111</v>
      </c>
      <c r="H12" s="117">
        <f t="shared" si="8"/>
        <v>1.0009111391208441</v>
      </c>
      <c r="I12" s="118">
        <f t="shared" si="1"/>
        <v>6.011111111111111E-5</v>
      </c>
      <c r="J12" s="119">
        <f t="shared" si="9"/>
        <v>10008.486176991319</v>
      </c>
      <c r="K12" s="120">
        <v>150000000</v>
      </c>
      <c r="L12" s="121">
        <f t="shared" si="2"/>
        <v>150009017.20866853</v>
      </c>
      <c r="M12" s="121">
        <f t="shared" si="3"/>
        <v>9017.2087010988525</v>
      </c>
      <c r="N12" s="122">
        <f t="shared" si="4"/>
        <v>150009016.66666666</v>
      </c>
      <c r="O12" s="123">
        <f t="shared" si="5"/>
        <v>9016.6666666666661</v>
      </c>
      <c r="P12" s="124">
        <f t="shared" si="7"/>
        <v>0.54203443218648317</v>
      </c>
      <c r="R12" s="100"/>
      <c r="S12" s="135" t="s">
        <v>41</v>
      </c>
      <c r="T12" s="136" t="s">
        <v>42</v>
      </c>
      <c r="U12" s="136" t="s">
        <v>43</v>
      </c>
      <c r="V12" s="135" t="s">
        <v>15</v>
      </c>
      <c r="W12" s="137"/>
      <c r="Y12" s="138" t="s">
        <v>44</v>
      </c>
      <c r="Z12" s="139">
        <v>9.2912861051049483E-3</v>
      </c>
    </row>
    <row r="13" spans="1:26" ht="18">
      <c r="A13" s="100"/>
      <c r="B13" s="101">
        <v>43847</v>
      </c>
      <c r="C13" s="108">
        <v>2.1610000000000001E-2</v>
      </c>
      <c r="D13" s="108">
        <f t="shared" si="0"/>
        <v>3.7913622186645443E-4</v>
      </c>
      <c r="E13" s="108">
        <f t="shared" si="6"/>
        <v>-3.5449278390488684E-4</v>
      </c>
      <c r="F13" s="116">
        <f>'Données MONIA BKAM'!D13-'Données MONIA BKAM'!C13</f>
        <v>1</v>
      </c>
      <c r="G13" s="117">
        <f>(1+C13/360*(B13-'Données MONIA BKAM'!C13))</f>
        <v>1.0000600277777778</v>
      </c>
      <c r="H13" s="117">
        <f t="shared" si="8"/>
        <v>1.0009712215922786</v>
      </c>
      <c r="I13" s="118">
        <f t="shared" si="1"/>
        <v>6.0027777777777777E-5</v>
      </c>
      <c r="J13" s="119">
        <f t="shared" si="9"/>
        <v>10009.086964175443</v>
      </c>
      <c r="K13" s="120">
        <v>150000000</v>
      </c>
      <c r="L13" s="121">
        <f t="shared" si="2"/>
        <v>150009004.70716679</v>
      </c>
      <c r="M13" s="121">
        <f t="shared" si="3"/>
        <v>9004.7071992274286</v>
      </c>
      <c r="N13" s="122">
        <f t="shared" si="4"/>
        <v>150009004.16666666</v>
      </c>
      <c r="O13" s="123">
        <f t="shared" si="5"/>
        <v>9004.1666666666661</v>
      </c>
      <c r="P13" s="124">
        <f t="shared" si="7"/>
        <v>0.54053256076258549</v>
      </c>
      <c r="R13" s="100" t="s">
        <v>45</v>
      </c>
      <c r="S13" s="116">
        <v>2.5000000000000001E-2</v>
      </c>
      <c r="T13" s="140"/>
      <c r="U13" s="141">
        <f t="shared" ref="U13:U23" si="10">($Z$12)+($Z$13*((1-EXP(-S13/$Z$16))/(S13/$Z$16)))+($Z$14*((((1-EXP(-S13/$Z$16))/(S13/$Z$16)))-(EXP(-S13/$Z$16))))+($Z$15*((((1-EXP(-S13/$Z$17))/(S13/$Z$17)))-(EXP(-S13/$Z$17))))</f>
        <v>2.1966785675502809E-2</v>
      </c>
      <c r="V13" s="137" t="str">
        <f t="shared" ref="V13:V21" si="11">IF(T13&gt;0,POWER(T13-U13,2),"")</f>
        <v/>
      </c>
      <c r="W13" s="137"/>
      <c r="Y13" s="138" t="s">
        <v>46</v>
      </c>
      <c r="Z13" s="139">
        <v>1.2661544241343947E-2</v>
      </c>
    </row>
    <row r="14" spans="1:26" ht="18">
      <c r="A14" s="100"/>
      <c r="B14" s="101">
        <v>43850</v>
      </c>
      <c r="C14" s="108">
        <v>2.1999999999999999E-2</v>
      </c>
      <c r="D14" s="108">
        <f t="shared" si="0"/>
        <v>7.6913622186645242E-4</v>
      </c>
      <c r="E14" s="108">
        <f t="shared" si="6"/>
        <v>3.5507216095111149E-5</v>
      </c>
      <c r="F14" s="116">
        <f>'Données MONIA BKAM'!D14-'Données MONIA BKAM'!C14</f>
        <v>3</v>
      </c>
      <c r="G14" s="117">
        <f>(1+C14/360*(B14-'Données MONIA BKAM'!C14))</f>
        <v>1.0001833333333334</v>
      </c>
      <c r="H14" s="117">
        <f t="shared" si="8"/>
        <v>1.001154732982904</v>
      </c>
      <c r="I14" s="118">
        <f t="shared" si="1"/>
        <v>1.8333333333333334E-4</v>
      </c>
      <c r="J14" s="119">
        <f t="shared" si="9"/>
        <v>10010.921963452209</v>
      </c>
      <c r="K14" s="120">
        <v>150000000</v>
      </c>
      <c r="L14" s="121">
        <f t="shared" si="2"/>
        <v>150027505.04166666</v>
      </c>
      <c r="M14" s="121">
        <f t="shared" si="3"/>
        <v>27505.042590972222</v>
      </c>
      <c r="N14" s="122">
        <f t="shared" si="4"/>
        <v>150027500</v>
      </c>
      <c r="O14" s="123">
        <f t="shared" si="5"/>
        <v>27500</v>
      </c>
      <c r="P14" s="124">
        <f t="shared" si="7"/>
        <v>5.0425909722216602</v>
      </c>
      <c r="R14" s="100" t="s">
        <v>47</v>
      </c>
      <c r="S14" s="142">
        <v>0.1</v>
      </c>
      <c r="T14" s="143">
        <v>2.1964492783904888E-2</v>
      </c>
      <c r="U14" s="141">
        <f t="shared" si="10"/>
        <v>2.1990822368485968E-2</v>
      </c>
      <c r="V14" s="137">
        <f t="shared" si="11"/>
        <v>6.9324702421224606E-10</v>
      </c>
      <c r="W14" s="137"/>
      <c r="Y14" s="138" t="s">
        <v>48</v>
      </c>
      <c r="Z14" s="139">
        <v>6.9514413674830709E-3</v>
      </c>
    </row>
    <row r="15" spans="1:26" ht="18">
      <c r="A15" s="100"/>
      <c r="B15" s="101">
        <v>43851</v>
      </c>
      <c r="C15" s="108">
        <v>2.1770000000000001E-2</v>
      </c>
      <c r="D15" s="108">
        <f t="shared" si="0"/>
        <v>5.3913622186645485E-4</v>
      </c>
      <c r="E15" s="108">
        <f t="shared" si="6"/>
        <v>-1.9449278390488642E-4</v>
      </c>
      <c r="F15" s="116">
        <f>'Données MONIA BKAM'!D15-'Données MONIA BKAM'!C15</f>
        <v>1</v>
      </c>
      <c r="G15" s="117">
        <f>(1+C15/360*(B15-'Données MONIA BKAM'!C15))</f>
        <v>1.0000604722222222</v>
      </c>
      <c r="H15" s="117">
        <f t="shared" si="8"/>
        <v>1.0012152750343957</v>
      </c>
      <c r="I15" s="118">
        <f t="shared" si="1"/>
        <v>6.0472222222222225E-5</v>
      </c>
      <c r="J15" s="119">
        <f t="shared" si="9"/>
        <v>10011.527346149833</v>
      </c>
      <c r="K15" s="120">
        <v>150000000</v>
      </c>
      <c r="L15" s="121">
        <f t="shared" si="2"/>
        <v>150009071.38186678</v>
      </c>
      <c r="M15" s="121">
        <f t="shared" si="3"/>
        <v>9071.3818999534451</v>
      </c>
      <c r="N15" s="122">
        <f t="shared" si="4"/>
        <v>150009070.83333334</v>
      </c>
      <c r="O15" s="123">
        <f t="shared" si="5"/>
        <v>9070.8333333333339</v>
      </c>
      <c r="P15" s="124">
        <f t="shared" si="7"/>
        <v>0.54856662011115986</v>
      </c>
      <c r="R15" s="100" t="s">
        <v>49</v>
      </c>
      <c r="S15" s="116">
        <v>0.2</v>
      </c>
      <c r="T15" s="143">
        <v>2.1967757610428598E-2</v>
      </c>
      <c r="U15" s="141">
        <f t="shared" si="10"/>
        <v>2.1985119116779275E-2</v>
      </c>
      <c r="V15" s="137">
        <f t="shared" si="11"/>
        <v>3.0142190276460213E-10</v>
      </c>
      <c r="W15" s="137"/>
      <c r="Y15" s="138" t="s">
        <v>50</v>
      </c>
      <c r="Z15" s="139">
        <v>6.9514401789791793E-3</v>
      </c>
    </row>
    <row r="16" spans="1:26" ht="18">
      <c r="A16" s="100"/>
      <c r="B16" s="101">
        <v>43852</v>
      </c>
      <c r="C16" s="109">
        <v>2.1579999999999998E-2</v>
      </c>
      <c r="D16" s="108">
        <f t="shared" si="0"/>
        <v>3.4913622186645218E-4</v>
      </c>
      <c r="E16" s="108">
        <f t="shared" si="6"/>
        <v>-3.8449278390488908E-4</v>
      </c>
      <c r="F16" s="116">
        <f>'Données MONIA BKAM'!D16-'Données MONIA BKAM'!C16</f>
        <v>1</v>
      </c>
      <c r="G16" s="117">
        <f>(1+C16/360*(B16-'Données MONIA BKAM'!C16))</f>
        <v>1.0000599444444445</v>
      </c>
      <c r="H16" s="117">
        <f t="shared" si="8"/>
        <v>1.001275292327827</v>
      </c>
      <c r="I16" s="118">
        <f t="shared" si="1"/>
        <v>5.9944444444444437E-5</v>
      </c>
      <c r="J16" s="119">
        <f t="shared" si="9"/>
        <v>10012.127481594638</v>
      </c>
      <c r="K16" s="120">
        <v>150000000</v>
      </c>
      <c r="L16" s="121">
        <f t="shared" si="2"/>
        <v>150008992.20566714</v>
      </c>
      <c r="M16" s="121">
        <f t="shared" si="3"/>
        <v>8992.2056994397117</v>
      </c>
      <c r="N16" s="122">
        <f t="shared" si="4"/>
        <v>150008991.66666666</v>
      </c>
      <c r="O16" s="123">
        <f t="shared" si="5"/>
        <v>8991.6666666666661</v>
      </c>
      <c r="P16" s="124">
        <f t="shared" si="7"/>
        <v>0.53903277304561925</v>
      </c>
      <c r="R16" s="100" t="s">
        <v>51</v>
      </c>
      <c r="S16" s="116">
        <v>0.3</v>
      </c>
      <c r="T16" s="143">
        <v>2.1953454206723677E-2</v>
      </c>
      <c r="U16" s="141">
        <f t="shared" si="10"/>
        <v>2.1941804814962145E-2</v>
      </c>
      <c r="V16" s="137">
        <f t="shared" si="11"/>
        <v>1.3570832841364801E-10</v>
      </c>
      <c r="W16" s="137"/>
      <c r="Y16" s="138" t="s">
        <v>52</v>
      </c>
      <c r="Z16" s="139">
        <v>0.99999229160998149</v>
      </c>
    </row>
    <row r="17" spans="1:26" ht="18">
      <c r="A17" s="100"/>
      <c r="B17" s="101">
        <v>43853</v>
      </c>
      <c r="C17" s="109">
        <v>2.1440000000000001E-2</v>
      </c>
      <c r="D17" s="108">
        <f t="shared" si="0"/>
        <v>2.0913622186645442E-4</v>
      </c>
      <c r="E17" s="108">
        <f t="shared" si="6"/>
        <v>-5.2449278390488685E-4</v>
      </c>
      <c r="F17" s="116">
        <f>'Données MONIA BKAM'!D17-'Données MONIA BKAM'!C17</f>
        <v>1</v>
      </c>
      <c r="G17" s="117">
        <f>(1+C17/360*(B17-'Données MONIA BKAM'!C17))</f>
        <v>1.0000595555555556</v>
      </c>
      <c r="H17" s="117">
        <f t="shared" si="8"/>
        <v>1.0013349238341256</v>
      </c>
      <c r="I17" s="118">
        <f t="shared" si="1"/>
        <v>5.9555555555555561E-5</v>
      </c>
      <c r="J17" s="119">
        <f t="shared" si="9"/>
        <v>10012.723759409097</v>
      </c>
      <c r="K17" s="120">
        <v>150000000</v>
      </c>
      <c r="L17" s="121">
        <f t="shared" si="2"/>
        <v>150008933.86536297</v>
      </c>
      <c r="M17" s="121">
        <f t="shared" si="3"/>
        <v>8933.8653946482846</v>
      </c>
      <c r="N17" s="122">
        <f t="shared" si="4"/>
        <v>150008933.33333334</v>
      </c>
      <c r="O17" s="123">
        <f t="shared" si="5"/>
        <v>8933.3333333333339</v>
      </c>
      <c r="P17" s="124">
        <f t="shared" si="7"/>
        <v>0.53206131495062436</v>
      </c>
      <c r="R17" s="100" t="s">
        <v>53</v>
      </c>
      <c r="S17" s="116">
        <v>0.4</v>
      </c>
      <c r="T17" s="144"/>
      <c r="U17" s="141">
        <f t="shared" si="10"/>
        <v>2.186627399003517E-2</v>
      </c>
      <c r="V17" s="137" t="str">
        <f t="shared" si="11"/>
        <v/>
      </c>
      <c r="W17" s="137"/>
      <c r="Y17" s="138" t="s">
        <v>54</v>
      </c>
      <c r="Z17" s="139">
        <v>1.0000248018414004</v>
      </c>
    </row>
    <row r="18" spans="1:26">
      <c r="A18" s="100"/>
      <c r="B18" s="101">
        <v>43854</v>
      </c>
      <c r="C18" s="109">
        <v>2.1770000000000001E-2</v>
      </c>
      <c r="D18" s="108">
        <f t="shared" si="0"/>
        <v>5.3913622186645485E-4</v>
      </c>
      <c r="E18" s="108">
        <f t="shared" si="6"/>
        <v>-1.9449278390488642E-4</v>
      </c>
      <c r="F18" s="116">
        <f>'Données MONIA BKAM'!D18-'Données MONIA BKAM'!C18</f>
        <v>1</v>
      </c>
      <c r="G18" s="117">
        <f>(1+C18/360*(B18-'Données MONIA BKAM'!C18))</f>
        <v>1.0000604722222222</v>
      </c>
      <c r="H18" s="117">
        <f t="shared" si="8"/>
        <v>1.0013954767821585</v>
      </c>
      <c r="I18" s="118">
        <f t="shared" si="1"/>
        <v>6.0472222222222225E-5</v>
      </c>
      <c r="J18" s="119">
        <f t="shared" si="9"/>
        <v>10013.329251065325</v>
      </c>
      <c r="K18" s="120">
        <v>150000000</v>
      </c>
      <c r="L18" s="121">
        <f t="shared" si="2"/>
        <v>150009071.38186678</v>
      </c>
      <c r="M18" s="121">
        <f t="shared" si="3"/>
        <v>9071.3818999534451</v>
      </c>
      <c r="N18" s="122">
        <f t="shared" si="4"/>
        <v>150009070.83333334</v>
      </c>
      <c r="O18" s="123">
        <f t="shared" si="5"/>
        <v>9070.8333333333339</v>
      </c>
      <c r="P18" s="124">
        <f t="shared" si="7"/>
        <v>0.54856662011115986</v>
      </c>
      <c r="R18" s="100" t="s">
        <v>55</v>
      </c>
      <c r="S18" s="116">
        <v>0.5</v>
      </c>
      <c r="T18" s="144"/>
      <c r="U18" s="141">
        <f t="shared" si="10"/>
        <v>2.1763304162492319E-2</v>
      </c>
      <c r="V18" s="137" t="str">
        <f t="shared" si="11"/>
        <v/>
      </c>
      <c r="W18" s="137"/>
      <c r="X18" s="137"/>
    </row>
    <row r="19" spans="1:26" ht="18">
      <c r="A19" s="100"/>
      <c r="B19" s="101">
        <v>43857</v>
      </c>
      <c r="C19" s="109">
        <v>2.2249999999999999E-2</v>
      </c>
      <c r="D19" s="108">
        <f t="shared" si="0"/>
        <v>1.0191362218664526E-3</v>
      </c>
      <c r="E19" s="108">
        <f t="shared" si="6"/>
        <v>2.8550721609511137E-4</v>
      </c>
      <c r="F19" s="116">
        <f>'Données MONIA BKAM'!D19-'Données MONIA BKAM'!C19</f>
        <v>3</v>
      </c>
      <c r="G19" s="117">
        <f>(1+C19/360*(B19-'Données MONIA BKAM'!C19))</f>
        <v>1.0001854166666666</v>
      </c>
      <c r="H19" s="117">
        <f t="shared" si="8"/>
        <v>1.0015811521934783</v>
      </c>
      <c r="I19" s="118">
        <f t="shared" si="1"/>
        <v>1.8541666666666668E-4</v>
      </c>
      <c r="J19" s="119">
        <f t="shared" si="9"/>
        <v>10015.185889197293</v>
      </c>
      <c r="K19" s="120">
        <v>150000000</v>
      </c>
      <c r="L19" s="121">
        <f t="shared" si="2"/>
        <v>150027817.65690103</v>
      </c>
      <c r="M19" s="121">
        <f t="shared" si="3"/>
        <v>27817.657857217069</v>
      </c>
      <c r="N19" s="122">
        <f t="shared" si="4"/>
        <v>150027812.5</v>
      </c>
      <c r="O19" s="123">
        <f t="shared" si="5"/>
        <v>27812.500000000004</v>
      </c>
      <c r="P19" s="124">
        <f t="shared" si="7"/>
        <v>5.1578572170656116</v>
      </c>
      <c r="R19" s="100" t="s">
        <v>56</v>
      </c>
      <c r="S19" s="116">
        <v>0.6</v>
      </c>
      <c r="T19" s="145"/>
      <c r="U19" s="141">
        <f t="shared" si="10"/>
        <v>2.1637121137682944E-2</v>
      </c>
      <c r="V19" s="137" t="str">
        <f t="shared" si="11"/>
        <v/>
      </c>
      <c r="W19" s="137"/>
      <c r="X19" s="146"/>
    </row>
    <row r="20" spans="1:26" ht="18">
      <c r="A20" s="100"/>
      <c r="B20" s="101">
        <v>43858</v>
      </c>
      <c r="C20" s="109">
        <v>2.2280000000000001E-2</v>
      </c>
      <c r="D20" s="108">
        <f t="shared" si="0"/>
        <v>1.0491362218664549E-3</v>
      </c>
      <c r="E20" s="108">
        <f t="shared" si="6"/>
        <v>3.1550721609511362E-4</v>
      </c>
      <c r="F20" s="116">
        <f>'Données MONIA BKAM'!D20-'Données MONIA BKAM'!C20</f>
        <v>1</v>
      </c>
      <c r="G20" s="117">
        <f>(1+C20/360*(B20-'Données MONIA BKAM'!C20))</f>
        <v>1.0000618888888888</v>
      </c>
      <c r="H20" s="117">
        <f t="shared" si="8"/>
        <v>1.0016431389381195</v>
      </c>
      <c r="I20" s="118">
        <f t="shared" si="1"/>
        <v>6.1888888888888887E-5</v>
      </c>
      <c r="J20" s="119">
        <f t="shared" si="9"/>
        <v>10015.805717923991</v>
      </c>
      <c r="K20" s="120">
        <v>150000000</v>
      </c>
      <c r="L20" s="121">
        <f t="shared" si="2"/>
        <v>150009283.9078685</v>
      </c>
      <c r="M20" s="121">
        <f t="shared" si="3"/>
        <v>9283.9079040758625</v>
      </c>
      <c r="N20" s="122">
        <f t="shared" si="4"/>
        <v>150009283.33333334</v>
      </c>
      <c r="O20" s="123">
        <f t="shared" si="5"/>
        <v>9283.3333333333339</v>
      </c>
      <c r="P20" s="124">
        <f t="shared" si="7"/>
        <v>0.57457074252852181</v>
      </c>
      <c r="R20" s="100" t="s">
        <v>57</v>
      </c>
      <c r="S20" s="116">
        <v>0.7</v>
      </c>
      <c r="T20" s="145"/>
      <c r="U20" s="141">
        <f t="shared" si="10"/>
        <v>2.1491457636947417E-2</v>
      </c>
      <c r="V20" s="137" t="str">
        <f t="shared" si="11"/>
        <v/>
      </c>
      <c r="W20" s="137"/>
      <c r="X20" s="146"/>
      <c r="Y20" s="137"/>
    </row>
    <row r="21" spans="1:26">
      <c r="A21" s="100"/>
      <c r="B21" s="101">
        <v>43859</v>
      </c>
      <c r="C21" s="109">
        <v>2.247E-2</v>
      </c>
      <c r="D21" s="108">
        <f t="shared" si="0"/>
        <v>1.2391362218664541E-3</v>
      </c>
      <c r="E21" s="108">
        <f t="shared" si="6"/>
        <v>5.0550721609511282E-4</v>
      </c>
      <c r="F21" s="116">
        <f>'Données MONIA BKAM'!D21-'Données MONIA BKAM'!C21</f>
        <v>1</v>
      </c>
      <c r="G21" s="117">
        <f>(1+C21/360*(B21-'Données MONIA BKAM'!C21))</f>
        <v>1.0000624166666667</v>
      </c>
      <c r="H21" s="117">
        <f t="shared" si="8"/>
        <v>1.0017056581640416</v>
      </c>
      <c r="I21" s="118">
        <f t="shared" si="1"/>
        <v>6.2416666666666661E-5</v>
      </c>
      <c r="J21" s="119">
        <f t="shared" si="9"/>
        <v>10016.430871130886</v>
      </c>
      <c r="K21" s="120">
        <v>150000000</v>
      </c>
      <c r="L21" s="121">
        <f t="shared" si="2"/>
        <v>150009363.08437604</v>
      </c>
      <c r="M21" s="121"/>
      <c r="N21" s="122">
        <f t="shared" si="4"/>
        <v>150009362.5</v>
      </c>
      <c r="O21" s="123">
        <f t="shared" si="5"/>
        <v>9362.5</v>
      </c>
      <c r="P21" s="124">
        <f t="shared" si="7"/>
        <v>-9362.5</v>
      </c>
      <c r="R21" s="100" t="s">
        <v>58</v>
      </c>
      <c r="S21" s="116">
        <v>0.8</v>
      </c>
      <c r="T21" s="144"/>
      <c r="U21" s="141">
        <f t="shared" si="10"/>
        <v>2.1329605934227298E-2</v>
      </c>
      <c r="V21" s="137" t="str">
        <f t="shared" si="11"/>
        <v/>
      </c>
      <c r="W21" s="147"/>
      <c r="X21" s="147"/>
      <c r="Y21" s="137"/>
    </row>
    <row r="22" spans="1:26">
      <c r="A22" s="148"/>
      <c r="B22" s="102">
        <v>43860</v>
      </c>
      <c r="C22" s="110">
        <v>2.2849999999999999E-2</v>
      </c>
      <c r="D22" s="149">
        <f t="shared" si="0"/>
        <v>1.6191362218664525E-3</v>
      </c>
      <c r="E22" s="110">
        <f t="shared" ref="E22:E43" si="12">C22-$T$3</f>
        <v>8.8224238957140128E-4</v>
      </c>
      <c r="F22" s="150">
        <f>'Données MONIA BKAM'!D22-'Données MONIA BKAM'!C22</f>
        <v>1</v>
      </c>
      <c r="G22" s="151">
        <f>(1+C22/360*(B22-'Données MONIA BKAM'!C22))</f>
        <v>1.0000634722222221</v>
      </c>
      <c r="H22" s="151">
        <f t="shared" si="8"/>
        <v>1.0017692386481778</v>
      </c>
      <c r="I22" s="152">
        <f t="shared" si="1"/>
        <v>6.3472222222222223E-5</v>
      </c>
      <c r="J22" s="153">
        <f t="shared" si="9"/>
        <v>10017.066636257012</v>
      </c>
      <c r="K22" s="154">
        <v>150000000</v>
      </c>
      <c r="L22" s="155">
        <f t="shared" si="2"/>
        <v>150009521.43764177</v>
      </c>
      <c r="M22" s="155">
        <f t="shared" si="3"/>
        <v>9521.4376801392063</v>
      </c>
      <c r="N22" s="156">
        <f t="shared" si="4"/>
        <v>150009520.83333334</v>
      </c>
      <c r="O22" s="157">
        <f t="shared" si="5"/>
        <v>9520.8333333333339</v>
      </c>
      <c r="P22" s="158">
        <f t="shared" si="7"/>
        <v>0.60434680587241019</v>
      </c>
      <c r="R22" s="100" t="s">
        <v>59</v>
      </c>
      <c r="S22" s="116">
        <v>0.9</v>
      </c>
      <c r="T22" s="159"/>
      <c r="U22" s="141">
        <f t="shared" si="10"/>
        <v>2.1154465098140438E-2</v>
      </c>
      <c r="V22" s="100"/>
      <c r="W22" s="147"/>
      <c r="Y22" s="137"/>
    </row>
    <row r="23" spans="1:26">
      <c r="A23" s="100"/>
      <c r="B23" s="103">
        <v>43861</v>
      </c>
      <c r="C23" s="109">
        <v>2.2179999999999998E-2</v>
      </c>
      <c r="D23" s="109">
        <f t="shared" ref="D23:D44" si="13">C23-$T$8</f>
        <v>5.8286316129032256</v>
      </c>
      <c r="E23" s="109">
        <f t="shared" si="12"/>
        <v>2.1224238957140082E-4</v>
      </c>
      <c r="F23" s="116">
        <f>'Données MONIA BKAM'!D23-'Données MONIA BKAM'!C23</f>
        <v>1</v>
      </c>
      <c r="G23" s="117">
        <f>(1+C23/360*(B23-'Données MONIA BKAM'!C23))</f>
        <v>1.0000616111111111</v>
      </c>
      <c r="H23" s="117">
        <f t="shared" si="8"/>
        <v>1.0018309587640479</v>
      </c>
      <c r="I23" s="118">
        <f t="shared" si="1"/>
        <v>6.1611111111111106E-5</v>
      </c>
      <c r="J23" s="119">
        <f t="shared" si="9"/>
        <v>10017.683798862545</v>
      </c>
      <c r="K23" s="120">
        <v>150000000</v>
      </c>
      <c r="L23" s="121">
        <f t="shared" si="2"/>
        <v>150009242.23605603</v>
      </c>
      <c r="M23" s="121">
        <f t="shared" si="3"/>
        <v>9242.2360910992284</v>
      </c>
      <c r="N23" s="122">
        <f t="shared" si="4"/>
        <v>150009241.66666666</v>
      </c>
      <c r="O23" s="123">
        <f t="shared" si="5"/>
        <v>9241.6666666666661</v>
      </c>
      <c r="P23" s="124">
        <f t="shared" si="7"/>
        <v>0.56942443256230035</v>
      </c>
      <c r="R23" s="100" t="s">
        <v>60</v>
      </c>
      <c r="S23" s="116">
        <v>1</v>
      </c>
      <c r="T23" s="159"/>
      <c r="U23" s="141">
        <f t="shared" si="10"/>
        <v>2.0968583380233902E-2</v>
      </c>
      <c r="V23" s="100"/>
      <c r="W23" s="147"/>
      <c r="X23" s="147"/>
      <c r="Y23" s="100"/>
    </row>
    <row r="24" spans="1:26">
      <c r="A24" s="100"/>
      <c r="B24" s="103">
        <v>43864</v>
      </c>
      <c r="C24" s="109">
        <v>2.247E-2</v>
      </c>
      <c r="D24" s="109">
        <f t="shared" si="13"/>
        <v>5.8289216129032262</v>
      </c>
      <c r="E24" s="109">
        <f t="shared" si="12"/>
        <v>5.0224238957140288E-4</v>
      </c>
      <c r="F24" s="116">
        <f>'Données MONIA BKAM'!D24-'Données MONIA BKAM'!C24</f>
        <v>3</v>
      </c>
      <c r="G24" s="117">
        <f>(1+C24/360*(B24-'Données MONIA BKAM'!C24))</f>
        <v>1.00018725</v>
      </c>
      <c r="H24" s="117">
        <f t="shared" si="8"/>
        <v>1.0020185516110764</v>
      </c>
      <c r="I24" s="118">
        <f t="shared" si="1"/>
        <v>1.8725E-4</v>
      </c>
      <c r="J24" s="119">
        <f t="shared" si="9"/>
        <v>10019.559610153881</v>
      </c>
      <c r="K24" s="120">
        <v>150000000</v>
      </c>
      <c r="L24" s="121">
        <f t="shared" si="2"/>
        <v>150028092.75938436</v>
      </c>
      <c r="M24" s="121">
        <f t="shared" si="3"/>
        <v>28092.760369194722</v>
      </c>
      <c r="N24" s="122">
        <f t="shared" si="4"/>
        <v>150028087.5</v>
      </c>
      <c r="O24" s="123">
        <f t="shared" si="5"/>
        <v>28087.5</v>
      </c>
      <c r="P24" s="124">
        <f t="shared" si="7"/>
        <v>5.2603691947224434</v>
      </c>
      <c r="R24" s="100"/>
      <c r="S24" s="100"/>
      <c r="T24" s="160"/>
      <c r="U24" s="161"/>
      <c r="V24" s="139">
        <f>SUM(V13:V23)</f>
        <v>1.1303772553904963E-9</v>
      </c>
      <c r="W24" s="147"/>
      <c r="X24" s="147"/>
      <c r="Y24" s="100"/>
    </row>
    <row r="25" spans="1:26">
      <c r="A25" s="100"/>
      <c r="B25" s="103">
        <v>43865</v>
      </c>
      <c r="C25" s="109">
        <v>2.2110000000000001E-2</v>
      </c>
      <c r="D25" s="109">
        <f t="shared" si="13"/>
        <v>5.8285616129032256</v>
      </c>
      <c r="E25" s="109">
        <f t="shared" si="12"/>
        <v>1.4224238957140367E-4</v>
      </c>
      <c r="F25" s="116">
        <f>'Données MONIA BKAM'!D25-'Données MONIA BKAM'!C25</f>
        <v>1</v>
      </c>
      <c r="G25" s="117">
        <f>(1+C25/360*(B25-'Données MONIA BKAM'!C25))</f>
        <v>1.0000614166666666</v>
      </c>
      <c r="H25" s="117">
        <f t="shared" si="8"/>
        <v>1.0020800922504545</v>
      </c>
      <c r="I25" s="118">
        <f t="shared" si="1"/>
        <v>6.1416666666666664E-5</v>
      </c>
      <c r="J25" s="119">
        <f t="shared" si="9"/>
        <v>10020.174978106605</v>
      </c>
      <c r="K25" s="120">
        <v>150000000</v>
      </c>
      <c r="L25" s="121">
        <f t="shared" si="2"/>
        <v>150009213.06580105</v>
      </c>
      <c r="M25" s="121">
        <f t="shared" si="3"/>
        <v>9213.0658357912816</v>
      </c>
      <c r="N25" s="122">
        <f t="shared" si="4"/>
        <v>150009212.5</v>
      </c>
      <c r="O25" s="123">
        <f t="shared" si="5"/>
        <v>9212.5</v>
      </c>
      <c r="P25" s="124">
        <f t="shared" si="7"/>
        <v>0.56583579128164274</v>
      </c>
      <c r="R25" s="100"/>
      <c r="S25" s="159"/>
      <c r="T25" s="161"/>
      <c r="U25" s="137"/>
      <c r="V25" s="100"/>
      <c r="W25" s="147"/>
      <c r="X25" s="147"/>
      <c r="Y25" s="100"/>
    </row>
    <row r="26" spans="1:26">
      <c r="A26" s="100"/>
      <c r="B26" s="103">
        <v>43866</v>
      </c>
      <c r="C26" s="109">
        <v>2.1780000000000001E-2</v>
      </c>
      <c r="D26" s="109">
        <f t="shared" si="13"/>
        <v>5.8282316129032257</v>
      </c>
      <c r="E26" s="109">
        <f t="shared" si="12"/>
        <v>-1.8775761042859676E-4</v>
      </c>
      <c r="F26" s="116">
        <f>'Données MONIA BKAM'!D26-'Données MONIA BKAM'!C26</f>
        <v>1</v>
      </c>
      <c r="G26" s="117">
        <f>(1+C26/360*(B26-'Données MONIA BKAM'!C26))</f>
        <v>1.0000605</v>
      </c>
      <c r="H26" s="117">
        <f t="shared" si="8"/>
        <v>1.0021407180960356</v>
      </c>
      <c r="I26" s="118">
        <f t="shared" si="1"/>
        <v>6.05E-5</v>
      </c>
      <c r="J26" s="119">
        <f t="shared" si="9"/>
        <v>10020.781198692781</v>
      </c>
      <c r="K26" s="120">
        <v>150000000</v>
      </c>
      <c r="L26" s="121">
        <f t="shared" si="2"/>
        <v>150009075.54903749</v>
      </c>
      <c r="M26" s="121">
        <f t="shared" si="3"/>
        <v>9075.5490707167683</v>
      </c>
      <c r="N26" s="122">
        <f t="shared" si="4"/>
        <v>150009075</v>
      </c>
      <c r="O26" s="123">
        <f t="shared" si="5"/>
        <v>9075</v>
      </c>
      <c r="P26" s="124">
        <f t="shared" si="7"/>
        <v>0.54907071676825581</v>
      </c>
      <c r="S26" s="162"/>
      <c r="T26" s="163"/>
      <c r="U26" s="164"/>
      <c r="V26" s="165"/>
      <c r="W26" s="166"/>
      <c r="X26" s="166"/>
      <c r="Y26" s="100"/>
    </row>
    <row r="27" spans="1:26">
      <c r="A27" s="100"/>
      <c r="B27" s="103">
        <v>43867</v>
      </c>
      <c r="C27" s="109">
        <v>2.1399999999999999E-2</v>
      </c>
      <c r="D27" s="109">
        <f t="shared" si="13"/>
        <v>5.8278516129032258</v>
      </c>
      <c r="E27" s="109">
        <f t="shared" si="12"/>
        <v>-5.6775761042859862E-4</v>
      </c>
      <c r="F27" s="116">
        <f>'Données MONIA BKAM'!D27-'Données MONIA BKAM'!C27</f>
        <v>1</v>
      </c>
      <c r="G27" s="117">
        <f>(1+C27/360*(B27-'Données MONIA BKAM'!C27))</f>
        <v>1.0000594444444444</v>
      </c>
      <c r="H27" s="117">
        <f t="shared" si="8"/>
        <v>1.0022002897942779</v>
      </c>
      <c r="I27" s="118">
        <f t="shared" si="1"/>
        <v>5.9444444444444438E-5</v>
      </c>
      <c r="J27" s="119">
        <f t="shared" si="9"/>
        <v>10021.376878464036</v>
      </c>
      <c r="K27" s="120">
        <v>150000000</v>
      </c>
      <c r="L27" s="121">
        <f t="shared" si="2"/>
        <v>150008917.19671297</v>
      </c>
      <c r="M27" s="121">
        <f t="shared" si="3"/>
        <v>8917.19674447127</v>
      </c>
      <c r="N27" s="122">
        <f t="shared" si="4"/>
        <v>150008916.66666666</v>
      </c>
      <c r="O27" s="123">
        <f t="shared" si="5"/>
        <v>8916.6666666666661</v>
      </c>
      <c r="P27" s="124">
        <f t="shared" si="7"/>
        <v>0.53007780460393406</v>
      </c>
      <c r="R27" s="92"/>
      <c r="S27" s="162"/>
      <c r="T27" s="163"/>
      <c r="U27" s="164"/>
      <c r="V27" s="165"/>
      <c r="W27" s="166"/>
      <c r="X27" s="166"/>
      <c r="Y27" s="100"/>
    </row>
    <row r="28" spans="1:26">
      <c r="A28" s="100"/>
      <c r="B28" s="103">
        <v>43868</v>
      </c>
      <c r="C28" s="109">
        <v>2.1700000000000001E-2</v>
      </c>
      <c r="D28" s="109">
        <f t="shared" si="13"/>
        <v>5.828151612903226</v>
      </c>
      <c r="E28" s="109">
        <f t="shared" si="12"/>
        <v>-2.6775761042859697E-4</v>
      </c>
      <c r="F28" s="116">
        <f>'Données MONIA BKAM'!D28-'Données MONIA BKAM'!C28</f>
        <v>1</v>
      </c>
      <c r="G28" s="117">
        <f>(1+C28/360*(B28-'Données MONIA BKAM'!C28))</f>
        <v>1.0000602777777778</v>
      </c>
      <c r="H28" s="117">
        <f t="shared" si="8"/>
        <v>1.002260700200635</v>
      </c>
      <c r="I28" s="118">
        <f t="shared" si="1"/>
        <v>6.0277777777777776E-5</v>
      </c>
      <c r="J28" s="119">
        <f t="shared" si="9"/>
        <v>10021.980944792544</v>
      </c>
      <c r="K28" s="120">
        <v>150000000</v>
      </c>
      <c r="L28" s="121">
        <f t="shared" si="2"/>
        <v>150009042.21167824</v>
      </c>
      <c r="M28" s="121">
        <f t="shared" si="3"/>
        <v>9042.2117110928266</v>
      </c>
      <c r="N28" s="122">
        <f t="shared" si="4"/>
        <v>150009041.66666666</v>
      </c>
      <c r="O28" s="123">
        <f t="shared" si="5"/>
        <v>9041.6666666666661</v>
      </c>
      <c r="P28" s="124">
        <f t="shared" si="7"/>
        <v>0.54504442616052984</v>
      </c>
      <c r="R28" s="92"/>
      <c r="S28" s="162"/>
      <c r="T28" s="163"/>
      <c r="U28" s="164"/>
      <c r="V28" s="165"/>
      <c r="W28" s="166"/>
      <c r="X28" s="166"/>
      <c r="Y28" s="165"/>
    </row>
    <row r="29" spans="1:26">
      <c r="A29" s="100"/>
      <c r="B29" s="103">
        <v>43871</v>
      </c>
      <c r="C29" s="109">
        <v>2.1729999999999999E-2</v>
      </c>
      <c r="D29" s="109">
        <f t="shared" si="13"/>
        <v>5.8281816129032258</v>
      </c>
      <c r="E29" s="109">
        <f t="shared" si="12"/>
        <v>-2.3775761042859819E-4</v>
      </c>
      <c r="F29" s="116">
        <f>'Données MONIA BKAM'!D29-'Données MONIA BKAM'!C29</f>
        <v>3</v>
      </c>
      <c r="G29" s="117">
        <f>(1+C29/360*(B29-'Données MONIA BKAM'!C29))</f>
        <v>1.0001810833333333</v>
      </c>
      <c r="H29" s="117">
        <f t="shared" si="8"/>
        <v>1.0024421929090963</v>
      </c>
      <c r="I29" s="118">
        <f t="shared" si="1"/>
        <v>1.8108333333333333E-4</v>
      </c>
      <c r="J29" s="119">
        <f t="shared" si="9"/>
        <v>10023.79575850863</v>
      </c>
      <c r="K29" s="120">
        <v>150000000</v>
      </c>
      <c r="L29" s="121">
        <f t="shared" si="2"/>
        <v>150027167.41867605</v>
      </c>
      <c r="M29" s="121">
        <f t="shared" si="3"/>
        <v>27167.419566731922</v>
      </c>
      <c r="N29" s="122">
        <f t="shared" si="4"/>
        <v>150027162.5</v>
      </c>
      <c r="O29" s="123">
        <f t="shared" si="5"/>
        <v>27162.5</v>
      </c>
      <c r="P29" s="124">
        <f t="shared" si="7"/>
        <v>4.9195667319218046</v>
      </c>
      <c r="R29" s="92"/>
      <c r="S29" s="162"/>
      <c r="T29" s="163"/>
      <c r="U29" s="164"/>
      <c r="V29" s="164"/>
      <c r="W29" s="164"/>
      <c r="X29" s="164"/>
      <c r="Y29" s="165"/>
    </row>
    <row r="30" spans="1:26">
      <c r="A30" s="100"/>
      <c r="B30" s="103">
        <v>43872</v>
      </c>
      <c r="C30" s="111">
        <v>2.171E-2</v>
      </c>
      <c r="D30" s="109">
        <f t="shared" si="13"/>
        <v>5.8281616129032257</v>
      </c>
      <c r="E30" s="109">
        <f t="shared" si="12"/>
        <v>-2.5775761042859738E-4</v>
      </c>
      <c r="F30" s="116">
        <f>'Données MONIA BKAM'!D30-'Données MONIA BKAM'!C30</f>
        <v>1</v>
      </c>
      <c r="G30" s="117">
        <f>(1+C30/360*(B30-'Données MONIA BKAM'!C30))</f>
        <v>1.0000603055555555</v>
      </c>
      <c r="H30" s="117">
        <f t="shared" si="8"/>
        <v>1.002502645742452</v>
      </c>
      <c r="I30" s="118">
        <f t="shared" si="1"/>
        <v>6.0305555555555558E-5</v>
      </c>
      <c r="J30" s="119">
        <f t="shared" si="9"/>
        <v>10024.400249080622</v>
      </c>
      <c r="K30" s="120">
        <v>150000000</v>
      </c>
      <c r="L30" s="121">
        <f t="shared" si="2"/>
        <v>150009046.37884733</v>
      </c>
      <c r="M30" s="121">
        <f t="shared" si="3"/>
        <v>9046.3788802354884</v>
      </c>
      <c r="N30" s="122">
        <f t="shared" si="4"/>
        <v>150009045.83333334</v>
      </c>
      <c r="O30" s="123">
        <f t="shared" si="5"/>
        <v>9045.8333333333339</v>
      </c>
      <c r="P30" s="124">
        <f t="shared" si="7"/>
        <v>0.54554690215445589</v>
      </c>
      <c r="R30" s="92"/>
      <c r="S30" s="162"/>
      <c r="T30" s="163"/>
      <c r="V30" s="164"/>
      <c r="W30" s="164"/>
      <c r="X30" s="164"/>
      <c r="Y30" s="165"/>
    </row>
    <row r="31" spans="1:26">
      <c r="A31" s="100"/>
      <c r="B31" s="103">
        <v>43873</v>
      </c>
      <c r="C31" s="111">
        <v>2.1610000000000001E-2</v>
      </c>
      <c r="D31" s="109">
        <f t="shared" si="13"/>
        <v>5.8280616129032259</v>
      </c>
      <c r="E31" s="109">
        <f t="shared" si="12"/>
        <v>-3.5775761042859677E-4</v>
      </c>
      <c r="F31" s="116">
        <f>'Données MONIA BKAM'!D31-'Données MONIA BKAM'!C31</f>
        <v>1</v>
      </c>
      <c r="G31" s="117">
        <f>(1+C31/360*(B31-'Données MONIA BKAM'!C31))</f>
        <v>1.0000600277777778</v>
      </c>
      <c r="H31" s="117"/>
      <c r="I31" s="118">
        <f t="shared" si="1"/>
        <v>6.0027777777777777E-5</v>
      </c>
      <c r="J31" s="119">
        <f t="shared" si="9"/>
        <v>10025.001991551129</v>
      </c>
      <c r="K31" s="120">
        <v>150000000</v>
      </c>
      <c r="L31" s="121">
        <f t="shared" si="2"/>
        <v>150009004.70716679</v>
      </c>
      <c r="M31" s="121">
        <f t="shared" si="3"/>
        <v>9004.7071992274286</v>
      </c>
      <c r="N31" s="122">
        <f t="shared" si="4"/>
        <v>150009004.16666666</v>
      </c>
      <c r="O31" s="123">
        <f t="shared" si="5"/>
        <v>9004.1666666666661</v>
      </c>
      <c r="P31" s="124">
        <f t="shared" si="7"/>
        <v>0.54053256076258549</v>
      </c>
      <c r="R31" s="92"/>
      <c r="S31" s="162"/>
      <c r="T31" s="163"/>
      <c r="U31" s="164"/>
      <c r="V31" s="164"/>
      <c r="W31" s="164"/>
      <c r="X31" s="164"/>
      <c r="Y31" s="164"/>
    </row>
    <row r="32" spans="1:26">
      <c r="A32" s="100"/>
      <c r="B32" s="103">
        <v>43874</v>
      </c>
      <c r="C32" s="109">
        <v>2.1780000000000001E-2</v>
      </c>
      <c r="D32" s="109">
        <f t="shared" si="13"/>
        <v>5.8282316129032257</v>
      </c>
      <c r="E32" s="109">
        <f t="shared" si="12"/>
        <v>-1.8775761042859676E-4</v>
      </c>
      <c r="F32" s="116">
        <f>'Données MONIA BKAM'!D32-'Données MONIA BKAM'!C32</f>
        <v>1</v>
      </c>
      <c r="G32" s="117">
        <f>(1+C32/360*(B32-'Données MONIA BKAM'!C32))</f>
        <v>1.0000605</v>
      </c>
      <c r="H32" s="117">
        <f t="shared" si="8"/>
        <v>0</v>
      </c>
      <c r="I32" s="118">
        <f t="shared" si="1"/>
        <v>6.05E-5</v>
      </c>
      <c r="J32" s="119">
        <f t="shared" si="9"/>
        <v>10025.608504171618</v>
      </c>
      <c r="K32" s="120">
        <v>150000000</v>
      </c>
      <c r="L32" s="121">
        <f t="shared" si="2"/>
        <v>150009075.54903749</v>
      </c>
      <c r="M32" s="121">
        <f t="shared" si="3"/>
        <v>9075.5490707167683</v>
      </c>
      <c r="N32" s="122">
        <f t="shared" si="4"/>
        <v>150009075</v>
      </c>
      <c r="O32" s="123">
        <f t="shared" si="5"/>
        <v>9075</v>
      </c>
      <c r="P32" s="124">
        <f t="shared" si="7"/>
        <v>0.54907071676825581</v>
      </c>
      <c r="R32" s="92"/>
      <c r="S32" s="162"/>
      <c r="T32" s="163"/>
      <c r="U32" s="164"/>
      <c r="V32" s="164"/>
      <c r="W32" s="164"/>
      <c r="X32" s="164"/>
      <c r="Y32" s="164"/>
    </row>
    <row r="33" spans="1:32">
      <c r="A33" s="100"/>
      <c r="B33" s="104">
        <v>43875</v>
      </c>
      <c r="C33" s="112">
        <v>2.188E-2</v>
      </c>
      <c r="D33" s="109">
        <f t="shared" si="13"/>
        <v>5.8283316129032263</v>
      </c>
      <c r="E33" s="109">
        <f t="shared" si="12"/>
        <v>-8.7757610428597366E-5</v>
      </c>
      <c r="F33" s="116">
        <f>'Données MONIA BKAM'!D33-'Données MONIA BKAM'!C33</f>
        <v>1</v>
      </c>
      <c r="G33" s="117">
        <f>(1+C33/360*(B33-'Données MONIA BKAM'!C33))</f>
        <v>1.0000607777777777</v>
      </c>
      <c r="H33" s="117">
        <f t="shared" si="8"/>
        <v>0</v>
      </c>
      <c r="I33" s="118">
        <f t="shared" si="1"/>
        <v>6.0777777777777775E-5</v>
      </c>
      <c r="J33" s="119">
        <f t="shared" si="9"/>
        <v>10026.217838377372</v>
      </c>
      <c r="K33" s="120">
        <v>150000000</v>
      </c>
      <c r="L33" s="121">
        <f t="shared" si="2"/>
        <v>150009117.2207574</v>
      </c>
      <c r="M33" s="121">
        <f t="shared" si="3"/>
        <v>9117.2207910838097</v>
      </c>
      <c r="N33" s="122">
        <f t="shared" si="4"/>
        <v>150009116.66666666</v>
      </c>
      <c r="O33" s="123">
        <f t="shared" si="5"/>
        <v>9116.6666666666661</v>
      </c>
      <c r="P33" s="124">
        <f t="shared" si="7"/>
        <v>0.55412441714361194</v>
      </c>
      <c r="R33" s="92"/>
      <c r="S33" s="162"/>
      <c r="T33" s="163"/>
      <c r="U33" s="164"/>
      <c r="V33" s="164"/>
      <c r="W33" s="164"/>
      <c r="X33" s="164"/>
      <c r="Y33" s="164"/>
    </row>
    <row r="34" spans="1:32">
      <c r="A34" s="100"/>
      <c r="B34" s="104">
        <v>43878</v>
      </c>
      <c r="C34" s="112">
        <v>2.181E-2</v>
      </c>
      <c r="D34" s="109">
        <f t="shared" si="13"/>
        <v>5.8282616129032263</v>
      </c>
      <c r="E34" s="109">
        <f t="shared" si="12"/>
        <v>-1.5775761042859798E-4</v>
      </c>
      <c r="F34" s="116">
        <f>'Données MONIA BKAM'!D34-'Données MONIA BKAM'!C34</f>
        <v>3</v>
      </c>
      <c r="G34" s="117">
        <f>(1+C34/360*(B34-'Données MONIA BKAM'!C34))</f>
        <v>1.0001817500000001</v>
      </c>
      <c r="H34" s="117">
        <f t="shared" si="8"/>
        <v>0</v>
      </c>
      <c r="I34" s="118">
        <f t="shared" si="1"/>
        <v>1.8175E-4</v>
      </c>
      <c r="J34" s="119">
        <f t="shared" si="9"/>
        <v>10028.040103469497</v>
      </c>
      <c r="K34" s="120">
        <v>150000000</v>
      </c>
      <c r="L34" s="121">
        <f t="shared" si="2"/>
        <v>150027267.45495936</v>
      </c>
      <c r="M34" s="121">
        <f t="shared" si="3"/>
        <v>27267.455859938866</v>
      </c>
      <c r="N34" s="122">
        <f t="shared" si="4"/>
        <v>150027262.5</v>
      </c>
      <c r="O34" s="123">
        <f t="shared" si="5"/>
        <v>27262.5</v>
      </c>
      <c r="P34" s="124">
        <f t="shared" si="7"/>
        <v>4.9558599388656148</v>
      </c>
      <c r="R34" s="92"/>
      <c r="S34" s="167"/>
      <c r="T34" s="163"/>
      <c r="U34" s="164"/>
      <c r="V34" s="164"/>
      <c r="W34" s="164"/>
      <c r="X34" s="164"/>
      <c r="Y34" s="164"/>
    </row>
    <row r="35" spans="1:32">
      <c r="A35" s="100"/>
      <c r="B35" s="104">
        <v>43879</v>
      </c>
      <c r="C35" s="112">
        <v>2.1649999999999999E-2</v>
      </c>
      <c r="D35" s="109">
        <f t="shared" si="13"/>
        <v>5.8281016129032261</v>
      </c>
      <c r="E35" s="109">
        <f t="shared" si="12"/>
        <v>-3.177576104285984E-4</v>
      </c>
      <c r="F35" s="116">
        <f>'Données MONIA BKAM'!D35-'Données MONIA BKAM'!C35</f>
        <v>1</v>
      </c>
      <c r="G35" s="117">
        <f>(1+C35/360*(B35-'Données MONIA BKAM'!C35))</f>
        <v>1.0000601388888888</v>
      </c>
      <c r="H35" s="117">
        <f t="shared" si="8"/>
        <v>0</v>
      </c>
      <c r="I35" s="118">
        <f t="shared" si="1"/>
        <v>6.0138888888888886E-5</v>
      </c>
      <c r="J35" s="119">
        <f t="shared" si="9"/>
        <v>10028.643178659053</v>
      </c>
      <c r="K35" s="120">
        <v>150000000</v>
      </c>
      <c r="L35" s="121">
        <f t="shared" si="2"/>
        <v>150009021.37583622</v>
      </c>
      <c r="M35" s="121">
        <f t="shared" si="3"/>
        <v>9021.3758688523722</v>
      </c>
      <c r="N35" s="122">
        <f t="shared" si="4"/>
        <v>150009020.83333334</v>
      </c>
      <c r="O35" s="123">
        <f t="shared" si="5"/>
        <v>9020.8333333333321</v>
      </c>
      <c r="P35" s="124">
        <f t="shared" si="7"/>
        <v>0.54253551904002961</v>
      </c>
      <c r="R35" s="92"/>
      <c r="S35" s="168"/>
      <c r="T35" s="163"/>
      <c r="U35" s="164"/>
      <c r="V35" s="164"/>
      <c r="W35" s="164"/>
      <c r="X35" s="164"/>
      <c r="Y35" s="164"/>
    </row>
    <row r="36" spans="1:32">
      <c r="A36" s="100"/>
      <c r="B36" s="104">
        <v>43880</v>
      </c>
      <c r="C36" s="112">
        <v>2.205E-2</v>
      </c>
      <c r="D36" s="109">
        <f t="shared" si="13"/>
        <v>5.8285016129032261</v>
      </c>
      <c r="E36" s="109">
        <f t="shared" si="12"/>
        <v>8.2242389571402646E-5</v>
      </c>
      <c r="F36" s="116">
        <f>'Données MONIA BKAM'!D36-'Données MONIA BKAM'!C36</f>
        <v>1</v>
      </c>
      <c r="G36" s="117">
        <f>(1+C36/360*(B36-'Données MONIA BKAM'!C36))</f>
        <v>1.0000612499999999</v>
      </c>
      <c r="H36" s="117">
        <f t="shared" si="8"/>
        <v>0</v>
      </c>
      <c r="I36" s="118">
        <f t="shared" si="1"/>
        <v>6.1249999999999998E-5</v>
      </c>
      <c r="J36" s="119">
        <f t="shared" si="9"/>
        <v>10029.257433053746</v>
      </c>
      <c r="K36" s="120">
        <v>150000000</v>
      </c>
      <c r="L36" s="121">
        <f t="shared" si="2"/>
        <v>150009188.06273437</v>
      </c>
      <c r="M36" s="121">
        <f t="shared" si="3"/>
        <v>9188.0627688424793</v>
      </c>
      <c r="N36" s="122">
        <f t="shared" si="4"/>
        <v>150009187.5</v>
      </c>
      <c r="O36" s="123">
        <f t="shared" si="5"/>
        <v>9187.5</v>
      </c>
      <c r="P36" s="124">
        <f t="shared" si="7"/>
        <v>0.56276884247927228</v>
      </c>
      <c r="R36" s="92"/>
      <c r="S36" s="168"/>
      <c r="T36" s="163"/>
      <c r="U36" s="164"/>
      <c r="V36" s="163"/>
      <c r="W36" s="163"/>
      <c r="X36" s="164"/>
      <c r="Y36" s="164"/>
    </row>
    <row r="37" spans="1:32">
      <c r="A37" s="100"/>
      <c r="B37" s="104">
        <v>43881</v>
      </c>
      <c r="C37" s="112">
        <v>2.197E-2</v>
      </c>
      <c r="D37" s="109">
        <f t="shared" si="13"/>
        <v>5.8284216129032256</v>
      </c>
      <c r="E37" s="109">
        <f t="shared" si="12"/>
        <v>2.2423895714024367E-6</v>
      </c>
      <c r="F37" s="116">
        <f>'Données MONIA BKAM'!D37-'Données MONIA BKAM'!C37</f>
        <v>1</v>
      </c>
      <c r="G37" s="117">
        <f>(1+C37/360*(B37-'Données MONIA BKAM'!C37))</f>
        <v>1.0000610277777777</v>
      </c>
      <c r="H37" s="117">
        <f t="shared" si="8"/>
        <v>0</v>
      </c>
      <c r="I37" s="118">
        <f t="shared" si="1"/>
        <v>6.1027777777777781E-5</v>
      </c>
      <c r="J37" s="119">
        <f t="shared" si="9"/>
        <v>10029.869496347646</v>
      </c>
      <c r="K37" s="120">
        <v>150000000</v>
      </c>
      <c r="L37" s="121">
        <f t="shared" si="2"/>
        <v>150009154.72532511</v>
      </c>
      <c r="M37" s="121">
        <f t="shared" si="3"/>
        <v>9154.7253592094239</v>
      </c>
      <c r="N37" s="122">
        <f t="shared" si="4"/>
        <v>150009154.16666666</v>
      </c>
      <c r="O37" s="123">
        <f t="shared" si="5"/>
        <v>9154.1666666666679</v>
      </c>
      <c r="P37" s="124">
        <f t="shared" si="7"/>
        <v>0.55869254275603453</v>
      </c>
      <c r="R37" s="92"/>
      <c r="S37" s="168"/>
      <c r="T37" s="163"/>
      <c r="U37" s="164"/>
      <c r="V37" s="163"/>
      <c r="W37" s="163"/>
      <c r="X37" s="169"/>
      <c r="Y37" s="164"/>
      <c r="AD37" s="170" t="s">
        <v>61</v>
      </c>
      <c r="AE37" s="170" t="s">
        <v>62</v>
      </c>
      <c r="AF37" s="170" t="s">
        <v>63</v>
      </c>
    </row>
    <row r="38" spans="1:32">
      <c r="A38" s="100"/>
      <c r="B38" s="104">
        <v>43882</v>
      </c>
      <c r="C38" s="112">
        <v>2.1999999999999999E-2</v>
      </c>
      <c r="D38" s="109">
        <f t="shared" si="13"/>
        <v>5.8284516129032262</v>
      </c>
      <c r="E38" s="109">
        <f t="shared" si="12"/>
        <v>3.2242389571401214E-5</v>
      </c>
      <c r="F38" s="116">
        <f>'Données MONIA BKAM'!D38-'Données MONIA BKAM'!C38</f>
        <v>1</v>
      </c>
      <c r="G38" s="117">
        <f>(1+C38/360*(B38-'Données MONIA BKAM'!C38))</f>
        <v>1.0000611111111111</v>
      </c>
      <c r="H38" s="117">
        <f t="shared" si="8"/>
        <v>0</v>
      </c>
      <c r="I38" s="118">
        <f t="shared" si="1"/>
        <v>6.1111111111111107E-5</v>
      </c>
      <c r="J38" s="119">
        <f t="shared" si="9"/>
        <v>10030.482432816867</v>
      </c>
      <c r="K38" s="120">
        <v>150000000</v>
      </c>
      <c r="L38" s="121">
        <f t="shared" si="2"/>
        <v>150009167.22685185</v>
      </c>
      <c r="M38" s="121">
        <f t="shared" si="3"/>
        <v>9167.226886085391</v>
      </c>
      <c r="N38" s="122">
        <f t="shared" si="4"/>
        <v>150009166.66666666</v>
      </c>
      <c r="O38" s="123">
        <f t="shared" si="5"/>
        <v>9166.6666666666661</v>
      </c>
      <c r="P38" s="124">
        <f t="shared" si="7"/>
        <v>0.56021941872495518</v>
      </c>
      <c r="R38" s="92"/>
      <c r="S38" s="168"/>
      <c r="T38" s="163"/>
      <c r="U38" s="164"/>
      <c r="V38" s="163"/>
      <c r="W38" s="163"/>
      <c r="X38" s="169"/>
      <c r="Y38" s="164"/>
      <c r="Z38" s="164"/>
      <c r="AA38" s="164"/>
      <c r="AD38" s="170" t="s">
        <v>64</v>
      </c>
      <c r="AE38" s="171" t="s">
        <v>65</v>
      </c>
      <c r="AF38" s="171" t="s">
        <v>8</v>
      </c>
    </row>
    <row r="39" spans="1:32">
      <c r="A39" s="100"/>
      <c r="B39" s="104">
        <v>43885</v>
      </c>
      <c r="C39" s="112">
        <v>2.1919999999999999E-2</v>
      </c>
      <c r="D39" s="109">
        <f t="shared" si="13"/>
        <v>5.8283716129032257</v>
      </c>
      <c r="E39" s="109">
        <f t="shared" si="12"/>
        <v>-4.7757610428598996E-5</v>
      </c>
      <c r="F39" s="116">
        <f>'Données MONIA BKAM'!D39-'Données MONIA BKAM'!C39</f>
        <v>3</v>
      </c>
      <c r="G39" s="117">
        <f>(1+C39/360*(B39-'Données MONIA BKAM'!C39))</f>
        <v>1.0001826666666667</v>
      </c>
      <c r="H39" s="117">
        <f t="shared" si="8"/>
        <v>0</v>
      </c>
      <c r="I39" s="118">
        <f t="shared" si="1"/>
        <v>1.8266666666666667E-4</v>
      </c>
      <c r="J39" s="119">
        <f t="shared" si="9"/>
        <v>10032.314667607929</v>
      </c>
      <c r="K39" s="120">
        <v>150000000</v>
      </c>
      <c r="L39" s="121">
        <f t="shared" si="2"/>
        <v>150027405.00506666</v>
      </c>
      <c r="M39" s="121">
        <f t="shared" si="3"/>
        <v>27405.005980925511</v>
      </c>
      <c r="N39" s="122">
        <f t="shared" si="4"/>
        <v>150027400</v>
      </c>
      <c r="O39" s="123">
        <f t="shared" si="5"/>
        <v>27400</v>
      </c>
      <c r="P39" s="124">
        <f t="shared" si="7"/>
        <v>5.0059809255108121</v>
      </c>
      <c r="R39" s="92"/>
      <c r="S39" s="168"/>
      <c r="T39" s="163"/>
      <c r="U39" s="164"/>
      <c r="V39" s="163"/>
      <c r="W39" s="163"/>
      <c r="X39" s="169"/>
      <c r="Y39" s="1"/>
      <c r="Z39" s="172"/>
      <c r="AA39" s="164"/>
      <c r="AD39" s="170" t="s">
        <v>66</v>
      </c>
      <c r="AE39" s="171" t="s">
        <v>67</v>
      </c>
      <c r="AF39" s="171" t="s">
        <v>8</v>
      </c>
    </row>
    <row r="40" spans="1:32">
      <c r="A40" s="100"/>
      <c r="B40" s="104">
        <v>43886</v>
      </c>
      <c r="C40" s="112">
        <v>2.1930000000000002E-2</v>
      </c>
      <c r="D40" s="109">
        <f t="shared" si="13"/>
        <v>5.8283816129032262</v>
      </c>
      <c r="E40" s="109">
        <f t="shared" si="12"/>
        <v>-3.7757610428595934E-5</v>
      </c>
      <c r="F40" s="116">
        <f>'Données MONIA BKAM'!D40-'Données MONIA BKAM'!C40</f>
        <v>1</v>
      </c>
      <c r="G40" s="117">
        <f>(1+C40/360*(B40-'Données MONIA BKAM'!C40))</f>
        <v>1.0000609166666667</v>
      </c>
      <c r="H40" s="117">
        <f t="shared" si="8"/>
        <v>0</v>
      </c>
      <c r="I40" s="118">
        <f t="shared" si="1"/>
        <v>6.0916666666666672E-5</v>
      </c>
      <c r="J40" s="119">
        <f t="shared" si="9"/>
        <v>10032.92580277643</v>
      </c>
      <c r="K40" s="120">
        <v>150000000</v>
      </c>
      <c r="L40" s="121">
        <f t="shared" si="2"/>
        <v>150009138.05662605</v>
      </c>
      <c r="M40" s="121">
        <f t="shared" si="3"/>
        <v>9138.0566599494705</v>
      </c>
      <c r="N40" s="122">
        <f t="shared" si="4"/>
        <v>150009137.5</v>
      </c>
      <c r="O40" s="123">
        <f t="shared" si="5"/>
        <v>9137.5</v>
      </c>
      <c r="P40" s="124">
        <f t="shared" si="7"/>
        <v>0.55665994947048603</v>
      </c>
      <c r="R40" s="92"/>
      <c r="S40" s="168"/>
      <c r="T40" s="163"/>
      <c r="U40" s="164"/>
      <c r="V40" s="163"/>
      <c r="W40" s="163"/>
      <c r="X40" s="169"/>
      <c r="Y40" s="1"/>
      <c r="Z40" s="172"/>
      <c r="AA40" s="164"/>
      <c r="AD40" s="170" t="s">
        <v>68</v>
      </c>
      <c r="AE40" s="171" t="s">
        <v>65</v>
      </c>
      <c r="AF40" s="171" t="s">
        <v>8</v>
      </c>
    </row>
    <row r="41" spans="1:32">
      <c r="A41" s="100"/>
      <c r="B41" s="104">
        <v>43887</v>
      </c>
      <c r="C41" s="112">
        <v>2.1950000000000001E-2</v>
      </c>
      <c r="D41" s="109">
        <f t="shared" si="13"/>
        <v>5.8284016129032263</v>
      </c>
      <c r="E41" s="109">
        <f t="shared" si="12"/>
        <v>-1.7757610428596748E-5</v>
      </c>
      <c r="F41" s="116">
        <f>'Données MONIA BKAM'!D41-'Données MONIA BKAM'!C41</f>
        <v>1</v>
      </c>
      <c r="G41" s="117">
        <f>(1+C41/360*(B41-'Données MONIA BKAM'!C41))</f>
        <v>1.0000609722222222</v>
      </c>
      <c r="H41" s="117">
        <f t="shared" si="8"/>
        <v>0</v>
      </c>
      <c r="I41" s="118">
        <f t="shared" si="1"/>
        <v>6.0972222222222223E-5</v>
      </c>
      <c r="J41" s="119">
        <f t="shared" si="9"/>
        <v>10033.537532558015</v>
      </c>
      <c r="K41" s="120">
        <v>150000000</v>
      </c>
      <c r="L41" s="121">
        <f t="shared" si="2"/>
        <v>150009146.39097512</v>
      </c>
      <c r="M41" s="121">
        <f t="shared" si="3"/>
        <v>9146.3910091163998</v>
      </c>
      <c r="N41" s="122">
        <f t="shared" si="4"/>
        <v>150009145.83333334</v>
      </c>
      <c r="O41" s="123">
        <f t="shared" si="5"/>
        <v>9145.8333333333339</v>
      </c>
      <c r="P41" s="124">
        <f t="shared" si="7"/>
        <v>0.55767578306586074</v>
      </c>
      <c r="R41" s="92"/>
      <c r="S41" s="168"/>
      <c r="T41" s="163"/>
      <c r="U41" s="164"/>
      <c r="V41" s="163"/>
      <c r="W41" s="163"/>
      <c r="X41" s="164"/>
      <c r="Y41" s="1"/>
      <c r="Z41" s="172"/>
      <c r="AA41" s="164"/>
      <c r="AD41" s="170" t="s">
        <v>69</v>
      </c>
      <c r="AE41" s="171" t="s">
        <v>70</v>
      </c>
      <c r="AF41" s="171" t="s">
        <v>8</v>
      </c>
    </row>
    <row r="42" spans="1:32">
      <c r="A42" s="100"/>
      <c r="B42" s="104">
        <v>43888</v>
      </c>
      <c r="C42" s="112">
        <v>2.198E-2</v>
      </c>
      <c r="D42" s="109">
        <f t="shared" si="13"/>
        <v>5.8284316129032261</v>
      </c>
      <c r="E42" s="109">
        <f t="shared" si="12"/>
        <v>1.2242389571402029E-5</v>
      </c>
      <c r="F42" s="116">
        <f>'Données MONIA BKAM'!D42-'Données MONIA BKAM'!C42</f>
        <v>1</v>
      </c>
      <c r="G42" s="117">
        <f>(1+C42/360*(B42-'Données MONIA BKAM'!C42))</f>
        <v>1.0000610555555556</v>
      </c>
      <c r="H42" s="117">
        <f t="shared" si="8"/>
        <v>0</v>
      </c>
      <c r="I42" s="118">
        <f t="shared" si="1"/>
        <v>6.1055555555555556E-5</v>
      </c>
      <c r="J42" s="119">
        <f t="shared" si="9"/>
        <v>10034.150135766253</v>
      </c>
      <c r="K42" s="120">
        <v>150000000</v>
      </c>
      <c r="L42" s="121">
        <f t="shared" si="2"/>
        <v>150009158.89250046</v>
      </c>
      <c r="M42" s="121">
        <f t="shared" si="3"/>
        <v>9158.8925346032229</v>
      </c>
      <c r="N42" s="122">
        <f t="shared" si="4"/>
        <v>150009158.33333334</v>
      </c>
      <c r="O42" s="123">
        <f t="shared" si="5"/>
        <v>9158.3333333333339</v>
      </c>
      <c r="P42" s="124">
        <f t="shared" si="7"/>
        <v>0.55920126988894481</v>
      </c>
      <c r="R42" s="92"/>
      <c r="S42" s="173"/>
      <c r="T42" s="163"/>
      <c r="U42" s="164"/>
      <c r="V42" s="163"/>
      <c r="W42" s="163"/>
      <c r="X42" s="164"/>
      <c r="Y42" s="1"/>
      <c r="Z42" s="172"/>
      <c r="AA42" s="164"/>
      <c r="AC42" s="166"/>
    </row>
    <row r="43" spans="1:32">
      <c r="A43" s="100"/>
      <c r="B43" s="104">
        <v>43889</v>
      </c>
      <c r="C43" s="112">
        <v>2.1729999999999999E-2</v>
      </c>
      <c r="D43" s="109">
        <f t="shared" si="13"/>
        <v>5.8281816129032258</v>
      </c>
      <c r="E43" s="109">
        <f t="shared" si="12"/>
        <v>-2.3775761042859819E-4</v>
      </c>
      <c r="F43" s="116">
        <f>'Données MONIA BKAM'!D43-'Données MONIA BKAM'!C43</f>
        <v>1</v>
      </c>
      <c r="G43" s="117">
        <f>(1+C43/360*(B43-'Données MONIA BKAM'!C43))</f>
        <v>1.0000603611111112</v>
      </c>
      <c r="H43" s="117">
        <f t="shared" si="8"/>
        <v>0</v>
      </c>
      <c r="I43" s="118">
        <f t="shared" si="1"/>
        <v>6.0361111111111109E-5</v>
      </c>
      <c r="J43" s="119">
        <f t="shared" si="9"/>
        <v>10034.755808217504</v>
      </c>
      <c r="K43" s="120">
        <v>150000000</v>
      </c>
      <c r="L43" s="121">
        <f t="shared" si="2"/>
        <v>150009054.71318623</v>
      </c>
      <c r="M43" s="121">
        <f t="shared" si="3"/>
        <v>9054.7132192153804</v>
      </c>
      <c r="N43" s="122">
        <f t="shared" si="4"/>
        <v>150009054.16666666</v>
      </c>
      <c r="O43" s="123">
        <f t="shared" si="5"/>
        <v>9054.1666666666661</v>
      </c>
      <c r="P43" s="124">
        <f t="shared" si="7"/>
        <v>0.5465525487143168</v>
      </c>
      <c r="R43" s="92"/>
      <c r="S43" s="173"/>
      <c r="T43" s="163"/>
      <c r="V43" s="163"/>
      <c r="W43" s="163"/>
      <c r="X43" s="164"/>
      <c r="Y43" s="164"/>
      <c r="Z43" s="164"/>
      <c r="AA43" s="164"/>
      <c r="AD43" s="170" t="s">
        <v>71</v>
      </c>
      <c r="AE43" s="61"/>
    </row>
    <row r="44" spans="1:32">
      <c r="A44" s="148"/>
      <c r="B44" s="105">
        <v>43892</v>
      </c>
      <c r="C44" s="113">
        <v>2.198E-2</v>
      </c>
      <c r="D44" s="110">
        <f t="shared" si="13"/>
        <v>5.8284316129032261</v>
      </c>
      <c r="E44" s="113">
        <f t="shared" ref="E44:E64" si="14">C44-$T$4</f>
        <v>2.7198169650055615E-4</v>
      </c>
      <c r="F44" s="150">
        <f>'Données MONIA BKAM'!D44-'Données MONIA BKAM'!C44</f>
        <v>3</v>
      </c>
      <c r="G44" s="151">
        <f>(1+C44/360*(B44-'Données MONIA BKAM'!C44))</f>
        <v>1.0001831666666667</v>
      </c>
      <c r="H44" s="151">
        <f t="shared" si="8"/>
        <v>0</v>
      </c>
      <c r="I44" s="152">
        <f t="shared" si="1"/>
        <v>1.8316666666666666E-4</v>
      </c>
      <c r="J44" s="153">
        <f t="shared" si="9"/>
        <v>10036.593840989708</v>
      </c>
      <c r="K44" s="154">
        <v>150000000</v>
      </c>
      <c r="L44" s="155">
        <f t="shared" si="2"/>
        <v>150027480.03250417</v>
      </c>
      <c r="M44" s="155">
        <f t="shared" si="3"/>
        <v>27480.033425953679</v>
      </c>
      <c r="N44" s="156">
        <f t="shared" si="4"/>
        <v>150027475</v>
      </c>
      <c r="O44" s="157">
        <f t="shared" si="5"/>
        <v>27475</v>
      </c>
      <c r="P44" s="158">
        <f t="shared" si="7"/>
        <v>5.0334259536793979</v>
      </c>
      <c r="R44" s="92"/>
      <c r="S44" s="167"/>
      <c r="T44" s="163"/>
      <c r="U44" s="164"/>
      <c r="V44" s="163"/>
      <c r="W44" s="163"/>
      <c r="X44" s="164"/>
      <c r="Y44" s="164"/>
      <c r="Z44" s="164"/>
      <c r="AA44" s="164"/>
      <c r="AD44" s="170" t="s">
        <v>72</v>
      </c>
      <c r="AE44" s="174">
        <v>0.02</v>
      </c>
    </row>
    <row r="45" spans="1:32">
      <c r="A45" s="100"/>
      <c r="B45" s="104">
        <v>43893</v>
      </c>
      <c r="C45" s="112">
        <v>2.188E-2</v>
      </c>
      <c r="D45" s="112">
        <f t="shared" ref="D45:D64" si="15">C45-$T$9</f>
        <v>4.0218800000000003</v>
      </c>
      <c r="E45" s="112">
        <f t="shared" si="14"/>
        <v>1.7198169650055675E-4</v>
      </c>
      <c r="F45" s="116">
        <f>'Données MONIA BKAM'!D45-'Données MONIA BKAM'!C45</f>
        <v>1</v>
      </c>
      <c r="G45" s="117">
        <f>(1+C45/360*(B45-'Données MONIA BKAM'!C45))</f>
        <v>1.0000607777777777</v>
      </c>
      <c r="H45" s="117">
        <f t="shared" si="8"/>
        <v>0</v>
      </c>
      <c r="I45" s="118">
        <f t="shared" si="1"/>
        <v>6.0777777777777775E-5</v>
      </c>
      <c r="J45" s="119">
        <f t="shared" si="9"/>
        <v>10037.203842859821</v>
      </c>
      <c r="K45" s="120">
        <v>150000000</v>
      </c>
      <c r="L45" s="121">
        <f t="shared" si="2"/>
        <v>150009117.2207574</v>
      </c>
      <c r="M45" s="121">
        <f t="shared" si="3"/>
        <v>9117.2207910838097</v>
      </c>
      <c r="N45" s="122">
        <f t="shared" si="4"/>
        <v>150009116.66666666</v>
      </c>
      <c r="O45" s="123">
        <f t="shared" si="5"/>
        <v>9116.6666666666661</v>
      </c>
      <c r="P45" s="124">
        <f t="shared" si="7"/>
        <v>0.55412441714361194</v>
      </c>
      <c r="R45" s="92"/>
      <c r="S45" s="175"/>
      <c r="T45" s="163"/>
      <c r="U45" s="164"/>
      <c r="Y45" s="164"/>
      <c r="Z45" s="164"/>
      <c r="AA45" s="164"/>
    </row>
    <row r="46" spans="1:32">
      <c r="A46" s="100"/>
      <c r="B46" s="104">
        <v>43894</v>
      </c>
      <c r="C46" s="112">
        <v>2.1850000000000001E-2</v>
      </c>
      <c r="D46" s="112">
        <f t="shared" si="15"/>
        <v>4.0218499999999997</v>
      </c>
      <c r="E46" s="112">
        <f t="shared" si="14"/>
        <v>1.4198169650055797E-4</v>
      </c>
      <c r="F46" s="116">
        <f>'Données MONIA BKAM'!D46-'Données MONIA BKAM'!C46</f>
        <v>1</v>
      </c>
      <c r="G46" s="117">
        <f>(1+C46/360*(B46-'Données MONIA BKAM'!C46))</f>
        <v>1.0000606944444443</v>
      </c>
      <c r="H46" s="117">
        <f t="shared" si="8"/>
        <v>0</v>
      </c>
      <c r="I46" s="118">
        <f t="shared" si="1"/>
        <v>6.0694444444444449E-5</v>
      </c>
      <c r="J46" s="119">
        <f t="shared" si="9"/>
        <v>10037.813045370838</v>
      </c>
      <c r="K46" s="120">
        <v>150000000</v>
      </c>
      <c r="L46" s="121">
        <f t="shared" si="2"/>
        <v>150009104.719239</v>
      </c>
      <c r="M46" s="121">
        <f t="shared" si="3"/>
        <v>9104.7192725427012</v>
      </c>
      <c r="N46" s="122">
        <f t="shared" si="4"/>
        <v>150009104.16666666</v>
      </c>
      <c r="O46" s="123">
        <f t="shared" si="5"/>
        <v>9104.1666666666679</v>
      </c>
      <c r="P46" s="124">
        <f t="shared" si="7"/>
        <v>0.55260587603333988</v>
      </c>
      <c r="R46" s="165"/>
      <c r="S46" s="165"/>
      <c r="T46" s="163"/>
      <c r="V46" s="175"/>
      <c r="W46" s="175"/>
      <c r="X46" s="164"/>
      <c r="Y46" s="164"/>
      <c r="Z46" s="164"/>
      <c r="AA46" s="164"/>
    </row>
    <row r="47" spans="1:32">
      <c r="A47" s="100"/>
      <c r="B47" s="104">
        <v>43895</v>
      </c>
      <c r="C47" s="112">
        <v>2.1919999999999999E-2</v>
      </c>
      <c r="D47" s="112">
        <f t="shared" si="15"/>
        <v>4.0219199999999997</v>
      </c>
      <c r="E47" s="112">
        <f t="shared" si="14"/>
        <v>2.1198169650055512E-4</v>
      </c>
      <c r="F47" s="116">
        <f>'Données MONIA BKAM'!D47-'Données MONIA BKAM'!C47</f>
        <v>1</v>
      </c>
      <c r="G47" s="117">
        <f>(1+C47/360*(B47-'Données MONIA BKAM'!C47))</f>
        <v>1.0000608888888889</v>
      </c>
      <c r="H47" s="117">
        <f t="shared" si="8"/>
        <v>0</v>
      </c>
      <c r="I47" s="118">
        <f t="shared" si="1"/>
        <v>6.0888888888888883E-5</v>
      </c>
      <c r="J47" s="119">
        <f t="shared" si="9"/>
        <v>10038.424236654046</v>
      </c>
      <c r="K47" s="120">
        <v>150000000</v>
      </c>
      <c r="L47" s="121">
        <f t="shared" si="2"/>
        <v>150009133.88945186</v>
      </c>
      <c r="M47" s="121">
        <f t="shared" si="3"/>
        <v>9133.8894857132909</v>
      </c>
      <c r="N47" s="122">
        <f t="shared" si="4"/>
        <v>150009133.33333334</v>
      </c>
      <c r="O47" s="123">
        <f t="shared" si="5"/>
        <v>9133.3333333333321</v>
      </c>
      <c r="P47" s="124">
        <f t="shared" si="7"/>
        <v>0.55615237995880307</v>
      </c>
      <c r="S47" s="164"/>
      <c r="U47" s="175"/>
      <c r="V47" s="175"/>
      <c r="W47" s="175"/>
      <c r="X47" s="164"/>
      <c r="Y47" s="164"/>
      <c r="Z47" s="164"/>
      <c r="AA47" s="164"/>
    </row>
    <row r="48" spans="1:32">
      <c r="A48" s="100"/>
      <c r="B48" s="104">
        <v>43896</v>
      </c>
      <c r="C48" s="112">
        <v>2.1999999999999999E-2</v>
      </c>
      <c r="D48" s="112">
        <f t="shared" si="15"/>
        <v>4.0220000000000002</v>
      </c>
      <c r="E48" s="112">
        <f t="shared" si="14"/>
        <v>2.9198169650055533E-4</v>
      </c>
      <c r="F48" s="116">
        <f>'Données MONIA BKAM'!D48-'Données MONIA BKAM'!C48</f>
        <v>1</v>
      </c>
      <c r="G48" s="117">
        <f>(1+C48/360*(B48-'Données MONIA BKAM'!C48))</f>
        <v>1.0000611111111111</v>
      </c>
      <c r="H48" s="117">
        <f t="shared" si="8"/>
        <v>0</v>
      </c>
      <c r="I48" s="118">
        <f t="shared" si="1"/>
        <v>6.1111111111111107E-5</v>
      </c>
      <c r="J48" s="119">
        <f t="shared" si="9"/>
        <v>10039.037695912952</v>
      </c>
      <c r="K48" s="120">
        <v>150000000</v>
      </c>
      <c r="L48" s="121">
        <f t="shared" si="2"/>
        <v>150009167.22685185</v>
      </c>
      <c r="M48" s="121">
        <f t="shared" si="3"/>
        <v>9167.226886085391</v>
      </c>
      <c r="N48" s="122">
        <f t="shared" si="4"/>
        <v>150009166.66666666</v>
      </c>
      <c r="O48" s="123">
        <f t="shared" si="5"/>
        <v>9166.6666666666661</v>
      </c>
      <c r="P48" s="124">
        <f t="shared" si="7"/>
        <v>0.56021941872495518</v>
      </c>
      <c r="R48" s="166"/>
      <c r="S48" s="176"/>
      <c r="T48" s="165"/>
      <c r="U48" s="175"/>
      <c r="V48" s="175"/>
      <c r="W48" s="175"/>
      <c r="X48" s="164"/>
      <c r="Y48" s="164"/>
      <c r="Z48" s="164"/>
      <c r="AA48" s="164"/>
    </row>
    <row r="49" spans="1:27">
      <c r="A49" s="100"/>
      <c r="B49" s="104">
        <v>43899</v>
      </c>
      <c r="C49" s="112">
        <v>2.2020000000000001E-2</v>
      </c>
      <c r="D49" s="112">
        <f t="shared" si="15"/>
        <v>4.0220200000000004</v>
      </c>
      <c r="E49" s="112">
        <f t="shared" si="14"/>
        <v>3.1198169650055799E-4</v>
      </c>
      <c r="F49" s="116">
        <f>'Données MONIA BKAM'!D49-'Données MONIA BKAM'!C49</f>
        <v>3</v>
      </c>
      <c r="G49" s="117">
        <f>(1+C49/360*(B49-'Données MONIA BKAM'!C49))</f>
        <v>1.0001834999999999</v>
      </c>
      <c r="H49" s="117">
        <f t="shared" si="8"/>
        <v>0</v>
      </c>
      <c r="I49" s="118">
        <f t="shared" si="1"/>
        <v>1.8350000000000002E-4</v>
      </c>
      <c r="J49" s="119">
        <f t="shared" si="9"/>
        <v>10040.879859330151</v>
      </c>
      <c r="K49" s="120">
        <v>150000000</v>
      </c>
      <c r="L49" s="121">
        <f t="shared" si="2"/>
        <v>150027530.05083749</v>
      </c>
      <c r="M49" s="121">
        <f t="shared" si="3"/>
        <v>27530.05176432868</v>
      </c>
      <c r="N49" s="122">
        <f t="shared" si="4"/>
        <v>150027525</v>
      </c>
      <c r="O49" s="123">
        <f t="shared" si="5"/>
        <v>27525.000000000004</v>
      </c>
      <c r="P49" s="124">
        <f t="shared" si="7"/>
        <v>5.0517643286766543</v>
      </c>
      <c r="R49" s="166"/>
      <c r="S49" s="176"/>
      <c r="T49" s="165"/>
      <c r="U49" s="175"/>
      <c r="V49" s="175"/>
      <c r="W49" s="175"/>
      <c r="X49" s="164"/>
      <c r="Y49" s="164"/>
      <c r="Z49" s="164"/>
      <c r="AA49" s="164"/>
    </row>
    <row r="50" spans="1:27">
      <c r="A50" s="100"/>
      <c r="B50" s="104">
        <v>43900</v>
      </c>
      <c r="C50" s="112">
        <v>2.197E-2</v>
      </c>
      <c r="D50" s="112">
        <f t="shared" si="15"/>
        <v>4.0219699999999996</v>
      </c>
      <c r="E50" s="112">
        <f t="shared" si="14"/>
        <v>2.6198169650055655E-4</v>
      </c>
      <c r="F50" s="116">
        <f>'Données MONIA BKAM'!D50-'Données MONIA BKAM'!C50</f>
        <v>1</v>
      </c>
      <c r="G50" s="117">
        <f>(1+C50/360*(B50-'Données MONIA BKAM'!C50))</f>
        <v>1.0000610277777777</v>
      </c>
      <c r="H50" s="117">
        <f t="shared" si="8"/>
        <v>0</v>
      </c>
      <c r="I50" s="118">
        <f t="shared" si="1"/>
        <v>6.1027777777777781E-5</v>
      </c>
      <c r="J50" s="119">
        <f t="shared" si="9"/>
        <v>10041.4926319149</v>
      </c>
      <c r="K50" s="120">
        <v>150000000</v>
      </c>
      <c r="L50" s="121">
        <f t="shared" si="2"/>
        <v>150009154.72532511</v>
      </c>
      <c r="M50" s="121">
        <f t="shared" si="3"/>
        <v>9154.7253592094239</v>
      </c>
      <c r="N50" s="122">
        <f t="shared" si="4"/>
        <v>150009154.16666666</v>
      </c>
      <c r="O50" s="123">
        <f t="shared" si="5"/>
        <v>9154.1666666666679</v>
      </c>
      <c r="P50" s="124">
        <f t="shared" si="7"/>
        <v>0.55869254275603453</v>
      </c>
      <c r="R50" s="166"/>
      <c r="S50" s="176"/>
      <c r="T50" s="165"/>
      <c r="U50" s="175"/>
      <c r="V50" s="175"/>
      <c r="W50" s="175"/>
      <c r="X50" s="164"/>
      <c r="Y50" s="164"/>
      <c r="Z50" s="164"/>
      <c r="AA50" s="164"/>
    </row>
    <row r="51" spans="1:27">
      <c r="A51" s="100"/>
      <c r="B51" s="104">
        <v>43901</v>
      </c>
      <c r="C51" s="112">
        <v>2.18E-2</v>
      </c>
      <c r="D51" s="112">
        <f t="shared" si="15"/>
        <v>4.0217999999999998</v>
      </c>
      <c r="E51" s="112">
        <f t="shared" si="14"/>
        <v>9.1981696500556542E-5</v>
      </c>
      <c r="F51" s="116">
        <f>'Données MONIA BKAM'!D51-'Données MONIA BKAM'!C51</f>
        <v>1</v>
      </c>
      <c r="G51" s="117">
        <f>(1+C51/360*(B51-'Données MONIA BKAM'!C51))</f>
        <v>1.0000605555555555</v>
      </c>
      <c r="H51" s="117">
        <f t="shared" si="8"/>
        <v>0</v>
      </c>
      <c r="I51" s="118">
        <f t="shared" si="1"/>
        <v>6.0555555555555558E-5</v>
      </c>
      <c r="J51" s="119">
        <f t="shared" si="9"/>
        <v>10042.100700079833</v>
      </c>
      <c r="K51" s="120">
        <v>150000000</v>
      </c>
      <c r="L51" s="121">
        <f t="shared" si="2"/>
        <v>150009083.88337964</v>
      </c>
      <c r="M51" s="121">
        <f t="shared" si="3"/>
        <v>9083.8834129379902</v>
      </c>
      <c r="N51" s="122">
        <f t="shared" si="4"/>
        <v>150009083.33333334</v>
      </c>
      <c r="O51" s="123">
        <f t="shared" si="5"/>
        <v>9083.3333333333339</v>
      </c>
      <c r="P51" s="124">
        <f t="shared" si="7"/>
        <v>0.55007960465627548</v>
      </c>
      <c r="R51" s="166"/>
      <c r="S51" s="176"/>
      <c r="T51" s="165"/>
      <c r="U51" s="175"/>
      <c r="V51" s="175"/>
      <c r="W51" s="175"/>
      <c r="X51" s="164"/>
      <c r="Y51" s="164"/>
      <c r="Z51" s="164"/>
      <c r="AA51" s="164"/>
    </row>
    <row r="52" spans="1:27">
      <c r="A52" s="100"/>
      <c r="B52" s="104">
        <v>43902</v>
      </c>
      <c r="C52" s="112">
        <v>2.1899999999999999E-2</v>
      </c>
      <c r="D52" s="112">
        <f t="shared" si="15"/>
        <v>4.0218999999999996</v>
      </c>
      <c r="E52" s="112">
        <f t="shared" si="14"/>
        <v>1.9198169650055594E-4</v>
      </c>
      <c r="F52" s="116">
        <f>'Données MONIA BKAM'!D52-'Données MONIA BKAM'!C52</f>
        <v>1</v>
      </c>
      <c r="G52" s="117">
        <f>(1+C52/360*(B52-'Données MONIA BKAM'!C52))</f>
        <v>1.0000608333333334</v>
      </c>
      <c r="H52" s="117">
        <f t="shared" si="8"/>
        <v>0</v>
      </c>
      <c r="I52" s="118">
        <f t="shared" si="1"/>
        <v>6.0833333333333333E-5</v>
      </c>
      <c r="J52" s="119">
        <f t="shared" si="9"/>
        <v>10042.711594539087</v>
      </c>
      <c r="K52" s="120">
        <v>150000000</v>
      </c>
      <c r="L52" s="121">
        <f t="shared" si="2"/>
        <v>150009125.55510417</v>
      </c>
      <c r="M52" s="121">
        <f t="shared" si="3"/>
        <v>9125.5551379355038</v>
      </c>
      <c r="N52" s="122">
        <f t="shared" si="4"/>
        <v>150009125</v>
      </c>
      <c r="O52" s="123">
        <f t="shared" si="5"/>
        <v>9125</v>
      </c>
      <c r="P52" s="124">
        <f t="shared" si="7"/>
        <v>0.55513793550380797</v>
      </c>
      <c r="R52" s="166"/>
      <c r="S52" s="176"/>
      <c r="T52" s="165"/>
      <c r="U52" s="175"/>
      <c r="V52" s="175"/>
      <c r="W52" s="175"/>
      <c r="X52" s="164"/>
      <c r="Y52" s="164"/>
      <c r="Z52" s="164"/>
      <c r="AA52" s="164"/>
    </row>
    <row r="53" spans="1:27">
      <c r="A53" s="100"/>
      <c r="B53" s="104">
        <v>43903</v>
      </c>
      <c r="C53" s="112">
        <v>2.2100000000000002E-2</v>
      </c>
      <c r="D53" s="112">
        <f t="shared" si="15"/>
        <v>4.0221</v>
      </c>
      <c r="E53" s="112">
        <f t="shared" si="14"/>
        <v>3.919816965005582E-4</v>
      </c>
      <c r="F53" s="116">
        <f>'Données MONIA BKAM'!D53-'Données MONIA BKAM'!C53</f>
        <v>1</v>
      </c>
      <c r="G53" s="117">
        <f>(1+C53/360*(B53-'Données MONIA BKAM'!C53))</f>
        <v>1.000061388888889</v>
      </c>
      <c r="H53" s="117">
        <f t="shared" si="8"/>
        <v>0</v>
      </c>
      <c r="I53" s="118">
        <f t="shared" si="1"/>
        <v>6.1388888888888889E-5</v>
      </c>
      <c r="J53" s="119">
        <f t="shared" si="9"/>
        <v>10043.328105445307</v>
      </c>
      <c r="K53" s="120">
        <v>150000000</v>
      </c>
      <c r="L53" s="121">
        <f t="shared" si="2"/>
        <v>150009208.89862269</v>
      </c>
      <c r="M53" s="121">
        <f t="shared" si="3"/>
        <v>9208.89865738767</v>
      </c>
      <c r="N53" s="122">
        <f t="shared" si="4"/>
        <v>150009208.33333334</v>
      </c>
      <c r="O53" s="123">
        <f t="shared" si="5"/>
        <v>9208.3333333333339</v>
      </c>
      <c r="P53" s="124">
        <f t="shared" si="7"/>
        <v>0.56532405433608801</v>
      </c>
      <c r="S53" s="176"/>
      <c r="U53" s="175"/>
      <c r="V53" s="175"/>
      <c r="W53" s="175"/>
      <c r="X53" s="164"/>
      <c r="Y53" s="164"/>
      <c r="Z53" s="164"/>
      <c r="AA53" s="164"/>
    </row>
    <row r="54" spans="1:27">
      <c r="A54" s="100"/>
      <c r="B54" s="104">
        <v>43906</v>
      </c>
      <c r="C54" s="112">
        <v>2.1999999999999999E-2</v>
      </c>
      <c r="D54" s="112">
        <f t="shared" si="15"/>
        <v>4.0220000000000002</v>
      </c>
      <c r="E54" s="112">
        <f t="shared" si="14"/>
        <v>2.9198169650055533E-4</v>
      </c>
      <c r="F54" s="116">
        <f>'Données MONIA BKAM'!D54-'Données MONIA BKAM'!C54</f>
        <v>3</v>
      </c>
      <c r="G54" s="117">
        <f>(1+C54/360*(B54-'Données MONIA BKAM'!C54))</f>
        <v>1.0001833333333334</v>
      </c>
      <c r="H54" s="117">
        <f t="shared" si="8"/>
        <v>0</v>
      </c>
      <c r="I54" s="118">
        <f t="shared" si="1"/>
        <v>1.8333333333333334E-4</v>
      </c>
      <c r="J54" s="119">
        <f t="shared" si="9"/>
        <v>10045.169382264639</v>
      </c>
      <c r="K54" s="120">
        <v>150000000</v>
      </c>
      <c r="L54" s="121">
        <f t="shared" si="2"/>
        <v>150027505.04166666</v>
      </c>
      <c r="M54" s="121">
        <f t="shared" si="3"/>
        <v>27505.042590972222</v>
      </c>
      <c r="N54" s="122">
        <f t="shared" si="4"/>
        <v>150027500</v>
      </c>
      <c r="O54" s="123">
        <f t="shared" si="5"/>
        <v>27500</v>
      </c>
      <c r="P54" s="124">
        <f t="shared" si="7"/>
        <v>5.0425909722216602</v>
      </c>
      <c r="R54" s="166"/>
      <c r="S54" s="176"/>
      <c r="T54" s="165"/>
      <c r="U54" s="175"/>
      <c r="V54" s="175"/>
      <c r="W54" s="175"/>
      <c r="X54" s="164"/>
      <c r="Y54" s="164"/>
      <c r="Z54" s="164"/>
      <c r="AA54" s="164"/>
    </row>
    <row r="55" spans="1:27">
      <c r="A55" s="100"/>
      <c r="B55" s="104">
        <v>43907</v>
      </c>
      <c r="C55" s="112">
        <v>2.2689999999999998E-2</v>
      </c>
      <c r="D55" s="112">
        <f t="shared" si="15"/>
        <v>4.0226899999999999</v>
      </c>
      <c r="E55" s="112">
        <f t="shared" si="14"/>
        <v>9.8198169650055497E-4</v>
      </c>
      <c r="F55" s="116">
        <f>'Données MONIA BKAM'!D55-'Données MONIA BKAM'!C55</f>
        <v>1</v>
      </c>
      <c r="G55" s="117">
        <f>(1+C55/360*(B55-'Données MONIA BKAM'!C55))</f>
        <v>1.0000630277777778</v>
      </c>
      <c r="H55" s="117">
        <f t="shared" si="8"/>
        <v>0</v>
      </c>
      <c r="I55" s="118">
        <f t="shared" si="1"/>
        <v>6.3027777777777775E-5</v>
      </c>
      <c r="J55" s="119">
        <f t="shared" si="9"/>
        <v>10045.802506968204</v>
      </c>
      <c r="K55" s="120">
        <v>150000000</v>
      </c>
      <c r="L55" s="121">
        <f t="shared" si="2"/>
        <v>150009454.76254177</v>
      </c>
      <c r="M55" s="121">
        <f t="shared" si="3"/>
        <v>9454.7625793390907</v>
      </c>
      <c r="N55" s="122">
        <f t="shared" si="4"/>
        <v>150009454.16666666</v>
      </c>
      <c r="O55" s="123">
        <f t="shared" si="5"/>
        <v>9454.1666666666661</v>
      </c>
      <c r="P55" s="124">
        <f t="shared" si="7"/>
        <v>0.59591267242467438</v>
      </c>
      <c r="R55" s="166"/>
      <c r="S55" s="176"/>
      <c r="T55" s="165"/>
      <c r="U55" s="175"/>
      <c r="V55" s="175"/>
      <c r="W55" s="175"/>
      <c r="X55" s="164"/>
      <c r="Y55" s="164"/>
      <c r="Z55" s="164"/>
      <c r="AA55" s="164"/>
    </row>
    <row r="56" spans="1:27">
      <c r="A56" s="100"/>
      <c r="B56" s="104">
        <v>43908</v>
      </c>
      <c r="C56" s="112">
        <v>2.4570000000000002E-2</v>
      </c>
      <c r="D56" s="112">
        <f t="shared" si="15"/>
        <v>4.0245699999999998</v>
      </c>
      <c r="E56" s="112">
        <f t="shared" si="14"/>
        <v>2.8619816965005582E-3</v>
      </c>
      <c r="F56" s="116">
        <f>'Données MONIA BKAM'!D56-'Données MONIA BKAM'!C56</f>
        <v>1</v>
      </c>
      <c r="G56" s="117">
        <f>(1+C56/360*(B56-'Données MONIA BKAM'!C56))</f>
        <v>1.00006825</v>
      </c>
      <c r="H56" s="117">
        <f t="shared" si="8"/>
        <v>0</v>
      </c>
      <c r="I56" s="118">
        <f t="shared" si="1"/>
        <v>6.8250000000000006E-5</v>
      </c>
      <c r="J56" s="119">
        <f t="shared" si="9"/>
        <v>10046.488132989305</v>
      </c>
      <c r="K56" s="120">
        <v>150000000</v>
      </c>
      <c r="L56" s="121">
        <f t="shared" si="2"/>
        <v>150010238.19870937</v>
      </c>
      <c r="M56" s="121">
        <f t="shared" si="3"/>
        <v>10238.198757061915</v>
      </c>
      <c r="N56" s="122">
        <f t="shared" si="4"/>
        <v>150010237.5</v>
      </c>
      <c r="O56" s="123">
        <f t="shared" si="5"/>
        <v>10237.5</v>
      </c>
      <c r="P56" s="124">
        <f t="shared" si="7"/>
        <v>0.69875706191487552</v>
      </c>
      <c r="S56" s="100"/>
      <c r="T56" s="100"/>
      <c r="U56" s="100"/>
      <c r="V56" s="100"/>
      <c r="W56" s="100"/>
      <c r="Y56" s="164"/>
      <c r="Z56" s="164"/>
      <c r="AA56" s="164"/>
    </row>
    <row r="57" spans="1:27">
      <c r="A57" s="100"/>
      <c r="B57" s="104">
        <v>43909</v>
      </c>
      <c r="C57" s="112">
        <v>2.1530000000000001E-2</v>
      </c>
      <c r="D57" s="112">
        <f t="shared" si="15"/>
        <v>4.0215300000000003</v>
      </c>
      <c r="E57" s="112">
        <f t="shared" si="14"/>
        <v>-1.7801830349944286E-4</v>
      </c>
      <c r="F57" s="116">
        <f>'Données MONIA BKAM'!D57-'Données MONIA BKAM'!C57</f>
        <v>1</v>
      </c>
      <c r="G57" s="117">
        <f>(1+C57/360*(B57-'Données MONIA BKAM'!C57))</f>
        <v>1.0000598055555556</v>
      </c>
      <c r="H57" s="117">
        <f t="shared" si="8"/>
        <v>0</v>
      </c>
      <c r="I57" s="118">
        <f t="shared" si="1"/>
        <v>5.980555555555556E-5</v>
      </c>
      <c r="J57" s="119">
        <f t="shared" si="9"/>
        <v>10047.088968793481</v>
      </c>
      <c r="K57" s="120">
        <v>150000000</v>
      </c>
      <c r="L57" s="121">
        <f t="shared" si="2"/>
        <v>150008971.36983901</v>
      </c>
      <c r="M57" s="121">
        <f t="shared" si="3"/>
        <v>8971.3698710906501</v>
      </c>
      <c r="N57" s="122">
        <f t="shared" si="4"/>
        <v>150008970.83333334</v>
      </c>
      <c r="O57" s="123">
        <f t="shared" si="5"/>
        <v>8970.8333333333339</v>
      </c>
      <c r="P57" s="124">
        <f t="shared" si="7"/>
        <v>0.53653775731618225</v>
      </c>
      <c r="S57" s="100"/>
      <c r="T57" s="100"/>
      <c r="U57" s="100"/>
      <c r="V57" s="100"/>
      <c r="W57" s="100"/>
      <c r="Y57" s="164"/>
      <c r="Z57" s="164"/>
      <c r="AA57" s="164"/>
    </row>
    <row r="58" spans="1:27">
      <c r="A58" s="100"/>
      <c r="B58" s="104">
        <v>43910</v>
      </c>
      <c r="C58" s="112">
        <v>1.9400000000000001E-2</v>
      </c>
      <c r="D58" s="112">
        <f t="shared" si="15"/>
        <v>4.0194000000000001</v>
      </c>
      <c r="E58" s="112">
        <f t="shared" si="14"/>
        <v>-2.3080183034994428E-3</v>
      </c>
      <c r="F58" s="116">
        <f>'Données MONIA BKAM'!D58-'Données MONIA BKAM'!C58</f>
        <v>1</v>
      </c>
      <c r="G58" s="117">
        <f>(1+C58/360*(B58-'Données MONIA BKAM'!C58))</f>
        <v>1.0000538888888888</v>
      </c>
      <c r="H58" s="117">
        <f t="shared" si="8"/>
        <v>0</v>
      </c>
      <c r="I58" s="118">
        <f t="shared" si="1"/>
        <v>5.3888888888888889E-5</v>
      </c>
      <c r="J58" s="119">
        <f t="shared" si="9"/>
        <v>10047.630395254577</v>
      </c>
      <c r="K58" s="120">
        <v>150000000</v>
      </c>
      <c r="L58" s="121">
        <f t="shared" si="2"/>
        <v>150008083.76893517</v>
      </c>
      <c r="M58" s="121">
        <f t="shared" si="3"/>
        <v>8083.7689586592842</v>
      </c>
      <c r="N58" s="122">
        <f t="shared" si="4"/>
        <v>150008083.33333334</v>
      </c>
      <c r="O58" s="123">
        <f t="shared" si="5"/>
        <v>8083.333333333333</v>
      </c>
      <c r="P58" s="124">
        <f t="shared" si="7"/>
        <v>0.43562532595115044</v>
      </c>
      <c r="S58" s="100"/>
      <c r="T58" s="100"/>
      <c r="U58" s="100"/>
      <c r="V58" s="100"/>
      <c r="W58" s="100"/>
    </row>
    <row r="59" spans="1:27">
      <c r="A59" s="100"/>
      <c r="B59" s="104">
        <v>43913</v>
      </c>
      <c r="C59" s="112">
        <v>1.9550000000000001E-2</v>
      </c>
      <c r="D59" s="112">
        <f t="shared" si="15"/>
        <v>4.0195499999999997</v>
      </c>
      <c r="E59" s="112">
        <f t="shared" si="14"/>
        <v>-2.158018303499442E-3</v>
      </c>
      <c r="F59" s="116">
        <f>'Données MONIA BKAM'!D59-'Données MONIA BKAM'!C59</f>
        <v>3</v>
      </c>
      <c r="G59" s="117">
        <f>(1+C59/360*(B59-'Données MONIA BKAM'!C59))</f>
        <v>1.0001629166666666</v>
      </c>
      <c r="H59" s="117">
        <f t="shared" si="8"/>
        <v>0</v>
      </c>
      <c r="I59" s="118">
        <f t="shared" si="1"/>
        <v>1.6291666666666668E-4</v>
      </c>
      <c r="J59" s="119">
        <f t="shared" si="9"/>
        <v>10049.267321706471</v>
      </c>
      <c r="K59" s="120">
        <v>150000000</v>
      </c>
      <c r="L59" s="121">
        <f t="shared" si="2"/>
        <v>150024441.48127604</v>
      </c>
      <c r="M59" s="121">
        <f t="shared" si="3"/>
        <v>24441.481924657888</v>
      </c>
      <c r="N59" s="122">
        <f t="shared" si="4"/>
        <v>150024437.5</v>
      </c>
      <c r="O59" s="123">
        <f t="shared" si="5"/>
        <v>24437.5</v>
      </c>
      <c r="P59" s="124">
        <f t="shared" si="7"/>
        <v>3.9819246578881575</v>
      </c>
      <c r="S59" s="100"/>
      <c r="T59" s="100"/>
      <c r="U59" s="100"/>
      <c r="V59" s="100"/>
      <c r="W59" s="100"/>
    </row>
    <row r="60" spans="1:27">
      <c r="A60" s="100"/>
      <c r="B60" s="104">
        <v>43914</v>
      </c>
      <c r="C60" s="112">
        <v>1.9290000000000002E-2</v>
      </c>
      <c r="D60" s="112">
        <f t="shared" si="15"/>
        <v>4.0192899999999998</v>
      </c>
      <c r="E60" s="112">
        <f t="shared" si="14"/>
        <v>-2.4180183034994418E-3</v>
      </c>
      <c r="F60" s="116">
        <f>'Données MONIA BKAM'!D60-'Données MONIA BKAM'!C60</f>
        <v>1</v>
      </c>
      <c r="G60" s="117">
        <f>(1+C60/360*(B60-'Données MONIA BKAM'!C60))</f>
        <v>1.0000535833333333</v>
      </c>
      <c r="H60" s="117">
        <f t="shared" si="8"/>
        <v>0</v>
      </c>
      <c r="I60" s="118">
        <f t="shared" si="1"/>
        <v>5.3583333333333339E-5</v>
      </c>
      <c r="J60" s="119">
        <f t="shared" si="9"/>
        <v>10049.805794947126</v>
      </c>
      <c r="K60" s="120">
        <v>150000000</v>
      </c>
      <c r="L60" s="121">
        <f t="shared" si="2"/>
        <v>150008037.93067604</v>
      </c>
      <c r="M60" s="121">
        <f t="shared" si="3"/>
        <v>8037.9306991187259</v>
      </c>
      <c r="N60" s="122">
        <f t="shared" si="4"/>
        <v>150008037.5</v>
      </c>
      <c r="O60" s="123">
        <f t="shared" si="5"/>
        <v>8037.5000000000009</v>
      </c>
      <c r="P60" s="124">
        <f t="shared" si="7"/>
        <v>0.43069911872498778</v>
      </c>
      <c r="S60" s="100"/>
      <c r="T60" s="100"/>
      <c r="U60" s="100"/>
      <c r="V60" s="100"/>
      <c r="W60" s="100"/>
    </row>
    <row r="61" spans="1:27">
      <c r="A61" s="100"/>
      <c r="B61" s="104">
        <v>43915</v>
      </c>
      <c r="C61" s="112">
        <v>1.883E-2</v>
      </c>
      <c r="D61" s="112">
        <f t="shared" si="15"/>
        <v>4.0188300000000003</v>
      </c>
      <c r="E61" s="112">
        <f t="shared" si="14"/>
        <v>-2.8780183034994439E-3</v>
      </c>
      <c r="F61" s="116">
        <f>'Données MONIA BKAM'!D61-'Données MONIA BKAM'!C61</f>
        <v>1</v>
      </c>
      <c r="G61" s="117">
        <f>(1+C61/360*(B61-'Données MONIA BKAM'!C61))</f>
        <v>1.0000523055555555</v>
      </c>
      <c r="H61" s="117">
        <f t="shared" si="8"/>
        <v>0</v>
      </c>
      <c r="I61" s="118">
        <f t="shared" si="1"/>
        <v>5.2305555555555554E-5</v>
      </c>
      <c r="J61" s="119">
        <f t="shared" si="9"/>
        <v>10050.331455622456</v>
      </c>
      <c r="K61" s="120">
        <v>150000000</v>
      </c>
      <c r="L61" s="121">
        <f t="shared" si="2"/>
        <v>150007846.243714</v>
      </c>
      <c r="M61" s="121">
        <f t="shared" si="3"/>
        <v>7846.2437354698186</v>
      </c>
      <c r="N61" s="122">
        <f t="shared" si="4"/>
        <v>150007845.83333334</v>
      </c>
      <c r="O61" s="123">
        <f t="shared" si="5"/>
        <v>7845.833333333333</v>
      </c>
      <c r="P61" s="124">
        <f t="shared" si="7"/>
        <v>0.41040213648557256</v>
      </c>
      <c r="S61" s="100"/>
      <c r="T61" s="100"/>
      <c r="U61" s="100"/>
      <c r="V61" s="100"/>
      <c r="W61" s="100"/>
    </row>
    <row r="62" spans="1:27">
      <c r="A62" s="100"/>
      <c r="B62" s="104">
        <v>43916</v>
      </c>
      <c r="C62" s="112">
        <v>1.925E-2</v>
      </c>
      <c r="D62" s="112">
        <f t="shared" si="15"/>
        <v>4.0192500000000004</v>
      </c>
      <c r="E62" s="112">
        <f t="shared" si="14"/>
        <v>-2.4580183034994436E-3</v>
      </c>
      <c r="F62" s="116">
        <f>'Données MONIA BKAM'!D62-'Données MONIA BKAM'!C62</f>
        <v>1</v>
      </c>
      <c r="G62" s="117">
        <f>(1+C62/360*(B62-'Données MONIA BKAM'!C62))</f>
        <v>1.0000534722222223</v>
      </c>
      <c r="H62" s="117">
        <f t="shared" si="8"/>
        <v>0</v>
      </c>
      <c r="I62" s="118">
        <f t="shared" si="1"/>
        <v>5.3472222222222224E-5</v>
      </c>
      <c r="J62" s="119">
        <f t="shared" si="9"/>
        <v>10050.868869179458</v>
      </c>
      <c r="K62" s="120">
        <v>150000000</v>
      </c>
      <c r="L62" s="121">
        <f t="shared" si="2"/>
        <v>150008021.26222512</v>
      </c>
      <c r="M62" s="121">
        <f t="shared" si="3"/>
        <v>8021.2622480495384</v>
      </c>
      <c r="N62" s="122">
        <f t="shared" si="4"/>
        <v>150008020.83333334</v>
      </c>
      <c r="O62" s="123">
        <f t="shared" si="5"/>
        <v>8020.8333333333339</v>
      </c>
      <c r="P62" s="124">
        <f t="shared" si="7"/>
        <v>0.42891471620441735</v>
      </c>
      <c r="S62" s="100"/>
      <c r="T62" s="100"/>
      <c r="U62" s="100"/>
      <c r="V62" s="100"/>
      <c r="W62" s="100"/>
    </row>
    <row r="63" spans="1:27">
      <c r="A63" s="100"/>
      <c r="B63" s="106">
        <v>43917</v>
      </c>
      <c r="C63" s="114">
        <v>1.924E-2</v>
      </c>
      <c r="D63" s="112">
        <f t="shared" si="15"/>
        <v>4.0192399999999999</v>
      </c>
      <c r="E63" s="112">
        <f t="shared" si="14"/>
        <v>-2.4680183034994432E-3</v>
      </c>
      <c r="F63" s="116">
        <f>'Données MONIA BKAM'!D63-'Données MONIA BKAM'!C63</f>
        <v>1</v>
      </c>
      <c r="G63" s="117">
        <f>(1+C63/360*(B63-'Données MONIA BKAM'!C63))</f>
        <v>1.0000534444444444</v>
      </c>
      <c r="H63" s="117">
        <f t="shared" si="8"/>
        <v>0</v>
      </c>
      <c r="I63" s="118">
        <f t="shared" si="1"/>
        <v>5.3444444444444442E-5</v>
      </c>
      <c r="J63" s="119">
        <f t="shared" si="9"/>
        <v>10051.406032282355</v>
      </c>
      <c r="K63" s="120">
        <v>150000000</v>
      </c>
      <c r="L63" s="121">
        <f t="shared" si="2"/>
        <v>150008017.09511295</v>
      </c>
      <c r="M63" s="121">
        <f t="shared" si="3"/>
        <v>8017.0951358610364</v>
      </c>
      <c r="N63" s="122">
        <f t="shared" si="4"/>
        <v>150008016.66666666</v>
      </c>
      <c r="O63" s="123">
        <f t="shared" si="5"/>
        <v>8016.6666666666661</v>
      </c>
      <c r="P63" s="124">
        <f t="shared" si="7"/>
        <v>0.42846919437033648</v>
      </c>
      <c r="S63" s="100"/>
      <c r="T63" s="100"/>
      <c r="U63" s="100"/>
      <c r="V63" s="100"/>
      <c r="W63" s="100"/>
    </row>
    <row r="64" spans="1:27" ht="17" thickBot="1">
      <c r="A64" s="177"/>
      <c r="B64" s="107">
        <v>43920</v>
      </c>
      <c r="C64" s="115">
        <v>1.9369999999999998E-2</v>
      </c>
      <c r="D64" s="115">
        <f t="shared" si="15"/>
        <v>4.0193700000000003</v>
      </c>
      <c r="E64" s="115">
        <f t="shared" si="14"/>
        <v>-2.3380183034994451E-3</v>
      </c>
      <c r="F64" s="178">
        <f>'Données MONIA BKAM'!D64-'Données MONIA BKAM'!C64</f>
        <v>3</v>
      </c>
      <c r="G64" s="179">
        <f>(1+C64/360*(B64-'Données MONIA BKAM'!C64))</f>
        <v>1.0001614166666666</v>
      </c>
      <c r="H64" s="179">
        <f>(1+C64*F64/360)*H63</f>
        <v>0</v>
      </c>
      <c r="I64" s="180">
        <f t="shared" si="1"/>
        <v>1.6141666666666664E-4</v>
      </c>
      <c r="J64" s="181">
        <f t="shared" si="9"/>
        <v>10053.0284967394</v>
      </c>
      <c r="K64" s="182">
        <v>150000000</v>
      </c>
      <c r="L64" s="183">
        <f t="shared" si="2"/>
        <v>150024216.40830106</v>
      </c>
      <c r="M64" s="183">
        <f t="shared" si="3"/>
        <v>24216.408931906593</v>
      </c>
      <c r="N64" s="184">
        <f t="shared" si="4"/>
        <v>150024212.5</v>
      </c>
      <c r="O64" s="185">
        <f t="shared" si="5"/>
        <v>24212.499999999996</v>
      </c>
      <c r="P64" s="186">
        <f t="shared" si="7"/>
        <v>3.9089319065969903</v>
      </c>
      <c r="S64" s="100"/>
      <c r="T64" s="100"/>
      <c r="U64" s="100"/>
      <c r="V64" s="100"/>
      <c r="W64" s="100"/>
    </row>
    <row r="65" spans="1:30">
      <c r="A65" s="100"/>
      <c r="B65" s="106"/>
      <c r="C65" s="187"/>
      <c r="D65" s="187"/>
      <c r="E65" s="187"/>
      <c r="F65" s="100"/>
      <c r="G65" s="100"/>
      <c r="H65" s="100"/>
      <c r="I65" s="100"/>
      <c r="J65" s="100"/>
      <c r="K65" s="100"/>
      <c r="L65" s="100"/>
      <c r="M65" s="100"/>
      <c r="N65" s="100"/>
      <c r="O65" s="100"/>
      <c r="P65" s="100"/>
      <c r="S65" s="100"/>
      <c r="T65" s="100"/>
      <c r="U65" s="100"/>
      <c r="V65" s="100"/>
      <c r="W65" s="100"/>
    </row>
    <row r="66" spans="1:30">
      <c r="A66" s="100"/>
      <c r="B66" s="188" t="s">
        <v>73</v>
      </c>
      <c r="C66" s="189">
        <f>((360/F66)*((1+(C2*F2)/360)*(1+(C3*F3)/360)*(1+(C4*F4)/360)*(1+(C5*F5)/360)*(1+(C6*F6)/360)*(1+(C7*F7)/360)*(1+(C8*F8)/360)*(1+(C9*F9)/360)*(1+(C10*F10)/360)*(1+(C11*F11)/360)*(1+(C12*F12)/360)*(1+(C13*F13)/360)*(1+(C14*F14)/360)*(1+(C15*F15)/360)*(1+(C16*F16)/360)*(1+(C17*F17)/360)*(1+(C18*F18)/360)*(1+(C19*F19)/360)*(1+(C20*F20)/360)*(1+(C21*F21)/360)*(1+(C22*F22)/360)-1))</f>
        <v>2.1964492783904888E-2</v>
      </c>
      <c r="D66" s="189"/>
      <c r="E66" s="189"/>
      <c r="F66" s="142">
        <f>SUM(F2:F22)</f>
        <v>30</v>
      </c>
      <c r="G66" s="142"/>
      <c r="H66" s="142"/>
      <c r="I66" s="100"/>
      <c r="J66" s="100"/>
      <c r="K66" s="190">
        <f>SUM(M2:M22)+K2</f>
        <v>150264989.03168017</v>
      </c>
      <c r="L66" s="100"/>
      <c r="M66" s="116"/>
      <c r="N66" s="100"/>
      <c r="O66" s="100"/>
      <c r="P66" s="100"/>
      <c r="T66" s="100"/>
      <c r="U66" s="100"/>
      <c r="V66" s="100"/>
      <c r="W66" s="100"/>
    </row>
    <row r="67" spans="1:30">
      <c r="A67" s="100"/>
      <c r="B67" s="191" t="s">
        <v>74</v>
      </c>
      <c r="C67" s="192">
        <f>((360/F67)*((1+(C2*F2)/360)*(1+(C3*F3)/360)*(1+(C4*F4)/360)*(1+(C5*F5)/360)*(1+(C6*F6)/360)*(1+(C7*F7)/360)*(1+(C8*F8)/360)*(1+(C9*F9)/360)*(1+(C10*F10)/360)*(1+(C11*F11)/360)*(1+(C12*F12)/360)*(1+(C13*F13)/360)*(1+(C14*F14)/360)*(1+(C15*F15)/360)*(1+(C16*F16)/360)*(1+(C17*F17)/360)*(1+(C18*F18)/360)*(1+(C19*F19)/360)*(1+(C20*F20)/360)*(1+(C21*F21)/360)*(1+(C22*F22)/360)*(1+(C23*F23)/360)*(1+(C24*F24)/360)*(1+(C25*F25)/360)*(1+(C26*F26)/360)*(1+(C27*F27)/360)*(1+(C28*F28)/360)*(1+(C29*F29)/360)*(1+(C30*F30)/360)*(1+(C31*F31)/360)*(1+(C32*F32)/360)*(1+(C33*F33)/360)*(1+(C34*F34)/360)*(1+(C35*F35)/360)*(1+(C36*F36)/360)*(1+(C37*F37)/360)*(1+(C38*F38)/360)*(1+(C39*F39)/360)*(1+(C40*F40)/360)*(1+(C41*F41)/360)*(1+(C42*F42)/360)*(1+(C43*F43)/360)*(1+(C44*F44)/360)-1))</f>
        <v>2.1967757610428598E-2</v>
      </c>
      <c r="D67" s="192"/>
      <c r="E67" s="192"/>
      <c r="F67" s="142">
        <f>SUM(F2:F44)</f>
        <v>62</v>
      </c>
      <c r="G67" s="142"/>
      <c r="H67" s="142"/>
      <c r="I67" s="116"/>
      <c r="J67" s="116"/>
      <c r="K67" s="190">
        <f>(SUM(M2:M44)+K2)</f>
        <v>150557165.2665832</v>
      </c>
      <c r="L67" s="100"/>
      <c r="M67" s="116"/>
      <c r="N67" s="100"/>
      <c r="O67" s="100"/>
      <c r="P67" s="100"/>
      <c r="T67" s="100"/>
      <c r="U67" s="100"/>
      <c r="V67" s="100"/>
      <c r="W67" s="100"/>
    </row>
    <row r="68" spans="1:30">
      <c r="A68" s="100"/>
      <c r="B68" s="191" t="s">
        <v>75</v>
      </c>
      <c r="C68" s="192">
        <f>((360/F68)*((1+(C2*F2)/360)*(1+(C3*F3)/360)*(1+(C4*F4)/360)*(1+(C5*F5)/360)*(1+(C6*F6)/360)*(1+(C7*F7)/360)*(1+(C8*F8)/360)*(1+(C9*F9)/360)*(1+(C10*F10)/360)*(1+(C11*F11)/360)*(1+(C12*F12)/360)*(1+(C13*F13)/360)*(1+(C14*F14)/360)*(1+(C15*F15)/360)*(1+(C16*F16)/360)*(1+(C17*F17)/360)*(1+(C18*F18)/360)*(1+(C19*F19)/360)*(1+(C20*F20)/360)*(1+(C21*F21)/360)*(1+(C22*F22)/360)*(1+(C23*F23)/360)*(1+(C24*F24)/360)*(1+(C25*F25)/360)*(1+(C26*F26)/360)*(1+(C27*F27)/360)*(1+(C28*F28)/360)*(1+(C29*F29)/360)*(1+(C30*F30)/360)*(1+(C31*F31)/360)*(1+(C32*F32)/360)*(1+(C33*F33)/360)*(1+(C34*F34)/360)*(1+(C35*F35)/360)*(1+(C36*F36)/360)*(1+(C37*F37)/360)*(1+(C38*F38)/360)*(1+(C39*F39)/360)*(1+(C40*F40)/360)*(1+(C41*F41)/360)*(1+(C42*F42)/360)*(1+(C43*F43)/360)*(1+(C44*F44)/360)*(1+(C45*F45)/360)*(1+(C46*F46)/360)*(1+(C47*F47)/360)*(1+(C48*F48)/360)*(1+(C49*F49)/360)*(1+(C50*F50)/360)*(1+(C51*F51)/360)*(1+(C52*F52)/360)*(1+(C53*F53)/360)*(1+(C54*F54)/360)*(1+(C55*F55)/360)*(1+(C56*F56)/360)*(1+(C57*F57)/360)*(1+(C58*F58)/360)*(1+(C59*F59)/360)*(1+(C60*F60)/360)*(1+(C61*F61)/360)*(1+(C62*F62)/360)*(1+(C63*F63)/360)*(1+(C64*F64)/360)-1))</f>
        <v>2.1708018303499443E-2</v>
      </c>
      <c r="D68" s="192"/>
      <c r="E68" s="192"/>
      <c r="F68" s="142">
        <f>SUM(F2:F64)</f>
        <v>90</v>
      </c>
      <c r="G68" s="142"/>
      <c r="H68" s="142"/>
      <c r="I68" s="193"/>
      <c r="J68" s="193"/>
      <c r="K68" s="190">
        <f>SUM(M2:M64)+K2</f>
        <v>150802625.00278261</v>
      </c>
      <c r="L68" s="100"/>
      <c r="M68" s="100"/>
      <c r="N68" s="100"/>
      <c r="O68" s="100"/>
      <c r="P68" s="100"/>
      <c r="R68" s="11"/>
      <c r="T68" s="100"/>
      <c r="U68" s="100"/>
      <c r="V68" s="100"/>
      <c r="W68" s="100"/>
      <c r="AD68" s="11"/>
    </row>
    <row r="69" spans="1:30">
      <c r="A69" s="100"/>
      <c r="B69" s="142"/>
      <c r="C69" s="142"/>
      <c r="D69" s="142"/>
      <c r="E69" s="142"/>
      <c r="F69" s="142"/>
      <c r="G69" s="142"/>
      <c r="H69" s="142"/>
      <c r="I69" s="100"/>
      <c r="J69" s="100"/>
      <c r="K69" s="190"/>
      <c r="L69" s="100"/>
      <c r="M69" s="100"/>
      <c r="N69" s="100"/>
      <c r="O69" s="100"/>
      <c r="P69" s="100"/>
      <c r="R69" s="11"/>
      <c r="T69" s="100"/>
      <c r="U69" s="100"/>
      <c r="V69" s="100"/>
      <c r="W69" s="100"/>
      <c r="AD69" s="11"/>
    </row>
    <row r="70" spans="1:30">
      <c r="A70" s="100"/>
      <c r="B70" s="194" t="s">
        <v>76</v>
      </c>
      <c r="C70" s="195">
        <f>((360/F66)*(((C2*F2)/360)+((C3*F3)/360)+((C4*F4)/360)+((C5*F5)/360)+((C6*F6)/360)+((C7*F7)/360)+((C8*F8)/360)+((C9*F9)/360)+((C10*F10)/360)+((C11*F11)/360)+((C12*F12)/360)+((C13*F13)/360)+((C14*F14)/360)+((C15*F15)/360)+((C16*F16)/360)+((C17*F17)/360)+((C18*F18)/360)+((C19*F19)/360)+((C20*F20)/360)+((C21*F21)/360)+((C22*F22)/360)))</f>
        <v>2.1945666666666662E-2</v>
      </c>
      <c r="D70" s="195"/>
      <c r="E70" s="195"/>
      <c r="F70" s="142">
        <v>30</v>
      </c>
      <c r="I70" s="100"/>
      <c r="J70" s="100"/>
      <c r="K70" s="190">
        <f>(SUM(O2:O22)+K2)</f>
        <v>150274320.83333334</v>
      </c>
      <c r="L70" s="100"/>
      <c r="M70" s="100"/>
      <c r="N70" s="100"/>
      <c r="O70" s="100"/>
      <c r="P70" s="100"/>
      <c r="R70" s="11"/>
      <c r="T70" s="100"/>
      <c r="U70" s="100"/>
      <c r="V70" s="100"/>
      <c r="W70" s="100"/>
      <c r="AD70" s="11"/>
    </row>
    <row r="71" spans="1:30">
      <c r="A71" s="100"/>
      <c r="B71" s="194" t="s">
        <v>77</v>
      </c>
      <c r="C71" s="195">
        <f>((360/F67)*(((C2*F2)/360)+((C3*F3)/360)+((C4*F4)/360)+((C5*F5)/360)+((C6*F6)/360)+((C7*F7)/360)+((C8*F8)/360)+((C9*F9)/360)+((C10*F10)/360)+((C11*F11)/360)+((C12*F12)/360)+((C13*F13)/360)+((C14*F14)/360)+((C15*F15)/360)+((C16*F16)/360)+((C17*F17)/360)+((C18*F18)/360)+((C19*F19)/360)+((C20*F20)/360)+((C21*F21)/360)+((C22*F22)/360)+((C23*F23)/360)+((C24*F24)/360)+((C25*F25)/360)+((C26*F26)/360)+((C27*F27)/360)+((C28*F28)/360)+((C29*F29)/360)+((C30*F30)/360)+((C31*F31)/360)+((C32*F32)/360)+((C33*F33)/360)+((C34*F34)/360)+((C35*F35)/360)+((C36*F36)/360)+((C37*F37)/360)+((C38*F38)/360)+((C39*F39)/360)+((C40*F40)/360)+((C41*F41)/360)+((C42*F42)/360)+((C43*F43)/360)+((C44*F44)/360)))</f>
        <v>2.1927580645161288E-2</v>
      </c>
      <c r="D71" s="195"/>
      <c r="E71" s="195"/>
      <c r="F71" s="142">
        <v>62</v>
      </c>
      <c r="G71" s="142"/>
      <c r="H71" s="142"/>
      <c r="J71" s="100"/>
      <c r="K71" s="190">
        <f>(SUM(O2:O44)+K3)</f>
        <v>150566462.5</v>
      </c>
      <c r="L71" s="100"/>
      <c r="M71" s="100"/>
      <c r="N71" s="100"/>
      <c r="O71" s="100"/>
      <c r="P71" s="100"/>
      <c r="R71" s="11"/>
      <c r="T71" s="100"/>
      <c r="U71" s="100"/>
      <c r="V71" s="100"/>
      <c r="W71" s="100"/>
      <c r="AD71" s="11"/>
    </row>
    <row r="72" spans="1:30">
      <c r="A72" s="100"/>
      <c r="B72" s="194" t="s">
        <v>78</v>
      </c>
      <c r="C72" s="195">
        <f>((360/F68)*(((C2*F2)/360)+((C3*F3)/360)+((C4*F4)/360)+((C5*F5)/360)+((C6*F6)/360)+((C7*F7)/360)+((C8*F8)/360)+((C9*F9)/360)+((C10*F10)/360)+((C11*F11)/360)+((C12*F12)/360)+((C13*F13)/360)+((C14*F14)/360)+((C15*F15)/360)+((C16*F16)/360)+((C17*F17)/360)+((C18*F18)/360)+((C19*F19)/360)+((C20*F20)/360)+((C21*F21)/360)+((C22*F22)/360)+((C23*F23)/360)+((C24*F24)/360)+((C25*F25)/360)+((C26*F26)/360)+((C27*F27)/360)+((C28*F28)/360)+((C29*F29)/360)+((C30*F30)/360)+((C31*F31)/360)+((C32*F32)/360)+((C33*F33)/360)+((C34*F34)/360)+((C35*F35)/360)+((C36*F36)/360)+((C37*F37)/360)+((C38*F38)/360)+((C39*F39)/360)+((C40*F40)/360)+((C41*F41)/360)+((C42*F42)/360)+((C43*F43)/360)+((C44*F44)/360)+((C45*F45)/360)+((C46*F46)/360)+((C47*F47)/360)+((C48*F48)/360)+((C49*F49)/360)+((C50*F50)/360)+((C51*F51)/360)+((C52*F52)/360)+((C53*F53)/360)+((C54*F54)/360)+((C55*F55)/360)+((C56*F56)/360)+((C57*F57)/360)+((C58*F58)/360)+((C59*F59)/360)+((C60*F60)/360)+((C61*F61)/360)+((C62*F62)/360)+((C63*F63)/360)+((C64*F64)/360)))</f>
        <v>2.1650555555555548E-2</v>
      </c>
      <c r="D72" s="195"/>
      <c r="E72" s="195"/>
      <c r="F72" s="142">
        <v>90</v>
      </c>
      <c r="G72" s="142"/>
      <c r="H72" s="142"/>
      <c r="I72" s="100"/>
      <c r="J72" s="100"/>
      <c r="K72" s="190">
        <f>(SUM(O2:O64)+K4)</f>
        <v>150811895.83333334</v>
      </c>
      <c r="L72" s="100"/>
      <c r="M72" s="100"/>
      <c r="N72" s="100"/>
      <c r="O72" s="100"/>
      <c r="P72" s="100"/>
      <c r="R72" s="11"/>
      <c r="T72" s="100"/>
      <c r="U72" s="100"/>
      <c r="V72" s="100"/>
      <c r="W72" s="100"/>
      <c r="AD72" s="11"/>
    </row>
    <row r="73" spans="1:30" ht="17" thickBot="1">
      <c r="A73" s="94"/>
      <c r="B73" s="94"/>
      <c r="C73" s="94"/>
      <c r="D73" s="94"/>
      <c r="E73" s="94"/>
      <c r="F73" s="94"/>
      <c r="G73" s="94"/>
      <c r="H73" s="94"/>
      <c r="I73" s="94"/>
      <c r="J73" s="94"/>
      <c r="K73" s="94"/>
      <c r="L73" s="94"/>
      <c r="M73" s="94"/>
      <c r="N73" s="94"/>
      <c r="O73" s="94"/>
      <c r="P73" s="100"/>
      <c r="R73" s="11"/>
      <c r="T73" s="100"/>
      <c r="U73" s="100"/>
      <c r="V73" s="100"/>
      <c r="W73" s="100"/>
      <c r="Y73" t="e">
        <v>#N/A</v>
      </c>
      <c r="Z73" t="e">
        <v>#N/A</v>
      </c>
      <c r="AD73" s="11"/>
    </row>
    <row r="74" spans="1:30">
      <c r="A74" s="100"/>
      <c r="B74" s="100"/>
      <c r="C74" s="100"/>
      <c r="D74" s="100"/>
      <c r="E74" s="100"/>
      <c r="F74" s="100"/>
      <c r="G74" s="100"/>
      <c r="H74" s="100"/>
      <c r="I74" s="100"/>
      <c r="J74" s="100"/>
      <c r="K74" s="100"/>
      <c r="L74" s="100"/>
      <c r="M74" s="100"/>
      <c r="N74" s="100"/>
      <c r="O74" s="100"/>
      <c r="P74" s="100"/>
      <c r="R74" s="11"/>
      <c r="T74" s="100"/>
      <c r="U74" s="100"/>
      <c r="V74" s="100"/>
      <c r="W74" s="100"/>
      <c r="Y74" t="e">
        <v>#N/A</v>
      </c>
      <c r="Z74" t="e">
        <v>#N/A</v>
      </c>
      <c r="AD74" s="11"/>
    </row>
    <row r="75" spans="1:30">
      <c r="A75" s="100"/>
      <c r="B75" s="100"/>
      <c r="C75" s="100"/>
      <c r="D75" s="100"/>
      <c r="E75" s="100"/>
      <c r="F75" s="100"/>
      <c r="G75" s="100"/>
      <c r="H75" s="100"/>
      <c r="I75" s="100"/>
      <c r="J75" s="100"/>
      <c r="K75" s="100"/>
      <c r="L75" s="100"/>
      <c r="M75" s="100"/>
      <c r="N75" s="100"/>
      <c r="O75" s="100"/>
      <c r="P75" t="e">
        <v>#N/A</v>
      </c>
      <c r="Q75" t="e">
        <v>#N/A</v>
      </c>
      <c r="R75" s="11"/>
      <c r="T75" s="100"/>
      <c r="U75" s="100"/>
      <c r="V75" s="100"/>
      <c r="W75" s="100"/>
      <c r="Y75" t="e">
        <v>#N/A</v>
      </c>
      <c r="Z75" t="e">
        <v>#N/A</v>
      </c>
      <c r="AD75" s="11"/>
    </row>
    <row r="76" spans="1:30">
      <c r="P76" t="e">
        <v>#N/A</v>
      </c>
      <c r="Q76" t="e">
        <v>#N/A</v>
      </c>
      <c r="R76" s="11"/>
      <c r="Y76" t="e">
        <v>#N/A</v>
      </c>
      <c r="Z76" t="e">
        <v>#N/A</v>
      </c>
      <c r="AD76" s="11"/>
    </row>
    <row r="77" spans="1:30">
      <c r="P77" t="e">
        <v>#N/A</v>
      </c>
      <c r="Q77" t="e">
        <v>#N/A</v>
      </c>
      <c r="R77" s="11"/>
      <c r="Y77" t="e">
        <v>#N/A</v>
      </c>
      <c r="Z77" t="e">
        <v>#N/A</v>
      </c>
      <c r="AD77" s="11"/>
    </row>
    <row r="78" spans="1:30">
      <c r="P78" t="e">
        <v>#N/A</v>
      </c>
      <c r="Q78" t="e">
        <v>#N/A</v>
      </c>
      <c r="R78" s="11"/>
      <c r="Y78" t="e">
        <v>#N/A</v>
      </c>
      <c r="Z78" t="e">
        <v>#N/A</v>
      </c>
      <c r="AD78" s="11"/>
    </row>
    <row r="79" spans="1:30">
      <c r="P79" s="11">
        <f t="shared" ref="P79:P95" si="16">AVERAGE(C2:C6)</f>
        <v>2.1936000000000004E-2</v>
      </c>
      <c r="Q79" t="e">
        <v>#N/A</v>
      </c>
      <c r="R79" s="11"/>
      <c r="Y79" t="e">
        <v>#N/A</v>
      </c>
      <c r="Z79" t="e">
        <v>#N/A</v>
      </c>
      <c r="AD79" s="11"/>
    </row>
    <row r="80" spans="1:30">
      <c r="P80" s="11">
        <f t="shared" si="16"/>
        <v>2.1842E-2</v>
      </c>
      <c r="Q80" t="e">
        <v>#N/A</v>
      </c>
      <c r="R80" s="11"/>
      <c r="Y80" t="e">
        <v>#N/A</v>
      </c>
      <c r="Z80" t="e">
        <v>#N/A</v>
      </c>
      <c r="AD80" s="11"/>
    </row>
    <row r="81" spans="16:30">
      <c r="P81" s="11">
        <f t="shared" si="16"/>
        <v>2.1791999999999999E-2</v>
      </c>
      <c r="Q81" t="e">
        <v>#N/A</v>
      </c>
      <c r="R81" s="11"/>
      <c r="Y81" t="e">
        <v>#N/A</v>
      </c>
      <c r="Z81" t="e">
        <v>#N/A</v>
      </c>
      <c r="AD81" s="11"/>
    </row>
    <row r="82" spans="16:30">
      <c r="P82" s="11">
        <f t="shared" si="16"/>
        <v>2.1786E-2</v>
      </c>
      <c r="Q82" t="e">
        <v>#N/A</v>
      </c>
      <c r="R82" s="11"/>
      <c r="Y82" t="e">
        <v>#N/A</v>
      </c>
      <c r="Z82" t="e">
        <v>#N/A</v>
      </c>
      <c r="AD82" s="11"/>
    </row>
    <row r="83" spans="16:30">
      <c r="P83" s="11">
        <f t="shared" si="16"/>
        <v>2.1800000000000003E-2</v>
      </c>
      <c r="Q83">
        <f t="shared" ref="Q83:Q95" si="17">SQRT(SUMXMY2(C6:C10,P79:P83)/5)</f>
        <v>1.4054180872608672E-4</v>
      </c>
      <c r="R83" s="11"/>
      <c r="Y83" t="e">
        <v>#N/A</v>
      </c>
      <c r="Z83" t="e">
        <v>#N/A</v>
      </c>
      <c r="AD83" s="11"/>
    </row>
    <row r="84" spans="16:30">
      <c r="P84" s="11">
        <f t="shared" si="16"/>
        <v>2.1808000000000001E-2</v>
      </c>
      <c r="Q84">
        <f t="shared" si="17"/>
        <v>1.04314907851177E-4</v>
      </c>
      <c r="R84" s="11"/>
      <c r="Y84" t="e">
        <v>#N/A</v>
      </c>
      <c r="Z84" t="e">
        <v>#N/A</v>
      </c>
      <c r="AD84" s="11"/>
    </row>
    <row r="85" spans="16:30">
      <c r="P85" s="11">
        <f t="shared" si="16"/>
        <v>2.1783999999999998E-2</v>
      </c>
      <c r="Q85">
        <f t="shared" si="17"/>
        <v>1.169786305271159E-4</v>
      </c>
      <c r="R85" s="11"/>
      <c r="Y85" t="e">
        <v>#N/A</v>
      </c>
      <c r="Z85" t="e">
        <v>#N/A</v>
      </c>
      <c r="AD85" s="11"/>
    </row>
    <row r="86" spans="16:30">
      <c r="P86" s="11">
        <f t="shared" si="16"/>
        <v>2.1762E-2</v>
      </c>
      <c r="Q86">
        <f t="shared" si="17"/>
        <v>1.3140776232779965E-4</v>
      </c>
      <c r="R86" s="11"/>
      <c r="Y86" t="e">
        <v>#N/A</v>
      </c>
      <c r="Z86" t="e">
        <v>#N/A</v>
      </c>
      <c r="AD86" s="11"/>
    </row>
    <row r="87" spans="16:30">
      <c r="P87" s="11">
        <f t="shared" si="16"/>
        <v>2.1801999999999998E-2</v>
      </c>
      <c r="Q87">
        <f t="shared" si="17"/>
        <v>1.5833382456063993E-4</v>
      </c>
      <c r="Y87" s="11">
        <f t="shared" ref="Y87:Y135" si="18">AVERAGE(C2:C16)</f>
        <v>2.1821333333333335E-2</v>
      </c>
      <c r="Z87" t="e">
        <v>#N/A</v>
      </c>
      <c r="AD87" s="11"/>
    </row>
    <row r="88" spans="16:30">
      <c r="P88" s="11">
        <f t="shared" si="16"/>
        <v>2.1756000000000001E-2</v>
      </c>
      <c r="Q88">
        <f t="shared" si="17"/>
        <v>1.3080061161936467E-4</v>
      </c>
      <c r="Y88" s="11">
        <f t="shared" si="18"/>
        <v>2.1768666666666665E-2</v>
      </c>
      <c r="Z88" t="e">
        <v>#N/A</v>
      </c>
      <c r="AD88" s="11"/>
    </row>
    <row r="89" spans="16:30">
      <c r="P89" s="11">
        <f t="shared" si="16"/>
        <v>2.172E-2</v>
      </c>
      <c r="Q89">
        <f t="shared" si="17"/>
        <v>1.4341548033598031E-4</v>
      </c>
      <c r="Y89" s="11">
        <f t="shared" si="18"/>
        <v>2.1755333333333331E-2</v>
      </c>
      <c r="Z89" t="e">
        <v>#N/A</v>
      </c>
      <c r="AD89" s="11"/>
    </row>
    <row r="90" spans="16:30">
      <c r="P90" s="11">
        <f t="shared" si="16"/>
        <v>2.1679999999999998E-2</v>
      </c>
      <c r="Q90">
        <f t="shared" si="17"/>
        <v>1.6715501787263159E-4</v>
      </c>
      <c r="R90" s="11"/>
      <c r="Y90" s="11">
        <f t="shared" si="18"/>
        <v>2.1783333333333332E-2</v>
      </c>
      <c r="Z90" t="e">
        <v>#N/A</v>
      </c>
      <c r="AD90" s="11"/>
    </row>
    <row r="91" spans="16:30">
      <c r="P91" s="11">
        <f t="shared" si="16"/>
        <v>2.1712000000000002E-2</v>
      </c>
      <c r="Q91">
        <f t="shared" si="17"/>
        <v>1.5489609420511478E-4</v>
      </c>
      <c r="R91" s="11"/>
      <c r="Y91" s="11">
        <f t="shared" si="18"/>
        <v>2.1806666666666665E-2</v>
      </c>
      <c r="Z91" t="e">
        <v>#N/A</v>
      </c>
      <c r="AD91" s="11"/>
    </row>
    <row r="92" spans="16:30">
      <c r="P92" s="11">
        <f t="shared" si="16"/>
        <v>2.1761999999999997E-2</v>
      </c>
      <c r="Q92">
        <f t="shared" si="17"/>
        <v>2.5254860918247054E-4</v>
      </c>
      <c r="R92" s="11"/>
      <c r="Y92" s="11">
        <f t="shared" si="18"/>
        <v>2.1856666666666667E-2</v>
      </c>
      <c r="Z92" t="e">
        <v>#N/A</v>
      </c>
      <c r="AD92" s="11"/>
    </row>
    <row r="93" spans="16:30">
      <c r="P93" s="11">
        <f t="shared" si="16"/>
        <v>2.1864000000000001E-2</v>
      </c>
      <c r="Q93">
        <f t="shared" si="17"/>
        <v>3.1361249975088711E-4</v>
      </c>
      <c r="R93" s="11"/>
      <c r="Y93" s="11">
        <f t="shared" si="18"/>
        <v>2.1929333333333332E-2</v>
      </c>
      <c r="Z93" t="e">
        <v>#N/A</v>
      </c>
      <c r="AD93" s="11"/>
    </row>
    <row r="94" spans="16:30">
      <c r="P94" s="11">
        <f t="shared" si="16"/>
        <v>2.2041999999999999E-2</v>
      </c>
      <c r="Q94">
        <f t="shared" si="17"/>
        <v>3.6203535738930297E-4</v>
      </c>
      <c r="R94" s="11"/>
      <c r="Y94" s="11">
        <f t="shared" si="18"/>
        <v>2.1959999999999997E-2</v>
      </c>
      <c r="Z94" t="e">
        <v>#N/A</v>
      </c>
      <c r="AD94" s="11"/>
    </row>
    <row r="95" spans="16:30">
      <c r="P95" s="11">
        <f t="shared" si="16"/>
        <v>2.2324E-2</v>
      </c>
      <c r="Q95">
        <f t="shared" si="17"/>
        <v>4.1819230026388619E-4</v>
      </c>
      <c r="R95" s="11"/>
      <c r="Y95" s="11">
        <f t="shared" si="18"/>
        <v>2.2004666666666665E-2</v>
      </c>
      <c r="Z95" t="e">
        <v>#N/A</v>
      </c>
      <c r="AD95" s="11"/>
    </row>
    <row r="96" spans="16:30">
      <c r="P96" s="11"/>
      <c r="R96" s="11"/>
      <c r="Y96" s="11">
        <f t="shared" si="18"/>
        <v>2.2011999999999997E-2</v>
      </c>
      <c r="Z96" t="e">
        <v>#N/A</v>
      </c>
      <c r="AD96" s="11"/>
    </row>
    <row r="97" spans="16:30">
      <c r="P97" s="11"/>
      <c r="R97" s="11"/>
      <c r="Y97" s="11">
        <f t="shared" si="18"/>
        <v>2.2013333333333333E-2</v>
      </c>
      <c r="Z97" t="e">
        <v>#N/A</v>
      </c>
      <c r="AD97" s="11"/>
    </row>
    <row r="98" spans="16:30">
      <c r="P98" t="e">
        <v>#N/A</v>
      </c>
      <c r="Q98" t="e">
        <v>#N/A</v>
      </c>
      <c r="R98" s="11"/>
      <c r="Y98" s="11">
        <f t="shared" si="18"/>
        <v>2.1997333333333334E-2</v>
      </c>
      <c r="Z98" t="e">
        <v>#N/A</v>
      </c>
      <c r="AD98" s="11"/>
    </row>
    <row r="99" spans="16:30">
      <c r="P99" t="e">
        <v>#N/A</v>
      </c>
      <c r="Q99" t="e">
        <v>#N/A</v>
      </c>
      <c r="R99" s="11"/>
      <c r="Y99" s="11">
        <f t="shared" si="18"/>
        <v>2.2003333333333333E-2</v>
      </c>
      <c r="Z99" t="e">
        <v>#N/A</v>
      </c>
      <c r="AD99" s="11"/>
    </row>
    <row r="100" spans="16:30">
      <c r="P100" t="e">
        <v>#N/A</v>
      </c>
      <c r="Q100" t="e">
        <v>#N/A</v>
      </c>
      <c r="R100" s="11"/>
      <c r="Y100" s="11">
        <f t="shared" si="18"/>
        <v>2.1985333333333332E-2</v>
      </c>
      <c r="Z100" t="e">
        <v>#N/A</v>
      </c>
      <c r="AD100" s="11"/>
    </row>
    <row r="101" spans="16:30">
      <c r="P101" t="e">
        <v>#N/A</v>
      </c>
      <c r="Q101" t="e">
        <v>#N/A</v>
      </c>
      <c r="R101" s="11"/>
      <c r="Y101" s="11">
        <f t="shared" si="18"/>
        <v>2.1981333333333335E-2</v>
      </c>
      <c r="Z101">
        <f t="shared" ref="Z101:Z135" si="19">SQRT(SUMXMY2(C16:C30,Y87:Y101)/15)</f>
        <v>4.2807510590584088E-4</v>
      </c>
      <c r="AD101" s="11"/>
    </row>
    <row r="102" spans="16:30">
      <c r="P102" t="e">
        <v>#N/A</v>
      </c>
      <c r="Q102" t="e">
        <v>#N/A</v>
      </c>
      <c r="R102" s="11"/>
      <c r="Y102" s="11">
        <f t="shared" si="18"/>
        <v>2.1983333333333334E-2</v>
      </c>
      <c r="Z102">
        <f t="shared" si="19"/>
        <v>4.343470535907472E-4</v>
      </c>
      <c r="AD102" s="11"/>
    </row>
    <row r="103" spans="16:30">
      <c r="P103" t="e">
        <v>#N/A</v>
      </c>
      <c r="Q103" t="e">
        <v>#N/A</v>
      </c>
      <c r="R103" s="11"/>
      <c r="Y103" s="11">
        <f t="shared" si="18"/>
        <v>2.2006000000000001E-2</v>
      </c>
      <c r="Z103">
        <f t="shared" si="19"/>
        <v>4.2995462292872067E-4</v>
      </c>
      <c r="AD103" s="11"/>
    </row>
    <row r="104" spans="16:30">
      <c r="P104" t="e">
        <v>#N/A</v>
      </c>
      <c r="Q104" t="e">
        <v>#N/A</v>
      </c>
      <c r="R104" s="11"/>
      <c r="Y104" s="11">
        <f t="shared" si="18"/>
        <v>2.2013333333333333E-2</v>
      </c>
      <c r="Z104">
        <f t="shared" si="19"/>
        <v>4.3131406448459667E-4</v>
      </c>
      <c r="AD104" s="11"/>
    </row>
    <row r="105" spans="16:30">
      <c r="P105" t="e">
        <v>#N/A</v>
      </c>
      <c r="Q105" t="e">
        <v>#N/A</v>
      </c>
      <c r="R105" s="11"/>
      <c r="Y105" s="11">
        <f t="shared" si="18"/>
        <v>2.1984000000000004E-2</v>
      </c>
      <c r="Z105">
        <f t="shared" si="19"/>
        <v>4.1657136687931921E-4</v>
      </c>
      <c r="AD105" s="11"/>
    </row>
    <row r="106" spans="16:30">
      <c r="P106" t="e">
        <v>#N/A</v>
      </c>
      <c r="Q106" t="e">
        <v>#N/A</v>
      </c>
      <c r="R106" s="11"/>
      <c r="Y106" s="11">
        <f t="shared" si="18"/>
        <v>2.1942000000000003E-2</v>
      </c>
      <c r="Z106">
        <f t="shared" si="19"/>
        <v>4.0531429048835021E-4</v>
      </c>
      <c r="AD106" s="11"/>
    </row>
    <row r="107" spans="16:30">
      <c r="P107" s="11">
        <f t="shared" ref="P107:P140" si="20">AVERAGE(C2:C11)</f>
        <v>2.1871999999999999E-2</v>
      </c>
      <c r="Q107" t="e">
        <v>#N/A</v>
      </c>
      <c r="R107" s="11"/>
      <c r="Y107" s="11">
        <f t="shared" si="18"/>
        <v>2.1913999999999999E-2</v>
      </c>
      <c r="Z107">
        <f t="shared" si="19"/>
        <v>3.7474554329867997E-4</v>
      </c>
      <c r="AD107" s="11"/>
    </row>
    <row r="108" spans="16:30">
      <c r="P108" s="11">
        <f t="shared" si="20"/>
        <v>2.1812999999999996E-2</v>
      </c>
      <c r="Q108" t="e">
        <v>#N/A</v>
      </c>
      <c r="R108" s="11"/>
      <c r="Y108" s="11">
        <f t="shared" si="18"/>
        <v>2.1855333333333334E-2</v>
      </c>
      <c r="Z108">
        <f t="shared" si="19"/>
        <v>2.9120836373825473E-4</v>
      </c>
      <c r="AD108" s="11"/>
    </row>
    <row r="109" spans="16:30">
      <c r="P109" s="11">
        <f t="shared" si="20"/>
        <v>2.1776999999999998E-2</v>
      </c>
      <c r="Q109" t="e">
        <v>#N/A</v>
      </c>
      <c r="R109" s="11"/>
      <c r="Y109" s="11">
        <f t="shared" si="18"/>
        <v>2.1843333333333333E-2</v>
      </c>
      <c r="Z109">
        <f t="shared" si="19"/>
        <v>2.8846479982961746E-4</v>
      </c>
      <c r="AD109" s="11"/>
    </row>
    <row r="110" spans="16:30">
      <c r="P110" s="11">
        <f t="shared" si="20"/>
        <v>2.1793999999999997E-2</v>
      </c>
      <c r="Q110" t="e">
        <v>#N/A</v>
      </c>
      <c r="R110" s="11"/>
      <c r="Y110" s="11">
        <f t="shared" si="18"/>
        <v>2.1806666666666665E-2</v>
      </c>
      <c r="Z110">
        <f t="shared" si="19"/>
        <v>2.638798267449852E-4</v>
      </c>
      <c r="AD110" s="11"/>
    </row>
    <row r="111" spans="16:30">
      <c r="P111" s="11">
        <f t="shared" si="20"/>
        <v>2.1777999999999999E-2</v>
      </c>
      <c r="Q111" t="e">
        <v>#N/A</v>
      </c>
      <c r="R111" s="11"/>
      <c r="Y111" s="11">
        <f t="shared" si="18"/>
        <v>2.1794666666666667E-2</v>
      </c>
      <c r="Z111">
        <f t="shared" si="19"/>
        <v>2.6497793059744444E-4</v>
      </c>
      <c r="AD111" s="11"/>
    </row>
    <row r="112" spans="16:30">
      <c r="P112" s="11">
        <f t="shared" si="20"/>
        <v>2.1763999999999999E-2</v>
      </c>
      <c r="Q112" t="e">
        <v>#N/A</v>
      </c>
      <c r="R112" s="11"/>
      <c r="Y112" s="11">
        <f t="shared" si="18"/>
        <v>2.1806000000000002E-2</v>
      </c>
      <c r="Z112">
        <f t="shared" si="19"/>
        <v>2.6070303809904956E-4</v>
      </c>
      <c r="AD112" s="11"/>
    </row>
    <row r="113" spans="16:30">
      <c r="P113" s="11">
        <f t="shared" si="20"/>
        <v>2.1731999999999994E-2</v>
      </c>
      <c r="Q113" t="e">
        <v>#N/A</v>
      </c>
      <c r="R113" s="11"/>
      <c r="Y113" s="11">
        <f t="shared" si="18"/>
        <v>2.1844666666666672E-2</v>
      </c>
      <c r="Z113">
        <f t="shared" si="19"/>
        <v>2.1307261846783805E-4</v>
      </c>
      <c r="AD113" s="11"/>
    </row>
    <row r="114" spans="16:30">
      <c r="P114" s="11">
        <f t="shared" si="20"/>
        <v>2.1736999999999999E-2</v>
      </c>
      <c r="Q114" t="e">
        <v>#N/A</v>
      </c>
      <c r="R114" s="11"/>
      <c r="Y114" s="11">
        <f t="shared" si="18"/>
        <v>2.1846666666666667E-2</v>
      </c>
      <c r="Z114">
        <f t="shared" si="19"/>
        <v>2.0043271707501813E-4</v>
      </c>
      <c r="AD114" s="11"/>
    </row>
    <row r="115" spans="16:30">
      <c r="P115" s="11">
        <f t="shared" si="20"/>
        <v>2.1782000000000003E-2</v>
      </c>
      <c r="Q115" t="e">
        <v>#N/A</v>
      </c>
      <c r="R115" s="11"/>
      <c r="Y115" s="11">
        <f t="shared" si="18"/>
        <v>2.1863333333333332E-2</v>
      </c>
      <c r="Z115">
        <f t="shared" si="19"/>
        <v>1.9166204825353652E-4</v>
      </c>
      <c r="AD115" s="11"/>
    </row>
    <row r="116" spans="16:30">
      <c r="P116" s="11">
        <f t="shared" si="20"/>
        <v>2.181E-2</v>
      </c>
      <c r="Q116">
        <f t="shared" ref="Q116:Q140" si="21">SQRT(SUMXMY2(C11:C20,P107:P116)/10)</f>
        <v>2.5942147174048491E-4</v>
      </c>
      <c r="R116" s="11"/>
      <c r="Y116" s="11">
        <f t="shared" si="18"/>
        <v>2.1874666666666664E-2</v>
      </c>
      <c r="Z116">
        <f t="shared" si="19"/>
        <v>1.7840436799170211E-4</v>
      </c>
      <c r="AD116" s="11"/>
    </row>
    <row r="117" spans="16:30">
      <c r="P117" s="11">
        <f t="shared" si="20"/>
        <v>2.1880999999999998E-2</v>
      </c>
      <c r="Q117">
        <f t="shared" si="21"/>
        <v>3.17391241215002E-4</v>
      </c>
      <c r="R117" s="11"/>
      <c r="Y117" s="11">
        <f t="shared" si="18"/>
        <v>2.1890666666666666E-2</v>
      </c>
      <c r="Z117">
        <f t="shared" si="19"/>
        <v>1.5048760254093578E-4</v>
      </c>
      <c r="AD117" s="11"/>
    </row>
    <row r="118" spans="16:30">
      <c r="P118" s="11">
        <f t="shared" si="20"/>
        <v>2.2002000000000001E-2</v>
      </c>
      <c r="Q118">
        <f t="shared" si="21"/>
        <v>4.1189161195634877E-4</v>
      </c>
      <c r="R118" s="11"/>
      <c r="Y118" s="11">
        <f t="shared" si="18"/>
        <v>2.1899999999999999E-2</v>
      </c>
      <c r="Z118">
        <f t="shared" si="19"/>
        <v>1.3880964850657406E-4</v>
      </c>
      <c r="AD118" s="11"/>
    </row>
    <row r="119" spans="16:30">
      <c r="P119" s="11">
        <f t="shared" si="20"/>
        <v>2.2059000000000002E-2</v>
      </c>
      <c r="Q119">
        <f t="shared" si="21"/>
        <v>4.1028027005938198E-4</v>
      </c>
      <c r="R119" s="11"/>
      <c r="Y119" s="11">
        <f t="shared" si="18"/>
        <v>2.1907999999999997E-2</v>
      </c>
      <c r="Z119">
        <f t="shared" si="19"/>
        <v>1.3655475092430933E-4</v>
      </c>
      <c r="AD119" s="11"/>
    </row>
    <row r="120" spans="16:30">
      <c r="P120" s="11">
        <f t="shared" si="20"/>
        <v>2.2105999999999997E-2</v>
      </c>
      <c r="Q120">
        <f t="shared" si="21"/>
        <v>4.2111269275575105E-4</v>
      </c>
      <c r="R120" s="11"/>
      <c r="Y120" s="11">
        <f t="shared" si="18"/>
        <v>2.1922000000000001E-2</v>
      </c>
      <c r="Z120">
        <f t="shared" si="19"/>
        <v>1.3141182087874267E-4</v>
      </c>
      <c r="AD120" s="11"/>
    </row>
    <row r="121" spans="16:30">
      <c r="P121" s="11">
        <f t="shared" si="20"/>
        <v>2.214E-2</v>
      </c>
      <c r="Q121">
        <f t="shared" si="21"/>
        <v>4.2121194190098597E-4</v>
      </c>
      <c r="R121" s="11"/>
      <c r="Y121" s="11">
        <f t="shared" si="18"/>
        <v>2.1943333333333332E-2</v>
      </c>
      <c r="Z121">
        <f t="shared" si="19"/>
        <v>1.0785271163678425E-4</v>
      </c>
      <c r="AD121" s="11"/>
    </row>
    <row r="122" spans="16:30">
      <c r="P122" s="11">
        <f t="shared" si="20"/>
        <v>2.2159999999999996E-2</v>
      </c>
      <c r="Q122">
        <f t="shared" si="21"/>
        <v>4.3413580824437777E-4</v>
      </c>
      <c r="R122" s="11"/>
      <c r="Y122" s="11">
        <f t="shared" si="18"/>
        <v>2.1926666666666664E-2</v>
      </c>
      <c r="Z122">
        <f t="shared" si="19"/>
        <v>1.0709234505962711E-4</v>
      </c>
      <c r="AD122" s="11"/>
    </row>
    <row r="123" spans="16:30">
      <c r="P123" s="11">
        <f t="shared" si="20"/>
        <v>2.2155999999999999E-2</v>
      </c>
      <c r="Q123">
        <f t="shared" si="21"/>
        <v>4.8693028248405281E-4</v>
      </c>
      <c r="R123" s="11"/>
      <c r="Y123" s="11">
        <f t="shared" si="18"/>
        <v>2.1921999999999997E-2</v>
      </c>
      <c r="Z123">
        <f t="shared" si="19"/>
        <v>1.0307508949340743E-4</v>
      </c>
      <c r="AD123" s="11"/>
    </row>
    <row r="124" spans="16:30">
      <c r="P124" s="11">
        <f t="shared" si="20"/>
        <v>2.2148999999999995E-2</v>
      </c>
      <c r="Q124">
        <f t="shared" si="21"/>
        <v>5.0710186353433869E-4</v>
      </c>
      <c r="R124" s="11"/>
      <c r="Y124" s="11">
        <f t="shared" si="18"/>
        <v>2.1928666666666666E-2</v>
      </c>
      <c r="Z124">
        <f t="shared" si="19"/>
        <v>1.0461923907764352E-4</v>
      </c>
      <c r="AD124" s="11"/>
    </row>
    <row r="125" spans="16:30">
      <c r="P125" s="11">
        <f t="shared" si="20"/>
        <v>2.2096999999999999E-2</v>
      </c>
      <c r="Q125">
        <f t="shared" si="21"/>
        <v>4.9871715430692713E-4</v>
      </c>
      <c r="R125" s="11"/>
      <c r="Y125" s="11">
        <f t="shared" si="18"/>
        <v>2.1934000000000002E-2</v>
      </c>
      <c r="Z125">
        <f t="shared" si="19"/>
        <v>1.0187879508950234E-4</v>
      </c>
      <c r="AD125" s="11"/>
    </row>
    <row r="126" spans="16:30">
      <c r="P126" s="11">
        <f t="shared" si="20"/>
        <v>2.2040000000000001E-2</v>
      </c>
      <c r="Q126">
        <f t="shared" si="21"/>
        <v>4.8735900525177453E-4</v>
      </c>
      <c r="R126" s="11"/>
      <c r="Y126" s="11">
        <f t="shared" si="18"/>
        <v>2.1984666666666663E-2</v>
      </c>
      <c r="Z126">
        <f t="shared" si="19"/>
        <v>2.057294879744329E-4</v>
      </c>
      <c r="AD126" s="11"/>
    </row>
    <row r="127" spans="16:30">
      <c r="P127" s="11">
        <f t="shared" si="20"/>
        <v>2.1954000000000001E-2</v>
      </c>
      <c r="Q127">
        <f t="shared" si="21"/>
        <v>4.6331447203815996E-4</v>
      </c>
      <c r="R127" s="11"/>
      <c r="Y127" s="11">
        <f t="shared" si="18"/>
        <v>2.2159333333333329E-2</v>
      </c>
      <c r="Z127">
        <f t="shared" si="19"/>
        <v>6.5449456891615435E-4</v>
      </c>
      <c r="AD127" s="11"/>
    </row>
    <row r="128" spans="16:30">
      <c r="P128" s="11">
        <f t="shared" si="20"/>
        <v>2.1846999999999998E-2</v>
      </c>
      <c r="Q128">
        <f t="shared" si="21"/>
        <v>3.7841617301589948E-4</v>
      </c>
      <c r="R128" s="11"/>
      <c r="Y128" s="11">
        <f t="shared" si="18"/>
        <v>2.2129333333333331E-2</v>
      </c>
      <c r="Z128">
        <f t="shared" si="19"/>
        <v>6.716314686117912E-4</v>
      </c>
      <c r="AD128" s="11"/>
    </row>
    <row r="129" spans="16:26">
      <c r="P129" s="11">
        <f t="shared" si="20"/>
        <v>2.1817E-2</v>
      </c>
      <c r="Q129">
        <f t="shared" si="21"/>
        <v>3.770034482600912E-4</v>
      </c>
      <c r="R129" s="11"/>
      <c r="Y129" s="11">
        <f t="shared" si="18"/>
        <v>2.1973999999999997E-2</v>
      </c>
      <c r="Z129">
        <f t="shared" si="19"/>
        <v>9.4439389145749069E-4</v>
      </c>
    </row>
    <row r="130" spans="16:26">
      <c r="P130" s="11">
        <f t="shared" si="20"/>
        <v>2.1751E-2</v>
      </c>
      <c r="Q130">
        <f t="shared" si="21"/>
        <v>3.5948588289388928E-4</v>
      </c>
      <c r="R130" s="11"/>
      <c r="Y130" s="11">
        <f t="shared" si="18"/>
        <v>2.1811999999999998E-2</v>
      </c>
      <c r="Z130">
        <f t="shared" si="19"/>
        <v>1.1099918985356669E-3</v>
      </c>
    </row>
    <row r="131" spans="16:26">
      <c r="P131" s="11">
        <f t="shared" si="20"/>
        <v>2.1704999999999999E-2</v>
      </c>
      <c r="Q131">
        <f t="shared" si="21"/>
        <v>3.5978132247241383E-4</v>
      </c>
      <c r="Y131" s="11">
        <f t="shared" si="18"/>
        <v>2.1639333333333337E-2</v>
      </c>
      <c r="Z131">
        <f t="shared" si="19"/>
        <v>1.2649260555170512E-3</v>
      </c>
    </row>
    <row r="132" spans="16:26">
      <c r="P132" s="11">
        <f t="shared" si="20"/>
        <v>2.1732000000000001E-2</v>
      </c>
      <c r="Q132">
        <f t="shared" si="21"/>
        <v>3.5371598776419389E-4</v>
      </c>
      <c r="Y132" s="11">
        <f t="shared" si="18"/>
        <v>2.1438000000000002E-2</v>
      </c>
      <c r="Z132">
        <f t="shared" si="19"/>
        <v>1.4329591552939469E-3</v>
      </c>
    </row>
    <row r="133" spans="16:26">
      <c r="P133" s="11">
        <f t="shared" si="20"/>
        <v>2.1789000000000003E-2</v>
      </c>
      <c r="Q133">
        <f t="shared" si="21"/>
        <v>2.6690354062844373E-4</v>
      </c>
      <c r="Y133" s="11">
        <f t="shared" si="18"/>
        <v>2.1259999999999998E-2</v>
      </c>
      <c r="Z133">
        <f t="shared" si="19"/>
        <v>1.524035850652495E-3</v>
      </c>
    </row>
    <row r="134" spans="16:26">
      <c r="P134" s="11">
        <f t="shared" si="20"/>
        <v>2.1818999999999998E-2</v>
      </c>
      <c r="Q134">
        <f t="shared" si="21"/>
        <v>2.3313837093022637E-4</v>
      </c>
      <c r="Y134" s="11">
        <f t="shared" si="18"/>
        <v>2.1075999999999998E-2</v>
      </c>
      <c r="Z134">
        <f t="shared" si="19"/>
        <v>1.5958845219524521E-3</v>
      </c>
    </row>
    <row r="135" spans="16:26">
      <c r="P135" s="11">
        <f t="shared" si="20"/>
        <v>2.1837999999999993E-2</v>
      </c>
      <c r="Q135">
        <f t="shared" si="21"/>
        <v>2.0385534086699806E-4</v>
      </c>
      <c r="Y135" s="11">
        <f t="shared" si="18"/>
        <v>2.0899333333333332E-2</v>
      </c>
      <c r="Z135">
        <f t="shared" si="19"/>
        <v>1.6438160390902534E-3</v>
      </c>
    </row>
    <row r="136" spans="16:26">
      <c r="P136" s="11">
        <f t="shared" si="20"/>
        <v>2.1859999999999997E-2</v>
      </c>
      <c r="Q136">
        <f t="shared" si="21"/>
        <v>1.7651345557775477E-4</v>
      </c>
    </row>
    <row r="137" spans="16:26">
      <c r="P137" s="11">
        <f t="shared" si="20"/>
        <v>2.1894E-2</v>
      </c>
      <c r="Q137">
        <f t="shared" si="21"/>
        <v>1.4013208055259856E-4</v>
      </c>
    </row>
    <row r="138" spans="16:26">
      <c r="P138" s="11">
        <f t="shared" si="20"/>
        <v>2.1913999999999999E-2</v>
      </c>
      <c r="Q138">
        <f t="shared" si="21"/>
        <v>1.4008461728541078E-4</v>
      </c>
    </row>
    <row r="139" spans="16:26">
      <c r="P139" s="11">
        <f t="shared" si="20"/>
        <v>2.1898999999999998E-2</v>
      </c>
      <c r="Q139">
        <f t="shared" si="21"/>
        <v>1.4860316281963841E-4</v>
      </c>
    </row>
    <row r="140" spans="16:26">
      <c r="P140" s="11">
        <f t="shared" si="20"/>
        <v>2.1915999999999998E-2</v>
      </c>
      <c r="Q140">
        <f t="shared" si="21"/>
        <v>1.4880994590416323E-4</v>
      </c>
    </row>
  </sheetData>
  <autoFilter ref="B1:P1" xr:uid="{78D68263-62FB-FC43-8045-DFA61A9E57C9}"/>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F25CC-46FB-A34B-8FDE-93A9AEAE2C50}">
  <sheetPr>
    <tabColor theme="1" tint="0.14999847407452621"/>
  </sheetPr>
  <dimension ref="B1:P75"/>
  <sheetViews>
    <sheetView showGridLines="0" zoomScale="82" workbookViewId="0">
      <selection activeCell="H48" sqref="H48"/>
    </sheetView>
  </sheetViews>
  <sheetFormatPr baseColWidth="10" defaultRowHeight="16"/>
  <cols>
    <col min="2" max="2" width="32.5703125" customWidth="1"/>
    <col min="3" max="3" width="12" customWidth="1"/>
    <col min="4" max="4" width="27.7109375" customWidth="1"/>
    <col min="5" max="5" width="28.85546875" customWidth="1"/>
    <col min="6" max="6" width="29.85546875" customWidth="1"/>
    <col min="7" max="7" width="23.5703125" customWidth="1"/>
    <col min="8" max="8" width="38" customWidth="1"/>
    <col min="13" max="13" width="20.5703125" customWidth="1"/>
  </cols>
  <sheetData>
    <row r="1" spans="2:8">
      <c r="B1" s="196"/>
      <c r="C1" s="196"/>
      <c r="D1" s="196"/>
      <c r="E1" s="196"/>
      <c r="F1" s="196"/>
      <c r="G1" s="196"/>
      <c r="H1" s="196"/>
    </row>
    <row r="2" spans="2:8">
      <c r="B2" s="388" t="s">
        <v>79</v>
      </c>
      <c r="C2" s="388"/>
      <c r="D2" s="388"/>
      <c r="E2" s="388"/>
      <c r="F2" s="388"/>
      <c r="G2" s="388"/>
      <c r="H2" s="388"/>
    </row>
    <row r="3" spans="2:8" ht="17" thickBot="1">
      <c r="B3" s="197" t="s">
        <v>17</v>
      </c>
      <c r="C3" s="197" t="s">
        <v>18</v>
      </c>
      <c r="D3" s="197" t="s">
        <v>80</v>
      </c>
      <c r="E3" s="197" t="s">
        <v>24</v>
      </c>
      <c r="F3" s="197" t="s">
        <v>26</v>
      </c>
      <c r="G3" s="198" t="s">
        <v>81</v>
      </c>
      <c r="H3" s="198" t="s">
        <v>30</v>
      </c>
    </row>
    <row r="4" spans="2:8">
      <c r="B4" s="1" cm="1">
        <f t="array" ref="B4:B17">'Données MONIA BKAM'!D2:D15</f>
        <v>43832</v>
      </c>
      <c r="C4" s="200" cm="1">
        <f t="array" ref="C4:C17">'Données MONIA BKAM'!A2:A15</f>
        <v>2.223E-2</v>
      </c>
      <c r="D4" s="164">
        <f>'Données MONIA BKAM'!D2-'Données MONIA BKAM'!C2</f>
        <v>2</v>
      </c>
      <c r="E4" s="202">
        <f t="shared" ref="E4:E17" si="0">(C4*D4)/360</f>
        <v>1.2349999999999999E-4</v>
      </c>
      <c r="F4" s="203">
        <v>150000000</v>
      </c>
      <c r="G4" s="204">
        <f>F4+(E4*F4)</f>
        <v>150018525</v>
      </c>
      <c r="H4" s="205">
        <f>E4*F4</f>
        <v>18525</v>
      </c>
    </row>
    <row r="5" spans="2:8">
      <c r="B5" s="1">
        <v>43833</v>
      </c>
      <c r="C5" s="200">
        <v>2.197E-2</v>
      </c>
      <c r="D5" s="164">
        <f>'Données MONIA BKAM'!D3-'Données MONIA BKAM'!C3</f>
        <v>1</v>
      </c>
      <c r="E5" s="202">
        <f t="shared" si="0"/>
        <v>6.1027777777777781E-5</v>
      </c>
      <c r="F5" s="203">
        <v>150000000</v>
      </c>
      <c r="G5" s="204">
        <f t="shared" ref="G5:G17" si="1">F5+(E5*F5)</f>
        <v>150009154.16666666</v>
      </c>
      <c r="H5" s="205">
        <f t="shared" ref="H5:H17" si="2">E5*F5</f>
        <v>9154.1666666666679</v>
      </c>
    </row>
    <row r="6" spans="2:8">
      <c r="B6" s="1">
        <v>43836</v>
      </c>
      <c r="C6" s="200">
        <v>2.1829999999999999E-2</v>
      </c>
      <c r="D6" s="164">
        <f>'Données MONIA BKAM'!D4-'Données MONIA BKAM'!C4</f>
        <v>3</v>
      </c>
      <c r="E6" s="202">
        <f t="shared" si="0"/>
        <v>1.8191666666666665E-4</v>
      </c>
      <c r="F6" s="203">
        <v>150000000</v>
      </c>
      <c r="G6" s="204">
        <f t="shared" si="1"/>
        <v>150027287.5</v>
      </c>
      <c r="H6" s="205">
        <f t="shared" si="2"/>
        <v>27287.499999999996</v>
      </c>
    </row>
    <row r="7" spans="2:8">
      <c r="B7" s="1">
        <v>43837</v>
      </c>
      <c r="C7" s="200">
        <v>2.1930000000000002E-2</v>
      </c>
      <c r="D7" s="164">
        <f>'Données MONIA BKAM'!D5-'Données MONIA BKAM'!C5</f>
        <v>1</v>
      </c>
      <c r="E7" s="202">
        <f t="shared" si="0"/>
        <v>6.0916666666666672E-5</v>
      </c>
      <c r="F7" s="203">
        <v>150000000</v>
      </c>
      <c r="G7" s="204">
        <f t="shared" si="1"/>
        <v>150009137.5</v>
      </c>
      <c r="H7" s="205">
        <f t="shared" si="2"/>
        <v>9137.5</v>
      </c>
    </row>
    <row r="8" spans="2:8">
      <c r="B8" s="1">
        <v>43838</v>
      </c>
      <c r="C8" s="200">
        <v>2.172E-2</v>
      </c>
      <c r="D8" s="164">
        <f>'Données MONIA BKAM'!D6-'Données MONIA BKAM'!C6</f>
        <v>1</v>
      </c>
      <c r="E8" s="202">
        <f t="shared" si="0"/>
        <v>6.0333333333333334E-5</v>
      </c>
      <c r="F8" s="203">
        <v>150000000</v>
      </c>
      <c r="G8" s="204">
        <f t="shared" si="1"/>
        <v>150009050</v>
      </c>
      <c r="H8" s="205">
        <f t="shared" si="2"/>
        <v>9050</v>
      </c>
    </row>
    <row r="9" spans="2:8">
      <c r="B9" s="1">
        <v>43839</v>
      </c>
      <c r="C9" s="200">
        <v>2.1760000000000002E-2</v>
      </c>
      <c r="D9" s="164">
        <f>'Données MONIA BKAM'!D7-'Données MONIA BKAM'!C7</f>
        <v>1</v>
      </c>
      <c r="E9" s="202">
        <f t="shared" si="0"/>
        <v>6.0444444444444449E-5</v>
      </c>
      <c r="F9" s="203">
        <v>150000000</v>
      </c>
      <c r="G9" s="204">
        <f t="shared" si="1"/>
        <v>150009066.66666666</v>
      </c>
      <c r="H9" s="205">
        <f t="shared" si="2"/>
        <v>9066.6666666666679</v>
      </c>
    </row>
    <row r="10" spans="2:8">
      <c r="B10" s="1">
        <v>43840</v>
      </c>
      <c r="C10" s="200">
        <v>2.172E-2</v>
      </c>
      <c r="D10" s="164">
        <f>'Données MONIA BKAM'!D8-'Données MONIA BKAM'!C8</f>
        <v>1</v>
      </c>
      <c r="E10" s="202">
        <f t="shared" si="0"/>
        <v>6.0333333333333334E-5</v>
      </c>
      <c r="F10" s="203">
        <v>150000000</v>
      </c>
      <c r="G10" s="204">
        <f t="shared" si="1"/>
        <v>150009050</v>
      </c>
      <c r="H10" s="205">
        <f t="shared" si="2"/>
        <v>9050</v>
      </c>
    </row>
    <row r="11" spans="2:8">
      <c r="B11" s="1">
        <v>43843</v>
      </c>
      <c r="C11" s="200">
        <v>2.18E-2</v>
      </c>
      <c r="D11" s="164">
        <f>'Données MONIA BKAM'!D9-'Données MONIA BKAM'!C9</f>
        <v>3</v>
      </c>
      <c r="E11" s="202">
        <f t="shared" si="0"/>
        <v>1.8166666666666667E-4</v>
      </c>
      <c r="F11" s="203">
        <v>150000000</v>
      </c>
      <c r="G11" s="204">
        <f t="shared" si="1"/>
        <v>150027250</v>
      </c>
      <c r="H11" s="205">
        <f t="shared" si="2"/>
        <v>27250</v>
      </c>
    </row>
    <row r="12" spans="2:8">
      <c r="B12" s="1">
        <v>43844</v>
      </c>
      <c r="C12" s="200">
        <v>2.1999999999999999E-2</v>
      </c>
      <c r="D12" s="164">
        <f>'Données MONIA BKAM'!D10-'Données MONIA BKAM'!C10</f>
        <v>1</v>
      </c>
      <c r="E12" s="202">
        <f t="shared" si="0"/>
        <v>6.1111111111111107E-5</v>
      </c>
      <c r="F12" s="203">
        <v>150000000</v>
      </c>
      <c r="G12" s="204">
        <f t="shared" si="1"/>
        <v>150009166.66666666</v>
      </c>
      <c r="H12" s="205">
        <f t="shared" si="2"/>
        <v>9166.6666666666661</v>
      </c>
    </row>
    <row r="13" spans="2:8">
      <c r="B13" s="1">
        <v>43845</v>
      </c>
      <c r="C13" s="200">
        <v>2.1760000000000002E-2</v>
      </c>
      <c r="D13" s="164">
        <f>'Données MONIA BKAM'!D11-'Données MONIA BKAM'!C11</f>
        <v>1</v>
      </c>
      <c r="E13" s="202">
        <f t="shared" si="0"/>
        <v>6.0444444444444449E-5</v>
      </c>
      <c r="F13" s="203">
        <v>150000000</v>
      </c>
      <c r="G13" s="204">
        <f t="shared" si="1"/>
        <v>150009066.66666666</v>
      </c>
      <c r="H13" s="205">
        <f t="shared" si="2"/>
        <v>9066.6666666666679</v>
      </c>
    </row>
    <row r="14" spans="2:8">
      <c r="B14" s="1">
        <v>43846</v>
      </c>
      <c r="C14" s="200">
        <v>2.164E-2</v>
      </c>
      <c r="D14" s="164">
        <f>'Données MONIA BKAM'!D12-'Données MONIA BKAM'!C12</f>
        <v>1</v>
      </c>
      <c r="E14" s="202">
        <f t="shared" si="0"/>
        <v>6.011111111111111E-5</v>
      </c>
      <c r="F14" s="203">
        <v>150000000</v>
      </c>
      <c r="G14" s="204">
        <f t="shared" si="1"/>
        <v>150009016.66666666</v>
      </c>
      <c r="H14" s="205">
        <f t="shared" si="2"/>
        <v>9016.6666666666661</v>
      </c>
    </row>
    <row r="15" spans="2:8">
      <c r="B15" s="1">
        <v>43847</v>
      </c>
      <c r="C15" s="200">
        <v>2.1610000000000001E-2</v>
      </c>
      <c r="D15" s="164">
        <f>'Données MONIA BKAM'!D13-'Données MONIA BKAM'!C13</f>
        <v>1</v>
      </c>
      <c r="E15" s="202">
        <f t="shared" si="0"/>
        <v>6.0027777777777777E-5</v>
      </c>
      <c r="F15" s="203">
        <v>150000000</v>
      </c>
      <c r="G15" s="204">
        <f t="shared" si="1"/>
        <v>150009004.16666666</v>
      </c>
      <c r="H15" s="205">
        <f t="shared" si="2"/>
        <v>9004.1666666666661</v>
      </c>
    </row>
    <row r="16" spans="2:8">
      <c r="B16" s="1">
        <v>43850</v>
      </c>
      <c r="C16" s="200">
        <v>2.1999999999999999E-2</v>
      </c>
      <c r="D16" s="164">
        <f>'Données MONIA BKAM'!D14-'Données MONIA BKAM'!C14</f>
        <v>3</v>
      </c>
      <c r="E16" s="202">
        <f t="shared" si="0"/>
        <v>1.8333333333333334E-4</v>
      </c>
      <c r="F16" s="203">
        <v>150000000</v>
      </c>
      <c r="G16" s="204">
        <f t="shared" si="1"/>
        <v>150027500</v>
      </c>
      <c r="H16" s="205">
        <f t="shared" si="2"/>
        <v>27500</v>
      </c>
    </row>
    <row r="17" spans="2:8" ht="17" thickBot="1">
      <c r="B17" s="199">
        <v>43851</v>
      </c>
      <c r="C17" s="201">
        <v>2.1770000000000001E-2</v>
      </c>
      <c r="D17" s="197">
        <f>'Données MONIA BKAM'!D15-'Données MONIA BKAM'!C15</f>
        <v>1</v>
      </c>
      <c r="E17" s="206">
        <f t="shared" si="0"/>
        <v>6.0472222222222225E-5</v>
      </c>
      <c r="F17" s="207">
        <v>150000000</v>
      </c>
      <c r="G17" s="208">
        <f t="shared" si="1"/>
        <v>150009070.83333334</v>
      </c>
      <c r="H17" s="209">
        <f t="shared" si="2"/>
        <v>9070.8333333333339</v>
      </c>
    </row>
    <row r="18" spans="2:8">
      <c r="B18" s="164"/>
      <c r="C18" s="164"/>
      <c r="D18" s="164">
        <f>SUM(D4:D17)</f>
        <v>21</v>
      </c>
      <c r="E18" s="164"/>
      <c r="F18" s="164"/>
      <c r="G18" s="164"/>
      <c r="H18" s="164"/>
    </row>
    <row r="19" spans="2:8" ht="17" thickBot="1">
      <c r="B19" s="210" t="s">
        <v>82</v>
      </c>
      <c r="C19" s="211">
        <f>((360/D18)*((C4*D4/360)+(C5*D5/360)+(C6*D6/360)+(C7*D7/360)+(C8*D8/360)+(C9*D9/360)+(C10*D10/360)+(C11*D11/360)+(C12*D12/360)+(C13*D13/360)+(C14*D14/360)+(C15*D15/360)+(C16*D16/360)+(C17*D17/360)))</f>
        <v>2.1868095238095239E-2</v>
      </c>
      <c r="D19" s="212"/>
      <c r="E19" s="213">
        <f>F4+SUM(H4:H17)</f>
        <v>150191345.83333334</v>
      </c>
      <c r="F19" s="197"/>
      <c r="G19" s="197"/>
      <c r="H19" s="197"/>
    </row>
    <row r="20" spans="2:8">
      <c r="B20" s="196"/>
      <c r="C20" s="196"/>
      <c r="D20" s="196"/>
      <c r="E20" s="196"/>
      <c r="F20" s="196"/>
      <c r="G20" s="196"/>
      <c r="H20" s="196"/>
    </row>
    <row r="21" spans="2:8">
      <c r="B21" s="196"/>
      <c r="C21" s="196"/>
      <c r="D21" s="196"/>
      <c r="E21" s="196"/>
      <c r="F21" s="196"/>
      <c r="G21" s="196"/>
      <c r="H21" s="196"/>
    </row>
    <row r="22" spans="2:8">
      <c r="B22" s="196"/>
      <c r="C22" s="196"/>
      <c r="D22" s="196"/>
      <c r="E22" s="196"/>
      <c r="F22" s="196"/>
      <c r="G22" s="196"/>
      <c r="H22" s="196"/>
    </row>
    <row r="23" spans="2:8">
      <c r="B23" s="388" t="s">
        <v>79</v>
      </c>
      <c r="C23" s="388"/>
      <c r="D23" s="388"/>
      <c r="E23" s="388"/>
      <c r="F23" s="388"/>
      <c r="G23" s="388"/>
      <c r="H23" s="388"/>
    </row>
    <row r="24" spans="2:8" ht="17" thickBot="1">
      <c r="B24" s="197" t="s">
        <v>17</v>
      </c>
      <c r="C24" s="197" t="s">
        <v>18</v>
      </c>
      <c r="D24" s="197" t="s">
        <v>80</v>
      </c>
      <c r="E24" s="197" t="s">
        <v>24</v>
      </c>
      <c r="F24" s="197" t="s">
        <v>26</v>
      </c>
      <c r="G24" s="198" t="s">
        <v>81</v>
      </c>
      <c r="H24" s="198" t="s">
        <v>28</v>
      </c>
    </row>
    <row r="25" spans="2:8">
      <c r="B25" s="1">
        <v>43832</v>
      </c>
      <c r="C25" s="214" cm="1">
        <f t="array" ref="C25:C38">C4:C17</f>
        <v>2.223E-2</v>
      </c>
      <c r="D25" s="164" cm="1">
        <f t="array" ref="D25:D38">D4:D17</f>
        <v>2</v>
      </c>
      <c r="E25" s="202" cm="1">
        <f t="array" ref="E25:E38">E4:E17</f>
        <v>1.2349999999999999E-4</v>
      </c>
      <c r="F25" s="203" cm="1">
        <f t="array" ref="F25:F38">F4:F17</f>
        <v>150000000</v>
      </c>
      <c r="G25" s="204">
        <f>F25+(E25*F25)</f>
        <v>150018525</v>
      </c>
      <c r="H25" s="205">
        <f>E25*G25</f>
        <v>18527.2878375</v>
      </c>
    </row>
    <row r="26" spans="2:8">
      <c r="B26" s="1">
        <v>43833</v>
      </c>
      <c r="C26" s="214">
        <v>2.197E-2</v>
      </c>
      <c r="D26" s="164">
        <v>1</v>
      </c>
      <c r="E26" s="202">
        <v>6.1027777777777781E-5</v>
      </c>
      <c r="F26" s="203">
        <v>150000000</v>
      </c>
      <c r="G26" s="204">
        <f t="shared" ref="G26:G38" si="3">F26+(E26*F26)</f>
        <v>150009154.16666666</v>
      </c>
      <c r="H26" s="205">
        <f t="shared" ref="H26:H38" si="4">E26*G26</f>
        <v>9154.7253251157399</v>
      </c>
    </row>
    <row r="27" spans="2:8">
      <c r="B27" s="1">
        <v>43836</v>
      </c>
      <c r="C27" s="214">
        <v>2.1829999999999999E-2</v>
      </c>
      <c r="D27" s="164">
        <v>3</v>
      </c>
      <c r="E27" s="202">
        <v>1.8191666666666665E-4</v>
      </c>
      <c r="F27" s="203">
        <v>150000000</v>
      </c>
      <c r="G27" s="204">
        <f t="shared" si="3"/>
        <v>150027287.5</v>
      </c>
      <c r="H27" s="205">
        <f t="shared" si="4"/>
        <v>27292.464051041665</v>
      </c>
    </row>
    <row r="28" spans="2:8">
      <c r="B28" s="1">
        <v>43837</v>
      </c>
      <c r="C28" s="214">
        <v>2.1930000000000002E-2</v>
      </c>
      <c r="D28" s="164">
        <v>1</v>
      </c>
      <c r="E28" s="202">
        <v>6.0916666666666672E-5</v>
      </c>
      <c r="F28" s="203">
        <v>150000000</v>
      </c>
      <c r="G28" s="204">
        <f t="shared" si="3"/>
        <v>150009137.5</v>
      </c>
      <c r="H28" s="205">
        <f t="shared" si="4"/>
        <v>9138.0566260416672</v>
      </c>
    </row>
    <row r="29" spans="2:8">
      <c r="B29" s="1">
        <v>43838</v>
      </c>
      <c r="C29" s="214">
        <v>2.172E-2</v>
      </c>
      <c r="D29" s="164">
        <v>1</v>
      </c>
      <c r="E29" s="202">
        <v>6.0333333333333334E-5</v>
      </c>
      <c r="F29" s="203">
        <v>150000000</v>
      </c>
      <c r="G29" s="204">
        <f t="shared" si="3"/>
        <v>150009050</v>
      </c>
      <c r="H29" s="205">
        <f t="shared" si="4"/>
        <v>9050.5460166666671</v>
      </c>
    </row>
    <row r="30" spans="2:8">
      <c r="B30" s="1">
        <v>43839</v>
      </c>
      <c r="C30" s="214">
        <v>2.1760000000000002E-2</v>
      </c>
      <c r="D30" s="164">
        <v>1</v>
      </c>
      <c r="E30" s="202">
        <v>6.0444444444444449E-5</v>
      </c>
      <c r="F30" s="203">
        <v>150000000</v>
      </c>
      <c r="G30" s="204">
        <f t="shared" si="3"/>
        <v>150009066.66666666</v>
      </c>
      <c r="H30" s="205">
        <f t="shared" si="4"/>
        <v>9067.2146962962961</v>
      </c>
    </row>
    <row r="31" spans="2:8">
      <c r="B31" s="1">
        <v>43840</v>
      </c>
      <c r="C31" s="214">
        <v>2.172E-2</v>
      </c>
      <c r="D31" s="164">
        <v>1</v>
      </c>
      <c r="E31" s="202">
        <v>6.0333333333333334E-5</v>
      </c>
      <c r="F31" s="203">
        <v>150000000</v>
      </c>
      <c r="G31" s="204">
        <f t="shared" si="3"/>
        <v>150009050</v>
      </c>
      <c r="H31" s="205"/>
    </row>
    <row r="32" spans="2:8">
      <c r="B32" s="1">
        <v>43843</v>
      </c>
      <c r="C32" s="214">
        <v>2.18E-2</v>
      </c>
      <c r="D32" s="164">
        <v>3</v>
      </c>
      <c r="E32" s="202">
        <v>1.8166666666666667E-4</v>
      </c>
      <c r="F32" s="203">
        <v>150000000</v>
      </c>
      <c r="G32" s="204">
        <f t="shared" si="3"/>
        <v>150027250</v>
      </c>
      <c r="H32" s="205">
        <f t="shared" si="4"/>
        <v>27254.950416666667</v>
      </c>
    </row>
    <row r="33" spans="2:8">
      <c r="B33" s="1">
        <v>43844</v>
      </c>
      <c r="C33" s="214">
        <v>2.1999999999999999E-2</v>
      </c>
      <c r="D33" s="164">
        <v>1</v>
      </c>
      <c r="E33" s="202">
        <v>6.1111111111111107E-5</v>
      </c>
      <c r="F33" s="203">
        <v>150000000</v>
      </c>
      <c r="G33" s="204">
        <f t="shared" si="3"/>
        <v>150009166.66666666</v>
      </c>
      <c r="H33" s="205">
        <f t="shared" si="4"/>
        <v>9167.2268518518504</v>
      </c>
    </row>
    <row r="34" spans="2:8">
      <c r="B34" s="1">
        <v>43845</v>
      </c>
      <c r="C34" s="214">
        <v>2.1760000000000002E-2</v>
      </c>
      <c r="D34" s="164">
        <v>1</v>
      </c>
      <c r="E34" s="202">
        <v>6.0444444444444449E-5</v>
      </c>
      <c r="F34" s="203">
        <v>150000000</v>
      </c>
      <c r="G34" s="204">
        <f t="shared" si="3"/>
        <v>150009066.66666666</v>
      </c>
      <c r="H34" s="205">
        <f t="shared" si="4"/>
        <v>9067.2146962962961</v>
      </c>
    </row>
    <row r="35" spans="2:8">
      <c r="B35" s="1">
        <v>43846</v>
      </c>
      <c r="C35" s="214">
        <v>2.164E-2</v>
      </c>
      <c r="D35" s="164">
        <v>1</v>
      </c>
      <c r="E35" s="202">
        <v>6.011111111111111E-5</v>
      </c>
      <c r="F35" s="203">
        <v>150000000</v>
      </c>
      <c r="G35" s="204">
        <f t="shared" si="3"/>
        <v>150009016.66666666</v>
      </c>
      <c r="H35" s="205">
        <f t="shared" si="4"/>
        <v>9017.2086685185186</v>
      </c>
    </row>
    <row r="36" spans="2:8">
      <c r="B36" s="1">
        <v>43847</v>
      </c>
      <c r="C36" s="214">
        <v>2.1610000000000001E-2</v>
      </c>
      <c r="D36" s="164">
        <v>1</v>
      </c>
      <c r="E36" s="202">
        <v>6.0027777777777777E-5</v>
      </c>
      <c r="F36" s="203">
        <v>150000000</v>
      </c>
      <c r="G36" s="204">
        <f t="shared" si="3"/>
        <v>150009004.16666666</v>
      </c>
      <c r="H36" s="205">
        <f t="shared" si="4"/>
        <v>9004.7071667824075</v>
      </c>
    </row>
    <row r="37" spans="2:8">
      <c r="B37" s="1">
        <v>43850</v>
      </c>
      <c r="C37" s="214">
        <v>2.1999999999999999E-2</v>
      </c>
      <c r="D37" s="164">
        <v>3</v>
      </c>
      <c r="E37" s="202">
        <v>1.8333333333333334E-4</v>
      </c>
      <c r="F37" s="203">
        <v>150000000</v>
      </c>
      <c r="G37" s="204">
        <f t="shared" si="3"/>
        <v>150027500</v>
      </c>
      <c r="H37" s="205">
        <f t="shared" si="4"/>
        <v>27505.041666666668</v>
      </c>
    </row>
    <row r="38" spans="2:8" ht="17" thickBot="1">
      <c r="B38" s="199">
        <v>43851</v>
      </c>
      <c r="C38" s="215">
        <v>2.1770000000000001E-2</v>
      </c>
      <c r="D38" s="197">
        <v>1</v>
      </c>
      <c r="E38" s="206">
        <v>6.0472222222222225E-5</v>
      </c>
      <c r="F38" s="207">
        <v>150000000</v>
      </c>
      <c r="G38" s="208">
        <f t="shared" si="3"/>
        <v>150009070.83333334</v>
      </c>
      <c r="H38" s="209">
        <f t="shared" si="4"/>
        <v>9071.3818667824089</v>
      </c>
    </row>
    <row r="39" spans="2:8">
      <c r="B39" s="216"/>
      <c r="C39" s="216"/>
      <c r="D39" s="216">
        <f>SUM(D25:D38)</f>
        <v>21</v>
      </c>
      <c r="E39" s="216"/>
      <c r="F39" s="164"/>
      <c r="G39" s="164"/>
      <c r="H39" s="164"/>
    </row>
    <row r="40" spans="2:8" ht="17" thickBot="1">
      <c r="B40" s="210" t="s">
        <v>83</v>
      </c>
      <c r="C40" s="211">
        <f>((360/D39)*((1+(C25*D25)/360)*(1+(C26*D26)/360)*(1+(C27*D27)/360)*(1+(C28*D28)/360)*(1+(C29*D29)/360)*(1+(C30*D30)/360)*(1+(C31*D31)/360)*(1+(C32*D32)/360)*(1+(C33*D33)/360)*(1+(C34*D34)/360)*(1+(C35*D35)/360)*(1+(C36*D36)/360)*(1+(C37*D37)/360)*(1+(C38*D38)/360)-1))</f>
        <v>2.1880748189283698E-2</v>
      </c>
      <c r="D40" s="212"/>
      <c r="E40" s="213">
        <f>F25+(SUM(H25:H38))</f>
        <v>150182318.02588624</v>
      </c>
      <c r="F40" s="197"/>
      <c r="G40" s="197"/>
      <c r="H40" s="197"/>
    </row>
    <row r="41" spans="2:8">
      <c r="B41" s="196"/>
      <c r="C41" s="196"/>
      <c r="D41" s="196"/>
      <c r="E41" s="196"/>
      <c r="F41" s="196"/>
      <c r="G41" s="196"/>
      <c r="H41" s="196"/>
    </row>
    <row r="43" spans="2:8">
      <c r="B43" s="388"/>
      <c r="C43" s="388"/>
      <c r="D43" s="388"/>
      <c r="E43" s="388"/>
      <c r="F43" s="388"/>
      <c r="G43" s="388"/>
      <c r="H43" s="388"/>
    </row>
    <row r="44" spans="2:8">
      <c r="B44" s="164"/>
      <c r="C44" s="164"/>
      <c r="D44" s="164"/>
      <c r="E44" s="164"/>
      <c r="F44" s="164"/>
      <c r="G44" s="217"/>
      <c r="H44" s="217"/>
    </row>
    <row r="45" spans="2:8">
      <c r="B45" s="1"/>
      <c r="C45" s="218"/>
      <c r="D45" s="164"/>
      <c r="E45" s="219"/>
      <c r="F45" s="203"/>
      <c r="G45" s="204"/>
      <c r="H45" s="205"/>
    </row>
    <row r="46" spans="2:8">
      <c r="B46" s="1"/>
      <c r="C46" s="218"/>
      <c r="D46" s="164"/>
      <c r="E46" s="219"/>
      <c r="F46" s="203"/>
      <c r="G46" s="204"/>
      <c r="H46" s="205"/>
    </row>
    <row r="47" spans="2:8">
      <c r="B47" s="1"/>
      <c r="C47" s="218"/>
      <c r="D47" s="164"/>
      <c r="E47" s="219"/>
      <c r="F47" s="203"/>
      <c r="G47" s="204"/>
      <c r="H47" s="205"/>
    </row>
    <row r="48" spans="2:8">
      <c r="B48" s="1"/>
      <c r="C48" s="218"/>
      <c r="D48" s="164"/>
      <c r="E48" s="219"/>
      <c r="F48" s="203"/>
      <c r="G48" s="204"/>
      <c r="H48" s="205"/>
    </row>
    <row r="49" spans="2:16">
      <c r="B49" s="1"/>
      <c r="C49" s="218"/>
      <c r="D49" s="164"/>
      <c r="E49" s="219"/>
      <c r="F49" s="203"/>
      <c r="G49" s="204"/>
      <c r="H49" s="205"/>
    </row>
    <row r="50" spans="2:16">
      <c r="B50" s="1"/>
      <c r="C50" s="218"/>
      <c r="D50" s="164"/>
      <c r="E50" s="219"/>
      <c r="F50" s="203"/>
      <c r="G50" s="204"/>
      <c r="H50" s="205"/>
    </row>
    <row r="51" spans="2:16">
      <c r="B51" s="1"/>
      <c r="C51" s="218"/>
      <c r="D51" s="164"/>
      <c r="E51" s="219"/>
      <c r="F51" s="203"/>
      <c r="G51" s="204"/>
      <c r="H51" s="205"/>
    </row>
    <row r="52" spans="2:16">
      <c r="B52" s="1"/>
      <c r="C52" s="218"/>
      <c r="D52" s="164"/>
      <c r="E52" s="219"/>
      <c r="F52" s="203"/>
      <c r="G52" s="204"/>
      <c r="H52" s="205"/>
    </row>
    <row r="53" spans="2:16">
      <c r="B53" s="1"/>
      <c r="C53" s="218"/>
      <c r="D53" s="164"/>
      <c r="E53" s="219"/>
      <c r="F53" s="203"/>
      <c r="G53" s="204"/>
      <c r="H53" s="205"/>
    </row>
    <row r="54" spans="2:16">
      <c r="B54" s="1"/>
      <c r="C54" s="218"/>
      <c r="D54" s="164"/>
      <c r="E54" s="219"/>
      <c r="F54" s="203"/>
      <c r="G54" s="204"/>
      <c r="H54" s="205"/>
    </row>
    <row r="55" spans="2:16">
      <c r="B55" s="1"/>
      <c r="C55" s="218"/>
      <c r="D55" s="164"/>
      <c r="E55" s="219"/>
      <c r="F55" s="203"/>
      <c r="G55" s="204"/>
      <c r="H55" s="205"/>
    </row>
    <row r="56" spans="2:16">
      <c r="B56" s="1"/>
      <c r="C56" s="218"/>
      <c r="D56" s="164"/>
      <c r="E56" s="219"/>
      <c r="F56" s="203"/>
      <c r="G56" s="204"/>
      <c r="H56" s="205"/>
    </row>
    <row r="57" spans="2:16">
      <c r="B57" s="1"/>
      <c r="C57" s="218"/>
      <c r="D57" s="164"/>
      <c r="E57" s="219"/>
      <c r="F57" s="203"/>
      <c r="G57" s="204"/>
      <c r="H57" s="205"/>
    </row>
    <row r="58" spans="2:16">
      <c r="B58" s="1"/>
      <c r="C58" s="218"/>
      <c r="D58" s="164"/>
      <c r="E58" s="219"/>
      <c r="F58" s="203"/>
      <c r="G58" s="204"/>
      <c r="H58" s="205"/>
    </row>
    <row r="59" spans="2:16">
      <c r="B59" s="1"/>
      <c r="J59" s="164"/>
      <c r="K59" s="164"/>
      <c r="L59" s="164"/>
      <c r="M59" s="164"/>
      <c r="N59" s="164"/>
      <c r="O59" s="164"/>
      <c r="P59" s="164"/>
    </row>
    <row r="60" spans="2:16">
      <c r="B60" s="1"/>
      <c r="J60" s="220"/>
      <c r="K60" s="221"/>
      <c r="M60" s="222"/>
      <c r="N60" s="164"/>
      <c r="O60" s="164"/>
      <c r="P60" s="164"/>
    </row>
    <row r="61" spans="2:16">
      <c r="B61" s="1"/>
    </row>
    <row r="62" spans="2:16">
      <c r="B62" s="1"/>
    </row>
    <row r="63" spans="2:16">
      <c r="B63" s="1"/>
    </row>
    <row r="64" spans="2:16">
      <c r="B64" s="1"/>
    </row>
    <row r="65" spans="2:2">
      <c r="B65" s="1"/>
    </row>
    <row r="66" spans="2:2">
      <c r="B66" s="223"/>
    </row>
    <row r="67" spans="2:2">
      <c r="B67" s="223"/>
    </row>
    <row r="68" spans="2:2">
      <c r="B68" s="223"/>
    </row>
    <row r="69" spans="2:2">
      <c r="B69" s="223"/>
    </row>
    <row r="70" spans="2:2">
      <c r="B70" s="223"/>
    </row>
    <row r="71" spans="2:2">
      <c r="B71" s="223"/>
    </row>
    <row r="72" spans="2:2">
      <c r="B72" s="223"/>
    </row>
    <row r="73" spans="2:2">
      <c r="B73" s="223"/>
    </row>
    <row r="74" spans="2:2">
      <c r="B74" s="223"/>
    </row>
    <row r="75" spans="2:2">
      <c r="B75" s="223"/>
    </row>
  </sheetData>
  <mergeCells count="3">
    <mergeCell ref="B2:H2"/>
    <mergeCell ref="B23:H23"/>
    <mergeCell ref="B43:H43"/>
  </mergeCells>
  <pageMargins left="0.7" right="0.7" top="0.75" bottom="0.75" header="0.3" footer="0.3"/>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F48B6-8A0F-AE4F-880D-FEA68733E84B}">
  <sheetPr>
    <tabColor rgb="FF002060"/>
  </sheetPr>
  <dimension ref="A1:I242"/>
  <sheetViews>
    <sheetView workbookViewId="0">
      <selection activeCell="H31" sqref="H31"/>
    </sheetView>
  </sheetViews>
  <sheetFormatPr baseColWidth="10" defaultRowHeight="16"/>
  <cols>
    <col min="1" max="1" width="17.28515625" customWidth="1"/>
    <col min="2" max="2" width="14.5703125" customWidth="1"/>
    <col min="3" max="3" width="20.42578125" customWidth="1"/>
    <col min="4" max="4" width="22.28515625" customWidth="1"/>
    <col min="6" max="6" width="19.28515625" customWidth="1"/>
  </cols>
  <sheetData>
    <row r="1" spans="1:9" ht="17" thickBot="1">
      <c r="A1" s="275" t="s">
        <v>84</v>
      </c>
      <c r="B1" s="275" t="s">
        <v>16</v>
      </c>
      <c r="C1" s="275" t="s">
        <v>85</v>
      </c>
      <c r="D1" s="275" t="s">
        <v>17</v>
      </c>
      <c r="E1" s="249"/>
      <c r="F1" s="93"/>
      <c r="G1" s="93"/>
      <c r="H1" s="93"/>
      <c r="I1" s="93"/>
    </row>
    <row r="2" spans="1:9">
      <c r="A2" s="234">
        <v>2.223E-2</v>
      </c>
      <c r="B2" s="235">
        <v>10343</v>
      </c>
      <c r="C2" s="236">
        <v>43830</v>
      </c>
      <c r="D2" s="236">
        <v>43832</v>
      </c>
      <c r="F2" s="26"/>
      <c r="G2" s="27"/>
      <c r="H2" s="25"/>
      <c r="I2" s="25"/>
    </row>
    <row r="3" spans="1:9">
      <c r="A3" s="233">
        <v>2.197E-2</v>
      </c>
      <c r="B3" s="231">
        <v>7770</v>
      </c>
      <c r="C3" s="232">
        <v>43832</v>
      </c>
      <c r="D3" s="232">
        <v>43833</v>
      </c>
      <c r="F3" s="26"/>
      <c r="G3" s="27"/>
      <c r="H3" s="25"/>
      <c r="I3" s="25"/>
    </row>
    <row r="4" spans="1:9">
      <c r="A4" s="233">
        <v>2.1829999999999999E-2</v>
      </c>
      <c r="B4" s="231">
        <v>8632</v>
      </c>
      <c r="C4" s="232">
        <v>43833</v>
      </c>
      <c r="D4" s="232">
        <v>43836</v>
      </c>
      <c r="F4" s="26"/>
      <c r="G4" s="27"/>
      <c r="H4" s="25"/>
      <c r="I4" s="25"/>
    </row>
    <row r="5" spans="1:9">
      <c r="A5" s="233">
        <v>2.1930000000000002E-2</v>
      </c>
      <c r="B5" s="231">
        <v>9050</v>
      </c>
      <c r="C5" s="232">
        <v>43836</v>
      </c>
      <c r="D5" s="232">
        <v>43837</v>
      </c>
      <c r="F5" s="26"/>
      <c r="G5" s="27"/>
      <c r="H5" s="25"/>
      <c r="I5" s="25"/>
    </row>
    <row r="6" spans="1:9">
      <c r="A6" s="233">
        <v>2.172E-2</v>
      </c>
      <c r="B6" s="231">
        <v>6809</v>
      </c>
      <c r="C6" s="232">
        <v>43837</v>
      </c>
      <c r="D6" s="232">
        <v>43838</v>
      </c>
      <c r="F6" s="26"/>
      <c r="G6" s="27"/>
      <c r="H6" s="25"/>
      <c r="I6" s="25"/>
    </row>
    <row r="7" spans="1:9">
      <c r="A7" s="233">
        <v>2.1760000000000002E-2</v>
      </c>
      <c r="B7" s="231">
        <v>8600</v>
      </c>
      <c r="C7" s="232">
        <v>43838</v>
      </c>
      <c r="D7" s="232">
        <v>43839</v>
      </c>
      <c r="F7" s="26"/>
      <c r="G7" s="27"/>
      <c r="H7" s="25"/>
      <c r="I7" s="25"/>
    </row>
    <row r="8" spans="1:9">
      <c r="A8" s="233">
        <v>2.172E-2</v>
      </c>
      <c r="B8" s="231">
        <v>7606</v>
      </c>
      <c r="C8" s="232">
        <v>43839</v>
      </c>
      <c r="D8" s="232">
        <v>43840</v>
      </c>
      <c r="F8" s="26"/>
      <c r="G8" s="27"/>
      <c r="H8" s="25"/>
      <c r="I8" s="25"/>
    </row>
    <row r="9" spans="1:9">
      <c r="A9" s="233">
        <v>2.18E-2</v>
      </c>
      <c r="B9" s="231">
        <v>8606</v>
      </c>
      <c r="C9" s="232">
        <v>43840</v>
      </c>
      <c r="D9" s="232">
        <v>43843</v>
      </c>
      <c r="F9" s="26"/>
      <c r="G9" s="27"/>
      <c r="H9" s="25"/>
      <c r="I9" s="25"/>
    </row>
    <row r="10" spans="1:9">
      <c r="A10" s="233">
        <v>2.1999999999999999E-2</v>
      </c>
      <c r="B10" s="231">
        <v>7872</v>
      </c>
      <c r="C10" s="232">
        <v>43843</v>
      </c>
      <c r="D10" s="232">
        <v>43844</v>
      </c>
      <c r="F10" s="26"/>
      <c r="G10" s="27"/>
      <c r="H10" s="25"/>
      <c r="I10" s="25"/>
    </row>
    <row r="11" spans="1:9">
      <c r="A11" s="233">
        <v>2.1760000000000002E-2</v>
      </c>
      <c r="B11" s="231">
        <v>6975</v>
      </c>
      <c r="C11" s="232">
        <v>43844</v>
      </c>
      <c r="D11" s="232">
        <v>43845</v>
      </c>
      <c r="F11" s="26"/>
      <c r="G11" s="27"/>
      <c r="H11" s="25"/>
      <c r="I11" s="25"/>
    </row>
    <row r="12" spans="1:9">
      <c r="A12" s="233">
        <v>2.164E-2</v>
      </c>
      <c r="B12" s="231">
        <v>7883</v>
      </c>
      <c r="C12" s="232">
        <v>43845</v>
      </c>
      <c r="D12" s="232">
        <v>43846</v>
      </c>
      <c r="F12" s="26"/>
      <c r="G12" s="27"/>
      <c r="H12" s="25"/>
      <c r="I12" s="25"/>
    </row>
    <row r="13" spans="1:9">
      <c r="A13" s="233">
        <v>2.1610000000000001E-2</v>
      </c>
      <c r="B13" s="231">
        <v>7139</v>
      </c>
      <c r="C13" s="232">
        <v>43846</v>
      </c>
      <c r="D13" s="232">
        <v>43847</v>
      </c>
      <c r="F13" s="26"/>
      <c r="G13" s="27"/>
      <c r="H13" s="25"/>
      <c r="I13" s="25"/>
    </row>
    <row r="14" spans="1:9">
      <c r="A14" s="233">
        <v>2.1999999999999999E-2</v>
      </c>
      <c r="B14" s="231">
        <v>6876</v>
      </c>
      <c r="C14" s="232">
        <v>43847</v>
      </c>
      <c r="D14" s="232">
        <v>43850</v>
      </c>
      <c r="F14" s="26"/>
      <c r="G14" s="27"/>
      <c r="H14" s="25"/>
      <c r="I14" s="25"/>
    </row>
    <row r="15" spans="1:9">
      <c r="A15" s="233">
        <v>2.1770000000000001E-2</v>
      </c>
      <c r="B15" s="231">
        <v>7920</v>
      </c>
      <c r="C15" s="232">
        <v>43850</v>
      </c>
      <c r="D15" s="232">
        <v>43851</v>
      </c>
      <c r="F15" s="26"/>
      <c r="G15" s="27"/>
      <c r="H15" s="25"/>
      <c r="I15" s="25"/>
    </row>
    <row r="16" spans="1:9">
      <c r="A16" s="233">
        <v>2.1579999999999998E-2</v>
      </c>
      <c r="B16" s="231">
        <v>7903</v>
      </c>
      <c r="C16" s="232">
        <v>43851</v>
      </c>
      <c r="D16" s="232">
        <v>43852</v>
      </c>
      <c r="F16" s="26"/>
      <c r="G16" s="27"/>
      <c r="H16" s="25"/>
      <c r="I16" s="25"/>
    </row>
    <row r="17" spans="1:9">
      <c r="A17" s="233">
        <v>2.1440000000000001E-2</v>
      </c>
      <c r="B17" s="231">
        <v>8167</v>
      </c>
      <c r="C17" s="232">
        <v>43852</v>
      </c>
      <c r="D17" s="232">
        <v>43853</v>
      </c>
      <c r="F17" s="26"/>
      <c r="G17" s="27"/>
      <c r="H17" s="25"/>
      <c r="I17" s="25"/>
    </row>
    <row r="18" spans="1:9">
      <c r="A18" s="233">
        <v>2.1770000000000001E-2</v>
      </c>
      <c r="B18" s="231">
        <v>8716</v>
      </c>
      <c r="C18" s="232">
        <v>43853</v>
      </c>
      <c r="D18" s="232">
        <v>43854</v>
      </c>
      <c r="F18" s="26"/>
      <c r="G18" s="27"/>
      <c r="H18" s="25"/>
      <c r="I18" s="25"/>
    </row>
    <row r="19" spans="1:9">
      <c r="A19" s="233">
        <v>2.2249999999999999E-2</v>
      </c>
      <c r="B19" s="231">
        <v>7691</v>
      </c>
      <c r="C19" s="232">
        <v>43854</v>
      </c>
      <c r="D19" s="232">
        <v>43857</v>
      </c>
      <c r="F19" s="26"/>
      <c r="G19" s="27"/>
      <c r="H19" s="25"/>
      <c r="I19" s="25"/>
    </row>
    <row r="20" spans="1:9">
      <c r="A20" s="233">
        <v>2.2280000000000001E-2</v>
      </c>
      <c r="B20" s="231">
        <v>7770</v>
      </c>
      <c r="C20" s="232">
        <v>43857</v>
      </c>
      <c r="D20" s="232">
        <v>43858</v>
      </c>
      <c r="F20" s="26"/>
      <c r="G20" s="27"/>
      <c r="H20" s="25"/>
      <c r="I20" s="25"/>
    </row>
    <row r="21" spans="1:9">
      <c r="A21" s="233">
        <v>2.247E-2</v>
      </c>
      <c r="B21" s="231">
        <v>7383</v>
      </c>
      <c r="C21" s="232">
        <v>43858</v>
      </c>
      <c r="D21" s="232">
        <v>43859</v>
      </c>
      <c r="F21" s="26"/>
      <c r="G21" s="27"/>
      <c r="H21" s="25"/>
      <c r="I21" s="25"/>
    </row>
    <row r="22" spans="1:9">
      <c r="A22" s="233">
        <v>2.2849999999999999E-2</v>
      </c>
      <c r="B22" s="231">
        <v>7574</v>
      </c>
      <c r="C22" s="232">
        <v>43859</v>
      </c>
      <c r="D22" s="232">
        <v>43860</v>
      </c>
      <c r="F22" s="26"/>
      <c r="G22" s="27"/>
      <c r="H22" s="25"/>
      <c r="I22" s="25"/>
    </row>
    <row r="23" spans="1:9">
      <c r="A23" s="233">
        <v>2.2179999999999998E-2</v>
      </c>
      <c r="B23" s="231">
        <v>4892</v>
      </c>
      <c r="C23" s="232">
        <v>43860</v>
      </c>
      <c r="D23" s="232">
        <v>43861</v>
      </c>
      <c r="F23" s="26"/>
      <c r="G23" s="27"/>
      <c r="H23" s="25"/>
      <c r="I23" s="25"/>
    </row>
    <row r="24" spans="1:9">
      <c r="A24" s="233">
        <v>2.247E-2</v>
      </c>
      <c r="B24" s="231">
        <v>6231</v>
      </c>
      <c r="C24" s="232">
        <v>43861</v>
      </c>
      <c r="D24" s="232">
        <v>43864</v>
      </c>
      <c r="F24" s="26"/>
      <c r="G24" s="27"/>
      <c r="H24" s="25"/>
      <c r="I24" s="25"/>
    </row>
    <row r="25" spans="1:9">
      <c r="A25" s="233">
        <v>2.2110000000000001E-2</v>
      </c>
      <c r="B25" s="231">
        <v>7044</v>
      </c>
      <c r="C25" s="232">
        <v>43864</v>
      </c>
      <c r="D25" s="232">
        <v>43865</v>
      </c>
      <c r="F25" s="26"/>
      <c r="G25" s="27"/>
      <c r="H25" s="25"/>
      <c r="I25" s="25"/>
    </row>
    <row r="26" spans="1:9">
      <c r="A26" s="233">
        <v>2.1780000000000001E-2</v>
      </c>
      <c r="B26" s="231">
        <v>10191</v>
      </c>
      <c r="C26" s="232">
        <v>43865</v>
      </c>
      <c r="D26" s="232">
        <v>43866</v>
      </c>
      <c r="F26" s="26"/>
      <c r="G26" s="27"/>
      <c r="H26" s="25"/>
      <c r="I26" s="25"/>
    </row>
    <row r="27" spans="1:9">
      <c r="A27" s="233">
        <v>2.1399999999999999E-2</v>
      </c>
      <c r="B27" s="231">
        <v>8614</v>
      </c>
      <c r="C27" s="232">
        <v>43866</v>
      </c>
      <c r="D27" s="232">
        <v>43867</v>
      </c>
      <c r="F27" s="26"/>
      <c r="G27" s="27"/>
      <c r="H27" s="25"/>
      <c r="I27" s="25"/>
    </row>
    <row r="28" spans="1:9">
      <c r="A28" s="233">
        <v>2.1700000000000001E-2</v>
      </c>
      <c r="B28" s="231">
        <v>7525</v>
      </c>
      <c r="C28" s="232">
        <v>43867</v>
      </c>
      <c r="D28" s="232">
        <v>43868</v>
      </c>
      <c r="F28" s="26"/>
      <c r="G28" s="27"/>
      <c r="H28" s="25"/>
      <c r="I28" s="25"/>
    </row>
    <row r="29" spans="1:9">
      <c r="A29" s="233">
        <v>2.1729999999999999E-2</v>
      </c>
      <c r="B29" s="231">
        <v>7631</v>
      </c>
      <c r="C29" s="232">
        <v>43868</v>
      </c>
      <c r="D29" s="232">
        <v>43871</v>
      </c>
      <c r="F29" s="26"/>
      <c r="G29" s="27"/>
      <c r="H29" s="25"/>
      <c r="I29" s="25"/>
    </row>
    <row r="30" spans="1:9">
      <c r="A30" s="233">
        <v>2.171E-2</v>
      </c>
      <c r="B30" s="231">
        <v>6812</v>
      </c>
      <c r="C30" s="232">
        <v>43871</v>
      </c>
      <c r="D30" s="232">
        <v>43872</v>
      </c>
      <c r="F30" s="26"/>
      <c r="G30" s="27"/>
      <c r="H30" s="25"/>
      <c r="I30" s="25"/>
    </row>
    <row r="31" spans="1:9">
      <c r="A31" s="233">
        <v>2.1610000000000001E-2</v>
      </c>
      <c r="B31" s="231">
        <v>7372</v>
      </c>
      <c r="C31" s="232">
        <v>43872</v>
      </c>
      <c r="D31" s="232">
        <v>43873</v>
      </c>
      <c r="F31" s="26"/>
      <c r="G31" s="27"/>
      <c r="H31" s="25"/>
      <c r="I31" s="25"/>
    </row>
    <row r="32" spans="1:9">
      <c r="A32" s="233">
        <v>2.1780000000000001E-2</v>
      </c>
      <c r="B32" s="231">
        <v>6804</v>
      </c>
      <c r="C32" s="232">
        <v>43873</v>
      </c>
      <c r="D32" s="232">
        <v>43874</v>
      </c>
      <c r="F32" s="26"/>
      <c r="G32" s="27"/>
      <c r="H32" s="25"/>
      <c r="I32" s="25"/>
    </row>
    <row r="33" spans="1:9">
      <c r="A33" s="233">
        <v>2.188E-2</v>
      </c>
      <c r="B33" s="231">
        <v>6939</v>
      </c>
      <c r="C33" s="232">
        <v>43874</v>
      </c>
      <c r="D33" s="232">
        <v>43875</v>
      </c>
      <c r="F33" s="26"/>
      <c r="G33" s="27"/>
      <c r="H33" s="25"/>
      <c r="I33" s="25"/>
    </row>
    <row r="34" spans="1:9">
      <c r="A34" s="233">
        <v>2.181E-2</v>
      </c>
      <c r="B34" s="231">
        <v>6351</v>
      </c>
      <c r="C34" s="232">
        <v>43875</v>
      </c>
      <c r="D34" s="232">
        <v>43878</v>
      </c>
      <c r="F34" s="26"/>
      <c r="G34" s="27"/>
      <c r="H34" s="25"/>
      <c r="I34" s="25"/>
    </row>
    <row r="35" spans="1:9">
      <c r="A35" s="233">
        <v>2.1649999999999999E-2</v>
      </c>
      <c r="B35" s="231">
        <v>11091</v>
      </c>
      <c r="C35" s="232">
        <v>43878</v>
      </c>
      <c r="D35" s="232">
        <v>43879</v>
      </c>
      <c r="F35" s="26"/>
      <c r="G35" s="27"/>
      <c r="H35" s="25"/>
      <c r="I35" s="25"/>
    </row>
    <row r="36" spans="1:9">
      <c r="A36" s="233">
        <v>2.205E-2</v>
      </c>
      <c r="B36" s="231">
        <v>8190</v>
      </c>
      <c r="C36" s="232">
        <v>43879</v>
      </c>
      <c r="D36" s="232">
        <v>43880</v>
      </c>
      <c r="F36" s="26"/>
      <c r="G36" s="27"/>
      <c r="H36" s="25"/>
      <c r="I36" s="25"/>
    </row>
    <row r="37" spans="1:9">
      <c r="A37" s="233">
        <v>2.197E-2</v>
      </c>
      <c r="B37" s="231">
        <v>4100</v>
      </c>
      <c r="C37" s="232">
        <v>43880</v>
      </c>
      <c r="D37" s="232">
        <v>43881</v>
      </c>
      <c r="F37" s="26"/>
      <c r="G37" s="27"/>
      <c r="H37" s="25"/>
      <c r="I37" s="25"/>
    </row>
    <row r="38" spans="1:9">
      <c r="A38" s="233">
        <v>2.1999999999999999E-2</v>
      </c>
      <c r="B38" s="231">
        <v>4934</v>
      </c>
      <c r="C38" s="232">
        <v>43881</v>
      </c>
      <c r="D38" s="232">
        <v>43882</v>
      </c>
      <c r="F38" s="26"/>
      <c r="G38" s="27"/>
      <c r="H38" s="25"/>
      <c r="I38" s="25"/>
    </row>
    <row r="39" spans="1:9">
      <c r="A39" s="233">
        <v>2.1919999999999999E-2</v>
      </c>
      <c r="B39" s="231">
        <v>5260</v>
      </c>
      <c r="C39" s="232">
        <v>43882</v>
      </c>
      <c r="D39" s="232">
        <v>43885</v>
      </c>
      <c r="F39" s="26"/>
      <c r="G39" s="27"/>
      <c r="H39" s="25"/>
      <c r="I39" s="25"/>
    </row>
    <row r="40" spans="1:9">
      <c r="A40" s="233">
        <v>2.1930000000000002E-2</v>
      </c>
      <c r="B40" s="231">
        <v>6774</v>
      </c>
      <c r="C40" s="232">
        <v>43885</v>
      </c>
      <c r="D40" s="232">
        <v>43886</v>
      </c>
      <c r="F40" s="26"/>
      <c r="G40" s="27"/>
      <c r="H40" s="25"/>
      <c r="I40" s="25"/>
    </row>
    <row r="41" spans="1:9">
      <c r="A41" s="233">
        <v>2.1950000000000001E-2</v>
      </c>
      <c r="B41" s="231">
        <v>6025</v>
      </c>
      <c r="C41" s="232">
        <v>43886</v>
      </c>
      <c r="D41" s="232">
        <v>43887</v>
      </c>
      <c r="F41" s="26"/>
      <c r="G41" s="27"/>
      <c r="H41" s="25"/>
      <c r="I41" s="25"/>
    </row>
    <row r="42" spans="1:9">
      <c r="A42" s="233">
        <v>2.198E-2</v>
      </c>
      <c r="B42" s="231">
        <v>4913</v>
      </c>
      <c r="C42" s="232">
        <v>43887</v>
      </c>
      <c r="D42" s="232">
        <v>43888</v>
      </c>
      <c r="F42" s="26"/>
      <c r="G42" s="27"/>
      <c r="H42" s="25"/>
      <c r="I42" s="25"/>
    </row>
    <row r="43" spans="1:9">
      <c r="A43" s="233">
        <v>2.1729999999999999E-2</v>
      </c>
      <c r="B43" s="231">
        <v>5867</v>
      </c>
      <c r="C43" s="232">
        <v>43888</v>
      </c>
      <c r="D43" s="232">
        <v>43889</v>
      </c>
      <c r="F43" s="26"/>
      <c r="G43" s="27"/>
      <c r="H43" s="25"/>
      <c r="I43" s="25"/>
    </row>
    <row r="44" spans="1:9">
      <c r="A44" s="233">
        <v>2.198E-2</v>
      </c>
      <c r="B44" s="231">
        <v>5413</v>
      </c>
      <c r="C44" s="232">
        <v>43889</v>
      </c>
      <c r="D44" s="232">
        <v>43892</v>
      </c>
      <c r="F44" s="26"/>
      <c r="G44" s="27"/>
      <c r="H44" s="25"/>
      <c r="I44" s="25"/>
    </row>
    <row r="45" spans="1:9">
      <c r="A45" s="233">
        <v>2.188E-2</v>
      </c>
      <c r="B45" s="231">
        <v>5634</v>
      </c>
      <c r="C45" s="232">
        <v>43892</v>
      </c>
      <c r="D45" s="232">
        <v>43893</v>
      </c>
      <c r="F45" s="26"/>
      <c r="G45" s="27"/>
      <c r="H45" s="25"/>
      <c r="I45" s="25"/>
    </row>
    <row r="46" spans="1:9">
      <c r="A46" s="233">
        <v>2.1850000000000001E-2</v>
      </c>
      <c r="B46" s="231">
        <v>7909</v>
      </c>
      <c r="C46" s="232">
        <v>43893</v>
      </c>
      <c r="D46" s="232">
        <v>43894</v>
      </c>
      <c r="F46" s="26"/>
      <c r="G46" s="27"/>
      <c r="H46" s="25"/>
      <c r="I46" s="25"/>
    </row>
    <row r="47" spans="1:9">
      <c r="A47" s="233">
        <v>2.1919999999999999E-2</v>
      </c>
      <c r="B47" s="231">
        <v>6985</v>
      </c>
      <c r="C47" s="232">
        <v>43894</v>
      </c>
      <c r="D47" s="232">
        <v>43895</v>
      </c>
      <c r="F47" s="26"/>
      <c r="G47" s="27"/>
      <c r="H47" s="25"/>
      <c r="I47" s="25"/>
    </row>
    <row r="48" spans="1:9">
      <c r="A48" s="233">
        <v>2.1999999999999999E-2</v>
      </c>
      <c r="B48" s="231">
        <v>6150</v>
      </c>
      <c r="C48" s="232">
        <v>43895</v>
      </c>
      <c r="D48" s="232">
        <v>43896</v>
      </c>
      <c r="F48" s="26"/>
      <c r="G48" s="27"/>
      <c r="H48" s="25"/>
      <c r="I48" s="25"/>
    </row>
    <row r="49" spans="1:9">
      <c r="A49" s="233">
        <v>2.2020000000000001E-2</v>
      </c>
      <c r="B49" s="231">
        <v>6305</v>
      </c>
      <c r="C49" s="232">
        <v>43896</v>
      </c>
      <c r="D49" s="232">
        <v>43899</v>
      </c>
      <c r="F49" s="26"/>
      <c r="G49" s="27"/>
      <c r="H49" s="25"/>
      <c r="I49" s="25"/>
    </row>
    <row r="50" spans="1:9">
      <c r="A50" s="233">
        <v>2.197E-2</v>
      </c>
      <c r="B50" s="231">
        <v>7622</v>
      </c>
      <c r="C50" s="232">
        <v>43899</v>
      </c>
      <c r="D50" s="232">
        <v>43900</v>
      </c>
      <c r="F50" s="26"/>
      <c r="G50" s="27"/>
      <c r="H50" s="25"/>
      <c r="I50" s="25"/>
    </row>
    <row r="51" spans="1:9">
      <c r="A51" s="233">
        <v>2.18E-2</v>
      </c>
      <c r="B51" s="231">
        <v>8523</v>
      </c>
      <c r="C51" s="232">
        <v>43900</v>
      </c>
      <c r="D51" s="232">
        <v>43901</v>
      </c>
      <c r="F51" s="26"/>
      <c r="G51" s="27"/>
      <c r="H51" s="25"/>
      <c r="I51" s="25"/>
    </row>
    <row r="52" spans="1:9">
      <c r="A52" s="233">
        <v>2.1899999999999999E-2</v>
      </c>
      <c r="B52" s="231">
        <v>8405</v>
      </c>
      <c r="C52" s="232">
        <v>43901</v>
      </c>
      <c r="D52" s="232">
        <v>43902</v>
      </c>
      <c r="F52" s="26"/>
      <c r="G52" s="27"/>
      <c r="H52" s="25"/>
      <c r="I52" s="25"/>
    </row>
    <row r="53" spans="1:9">
      <c r="A53" s="233">
        <v>2.2100000000000002E-2</v>
      </c>
      <c r="B53" s="231">
        <v>8120</v>
      </c>
      <c r="C53" s="232">
        <v>43902</v>
      </c>
      <c r="D53" s="232">
        <v>43903</v>
      </c>
      <c r="F53" s="26"/>
      <c r="G53" s="27"/>
      <c r="H53" s="25"/>
      <c r="I53" s="25"/>
    </row>
    <row r="54" spans="1:9">
      <c r="A54" s="233">
        <v>2.1999999999999999E-2</v>
      </c>
      <c r="B54" s="231">
        <v>5704</v>
      </c>
      <c r="C54" s="232">
        <v>43903</v>
      </c>
      <c r="D54" s="232">
        <v>43906</v>
      </c>
      <c r="F54" s="26"/>
      <c r="G54" s="27"/>
      <c r="H54" s="25"/>
      <c r="I54" s="25"/>
    </row>
    <row r="55" spans="1:9">
      <c r="A55" s="233">
        <v>2.2689999999999998E-2</v>
      </c>
      <c r="B55" s="231">
        <v>9157</v>
      </c>
      <c r="C55" s="232">
        <v>43906</v>
      </c>
      <c r="D55" s="232">
        <v>43907</v>
      </c>
      <c r="F55" s="26"/>
      <c r="G55" s="27"/>
      <c r="H55" s="25"/>
      <c r="I55" s="25"/>
    </row>
    <row r="56" spans="1:9">
      <c r="A56" s="233">
        <v>2.4570000000000002E-2</v>
      </c>
      <c r="B56" s="231">
        <v>8053</v>
      </c>
      <c r="C56" s="232">
        <v>43907</v>
      </c>
      <c r="D56" s="232">
        <v>43908</v>
      </c>
      <c r="F56" s="26"/>
      <c r="G56" s="27"/>
      <c r="H56" s="25"/>
      <c r="I56" s="25"/>
    </row>
    <row r="57" spans="1:9">
      <c r="A57" s="233">
        <v>2.1530000000000001E-2</v>
      </c>
      <c r="B57" s="231">
        <v>7786</v>
      </c>
      <c r="C57" s="232">
        <v>43908</v>
      </c>
      <c r="D57" s="232">
        <v>43909</v>
      </c>
      <c r="F57" s="26"/>
      <c r="G57" s="27"/>
      <c r="H57" s="25"/>
      <c r="I57" s="25"/>
    </row>
    <row r="58" spans="1:9">
      <c r="A58" s="233">
        <v>1.9400000000000001E-2</v>
      </c>
      <c r="B58" s="231">
        <v>6974</v>
      </c>
      <c r="C58" s="232">
        <v>43909</v>
      </c>
      <c r="D58" s="232">
        <v>43910</v>
      </c>
      <c r="F58" s="26"/>
      <c r="G58" s="27"/>
      <c r="H58" s="25"/>
      <c r="I58" s="25"/>
    </row>
    <row r="59" spans="1:9">
      <c r="A59" s="233">
        <v>1.9550000000000001E-2</v>
      </c>
      <c r="B59" s="231">
        <v>7019</v>
      </c>
      <c r="C59" s="232">
        <v>43910</v>
      </c>
      <c r="D59" s="232">
        <v>43913</v>
      </c>
      <c r="F59" s="26"/>
      <c r="G59" s="27"/>
      <c r="H59" s="25"/>
      <c r="I59" s="25"/>
    </row>
    <row r="60" spans="1:9">
      <c r="A60" s="233">
        <v>1.9290000000000002E-2</v>
      </c>
      <c r="B60" s="231">
        <v>8023</v>
      </c>
      <c r="C60" s="232">
        <v>43913</v>
      </c>
      <c r="D60" s="232">
        <v>43914</v>
      </c>
      <c r="F60" s="26"/>
      <c r="G60" s="27"/>
      <c r="H60" s="25"/>
      <c r="I60" s="25"/>
    </row>
    <row r="61" spans="1:9">
      <c r="A61" s="233">
        <v>1.883E-2</v>
      </c>
      <c r="B61" s="231">
        <v>8105</v>
      </c>
      <c r="C61" s="232">
        <v>43914</v>
      </c>
      <c r="D61" s="232">
        <v>43915</v>
      </c>
      <c r="F61" s="26"/>
      <c r="G61" s="27"/>
      <c r="H61" s="25"/>
      <c r="I61" s="25"/>
    </row>
    <row r="62" spans="1:9">
      <c r="A62" s="233">
        <v>1.925E-2</v>
      </c>
      <c r="B62" s="231">
        <v>7251</v>
      </c>
      <c r="C62" s="232">
        <v>43915</v>
      </c>
      <c r="D62" s="232">
        <v>43916</v>
      </c>
      <c r="F62" s="26"/>
      <c r="G62" s="27"/>
      <c r="H62" s="25"/>
      <c r="I62" s="25"/>
    </row>
    <row r="63" spans="1:9">
      <c r="A63" s="233">
        <v>1.924E-2</v>
      </c>
      <c r="B63" s="231">
        <v>9510</v>
      </c>
      <c r="C63" s="232">
        <v>43916</v>
      </c>
      <c r="D63" s="232">
        <v>43917</v>
      </c>
      <c r="F63" s="26"/>
      <c r="G63" s="27"/>
      <c r="H63" s="25"/>
      <c r="I63" s="25"/>
    </row>
    <row r="64" spans="1:9">
      <c r="A64" s="233">
        <v>1.9369999999999998E-2</v>
      </c>
      <c r="B64" s="231">
        <v>6422</v>
      </c>
      <c r="C64" s="232">
        <v>43917</v>
      </c>
      <c r="D64" s="232">
        <v>43920</v>
      </c>
      <c r="F64" s="26"/>
      <c r="G64" s="27"/>
      <c r="H64" s="25"/>
      <c r="I64" s="25"/>
    </row>
    <row r="65" spans="1:9">
      <c r="A65" s="233">
        <v>1.9380000000000001E-2</v>
      </c>
      <c r="B65" s="231">
        <v>5189</v>
      </c>
      <c r="C65" s="232">
        <v>43920</v>
      </c>
      <c r="D65" s="232">
        <v>43921</v>
      </c>
      <c r="F65" s="26"/>
      <c r="G65" s="27"/>
      <c r="H65" s="25"/>
      <c r="I65" s="25"/>
    </row>
    <row r="66" spans="1:9">
      <c r="A66" s="233">
        <v>1.9310000000000001E-2</v>
      </c>
      <c r="B66" s="231">
        <v>5936</v>
      </c>
      <c r="C66" s="232">
        <v>43921</v>
      </c>
      <c r="D66" s="232">
        <v>43922</v>
      </c>
      <c r="F66" s="26"/>
      <c r="G66" s="27"/>
      <c r="H66" s="25"/>
      <c r="I66" s="25"/>
    </row>
    <row r="67" spans="1:9">
      <c r="A67" s="233">
        <v>1.9269999999999999E-2</v>
      </c>
      <c r="B67" s="231">
        <v>6142</v>
      </c>
      <c r="C67" s="232">
        <v>43922</v>
      </c>
      <c r="D67" s="232">
        <v>43923</v>
      </c>
      <c r="F67" s="26"/>
      <c r="G67" s="27"/>
      <c r="H67" s="25"/>
      <c r="I67" s="25"/>
    </row>
    <row r="68" spans="1:9">
      <c r="A68" s="233">
        <v>1.9E-2</v>
      </c>
      <c r="B68" s="231">
        <v>7597</v>
      </c>
      <c r="C68" s="232">
        <v>43923</v>
      </c>
      <c r="D68" s="232">
        <v>43924</v>
      </c>
      <c r="F68" s="26"/>
      <c r="G68" s="27"/>
      <c r="H68" s="25"/>
      <c r="I68" s="25"/>
    </row>
    <row r="69" spans="1:9">
      <c r="A69" s="233">
        <v>1.9439999999999999E-2</v>
      </c>
      <c r="B69" s="231">
        <v>6415</v>
      </c>
      <c r="C69" s="232">
        <v>43924</v>
      </c>
      <c r="D69" s="232">
        <v>43927</v>
      </c>
      <c r="F69" s="26"/>
      <c r="G69" s="27"/>
      <c r="H69" s="25"/>
      <c r="I69" s="25"/>
    </row>
    <row r="70" spans="1:9">
      <c r="A70" s="233">
        <v>1.9449999999999999E-2</v>
      </c>
      <c r="B70" s="231">
        <v>6808</v>
      </c>
      <c r="C70" s="232">
        <v>43927</v>
      </c>
      <c r="D70" s="232">
        <v>43928</v>
      </c>
      <c r="F70" s="26"/>
      <c r="G70" s="27"/>
      <c r="H70" s="25"/>
      <c r="I70" s="25"/>
    </row>
    <row r="71" spans="1:9">
      <c r="A71" s="233">
        <v>0.02</v>
      </c>
      <c r="B71" s="231">
        <v>3454</v>
      </c>
      <c r="C71" s="232">
        <v>43928</v>
      </c>
      <c r="D71" s="232">
        <v>43929</v>
      </c>
      <c r="F71" s="26"/>
      <c r="G71" s="27"/>
      <c r="H71" s="25"/>
      <c r="I71" s="25"/>
    </row>
    <row r="72" spans="1:9">
      <c r="A72" s="233">
        <v>1.9140000000000001E-2</v>
      </c>
      <c r="B72" s="231">
        <v>8596</v>
      </c>
      <c r="C72" s="232">
        <v>43929</v>
      </c>
      <c r="D72" s="232">
        <v>43930</v>
      </c>
      <c r="F72" s="26"/>
      <c r="G72" s="27"/>
      <c r="H72" s="25"/>
      <c r="I72" s="25"/>
    </row>
    <row r="73" spans="1:9">
      <c r="A73" s="233">
        <v>2.01E-2</v>
      </c>
      <c r="B73" s="231">
        <v>10488</v>
      </c>
      <c r="C73" s="232">
        <v>43930</v>
      </c>
      <c r="D73" s="232">
        <v>43931</v>
      </c>
      <c r="F73" s="26"/>
      <c r="G73" s="27"/>
      <c r="H73" s="25"/>
      <c r="I73" s="25"/>
    </row>
    <row r="74" spans="1:9">
      <c r="A74" s="233">
        <v>1.968E-2</v>
      </c>
      <c r="B74" s="231">
        <v>8395</v>
      </c>
      <c r="C74" s="232">
        <v>43931</v>
      </c>
      <c r="D74" s="232">
        <v>43934</v>
      </c>
      <c r="F74" s="26"/>
      <c r="G74" s="27"/>
      <c r="H74" s="25"/>
      <c r="I74" s="25"/>
    </row>
    <row r="75" spans="1:9">
      <c r="A75" s="233">
        <v>1.983E-2</v>
      </c>
      <c r="B75" s="231">
        <v>8689</v>
      </c>
      <c r="C75" s="232">
        <v>43934</v>
      </c>
      <c r="D75" s="232">
        <v>43935</v>
      </c>
      <c r="F75" s="26"/>
      <c r="G75" s="27"/>
      <c r="H75" s="25"/>
      <c r="I75" s="25"/>
    </row>
    <row r="76" spans="1:9">
      <c r="A76" s="233">
        <v>1.9539999999999998E-2</v>
      </c>
      <c r="B76" s="231">
        <v>9002</v>
      </c>
      <c r="C76" s="232">
        <v>43935</v>
      </c>
      <c r="D76" s="232">
        <v>43936</v>
      </c>
      <c r="F76" s="26"/>
      <c r="G76" s="27"/>
      <c r="H76" s="25"/>
      <c r="I76" s="25"/>
    </row>
    <row r="77" spans="1:9">
      <c r="A77" s="233">
        <v>1.9560000000000001E-2</v>
      </c>
      <c r="B77" s="231">
        <v>7359</v>
      </c>
      <c r="C77" s="232">
        <v>43936</v>
      </c>
      <c r="D77" s="232">
        <v>43937</v>
      </c>
      <c r="F77" s="26"/>
      <c r="G77" s="27"/>
      <c r="H77" s="25"/>
      <c r="I77" s="25"/>
    </row>
    <row r="78" spans="1:9">
      <c r="A78" s="233">
        <v>2.01E-2</v>
      </c>
      <c r="B78" s="231">
        <v>11367</v>
      </c>
      <c r="C78" s="232">
        <v>43937</v>
      </c>
      <c r="D78" s="232">
        <v>43938</v>
      </c>
      <c r="F78" s="26"/>
      <c r="G78" s="27"/>
      <c r="H78" s="25"/>
      <c r="I78" s="25"/>
    </row>
    <row r="79" spans="1:9">
      <c r="A79" s="233">
        <v>1.942E-2</v>
      </c>
      <c r="B79" s="231">
        <v>9011</v>
      </c>
      <c r="C79" s="232">
        <v>43938</v>
      </c>
      <c r="D79" s="232">
        <v>43941</v>
      </c>
      <c r="F79" s="26"/>
      <c r="G79" s="27"/>
      <c r="H79" s="25"/>
      <c r="I79" s="25"/>
    </row>
    <row r="80" spans="1:9">
      <c r="A80" s="233">
        <v>2.044E-2</v>
      </c>
      <c r="B80" s="231">
        <v>9393</v>
      </c>
      <c r="C80" s="232">
        <v>43941</v>
      </c>
      <c r="D80" s="232">
        <v>43942</v>
      </c>
      <c r="F80" s="26"/>
      <c r="G80" s="27"/>
      <c r="H80" s="25"/>
      <c r="I80" s="25"/>
    </row>
    <row r="81" spans="1:9">
      <c r="A81" s="233">
        <v>2.0299999999999999E-2</v>
      </c>
      <c r="B81" s="231">
        <v>11388</v>
      </c>
      <c r="C81" s="232">
        <v>43942</v>
      </c>
      <c r="D81" s="232">
        <v>43943</v>
      </c>
      <c r="F81" s="26"/>
      <c r="G81" s="27"/>
      <c r="H81" s="25"/>
      <c r="I81" s="25"/>
    </row>
    <row r="82" spans="1:9">
      <c r="A82" s="233">
        <v>2.0150000000000001E-2</v>
      </c>
      <c r="B82" s="231">
        <v>9000</v>
      </c>
      <c r="C82" s="232">
        <v>43943</v>
      </c>
      <c r="D82" s="232">
        <v>43944</v>
      </c>
      <c r="F82" s="26"/>
      <c r="G82" s="27"/>
      <c r="H82" s="25"/>
      <c r="I82" s="25"/>
    </row>
    <row r="83" spans="1:9">
      <c r="A83" s="233">
        <v>1.9140000000000001E-2</v>
      </c>
      <c r="B83" s="231">
        <v>6204</v>
      </c>
      <c r="C83" s="232">
        <v>43944</v>
      </c>
      <c r="D83" s="232">
        <v>43945</v>
      </c>
      <c r="F83" s="26"/>
      <c r="G83" s="27"/>
      <c r="H83" s="25"/>
      <c r="I83" s="25"/>
    </row>
    <row r="84" spans="1:9">
      <c r="A84" s="233">
        <v>1.916E-2</v>
      </c>
      <c r="B84" s="231">
        <v>6251</v>
      </c>
      <c r="C84" s="232">
        <v>43945</v>
      </c>
      <c r="D84" s="232">
        <v>43948</v>
      </c>
      <c r="F84" s="26"/>
      <c r="G84" s="27"/>
      <c r="H84" s="25"/>
      <c r="I84" s="25"/>
    </row>
    <row r="85" spans="1:9">
      <c r="A85" s="233">
        <v>1.917E-2</v>
      </c>
      <c r="B85" s="231">
        <v>6535</v>
      </c>
      <c r="C85" s="232">
        <v>43948</v>
      </c>
      <c r="D85" s="232">
        <v>43949</v>
      </c>
      <c r="F85" s="26"/>
      <c r="G85" s="27"/>
      <c r="H85" s="25"/>
      <c r="I85" s="25"/>
    </row>
    <row r="86" spans="1:9">
      <c r="A86" s="233">
        <v>1.9099999999999999E-2</v>
      </c>
      <c r="B86" s="231">
        <v>8391</v>
      </c>
      <c r="C86" s="232">
        <v>43949</v>
      </c>
      <c r="D86" s="232">
        <v>43950</v>
      </c>
      <c r="F86" s="26"/>
      <c r="G86" s="27"/>
      <c r="H86" s="25"/>
      <c r="I86" s="25"/>
    </row>
    <row r="87" spans="1:9">
      <c r="A87" s="233">
        <v>1.9130000000000001E-2</v>
      </c>
      <c r="B87" s="231">
        <v>8343</v>
      </c>
      <c r="C87" s="232">
        <v>43950</v>
      </c>
      <c r="D87" s="232">
        <v>43951</v>
      </c>
      <c r="F87" s="26"/>
      <c r="G87" s="27"/>
      <c r="H87" s="25"/>
      <c r="I87" s="25"/>
    </row>
    <row r="88" spans="1:9">
      <c r="A88" s="233">
        <v>1.9210000000000001E-2</v>
      </c>
      <c r="B88" s="231">
        <v>8128</v>
      </c>
      <c r="C88" s="232">
        <v>43951</v>
      </c>
      <c r="D88" s="232">
        <v>43955</v>
      </c>
      <c r="F88" s="26"/>
      <c r="G88" s="27"/>
      <c r="H88" s="25"/>
      <c r="I88" s="25"/>
    </row>
    <row r="89" spans="1:9">
      <c r="A89" s="233">
        <v>1.9220000000000001E-2</v>
      </c>
      <c r="B89" s="231">
        <v>5360</v>
      </c>
      <c r="C89" s="232">
        <v>43955</v>
      </c>
      <c r="D89" s="232">
        <v>43956</v>
      </c>
      <c r="F89" s="26"/>
      <c r="G89" s="27"/>
      <c r="H89" s="25"/>
      <c r="I89" s="25"/>
    </row>
    <row r="90" spans="1:9">
      <c r="A90" s="233">
        <v>1.9120000000000002E-2</v>
      </c>
      <c r="B90" s="231">
        <v>7905</v>
      </c>
      <c r="C90" s="232">
        <v>43956</v>
      </c>
      <c r="D90" s="232">
        <v>43957</v>
      </c>
      <c r="F90" s="26"/>
      <c r="G90" s="27"/>
      <c r="H90" s="25"/>
      <c r="I90" s="25"/>
    </row>
    <row r="91" spans="1:9">
      <c r="A91" s="233">
        <v>1.9089999999999999E-2</v>
      </c>
      <c r="B91" s="231">
        <v>6816</v>
      </c>
      <c r="C91" s="232">
        <v>43957</v>
      </c>
      <c r="D91" s="232">
        <v>43958</v>
      </c>
      <c r="F91" s="26"/>
      <c r="G91" s="27"/>
      <c r="H91" s="25"/>
      <c r="I91" s="25"/>
    </row>
    <row r="92" spans="1:9">
      <c r="A92" s="233">
        <v>1.9220000000000001E-2</v>
      </c>
      <c r="B92" s="231">
        <v>6942</v>
      </c>
      <c r="C92" s="232">
        <v>43958</v>
      </c>
      <c r="D92" s="232">
        <v>43959</v>
      </c>
      <c r="F92" s="26"/>
      <c r="G92" s="27"/>
      <c r="H92" s="25"/>
      <c r="I92" s="25"/>
    </row>
    <row r="93" spans="1:9">
      <c r="A93" s="233">
        <v>1.924E-2</v>
      </c>
      <c r="B93" s="231">
        <v>7583</v>
      </c>
      <c r="C93" s="232">
        <v>43959</v>
      </c>
      <c r="D93" s="232">
        <v>43962</v>
      </c>
      <c r="F93" s="26"/>
      <c r="G93" s="27"/>
      <c r="H93" s="25"/>
      <c r="I93" s="25"/>
    </row>
    <row r="94" spans="1:9">
      <c r="A94" s="233">
        <v>1.9210000000000001E-2</v>
      </c>
      <c r="B94" s="231">
        <v>7853</v>
      </c>
      <c r="C94" s="232">
        <v>43962</v>
      </c>
      <c r="D94" s="232">
        <v>43963</v>
      </c>
      <c r="F94" s="26"/>
      <c r="G94" s="27"/>
      <c r="H94" s="25"/>
      <c r="I94" s="25"/>
    </row>
    <row r="95" spans="1:9">
      <c r="A95" s="233">
        <v>1.915E-2</v>
      </c>
      <c r="B95" s="231">
        <v>8777</v>
      </c>
      <c r="C95" s="232">
        <v>43963</v>
      </c>
      <c r="D95" s="232">
        <v>43964</v>
      </c>
      <c r="F95" s="26"/>
      <c r="G95" s="27"/>
      <c r="H95" s="25"/>
      <c r="I95" s="25"/>
    </row>
    <row r="96" spans="1:9">
      <c r="A96" s="233">
        <v>1.8929999999999999E-2</v>
      </c>
      <c r="B96" s="231">
        <v>7825</v>
      </c>
      <c r="C96" s="232">
        <v>43964</v>
      </c>
      <c r="D96" s="232">
        <v>43965</v>
      </c>
      <c r="F96" s="26"/>
      <c r="G96" s="27"/>
      <c r="H96" s="25"/>
      <c r="I96" s="25"/>
    </row>
    <row r="97" spans="1:9">
      <c r="A97" s="233">
        <v>1.934E-2</v>
      </c>
      <c r="B97" s="231">
        <v>8146</v>
      </c>
      <c r="C97" s="232">
        <v>43965</v>
      </c>
      <c r="D97" s="232">
        <v>43966</v>
      </c>
      <c r="F97" s="26"/>
      <c r="G97" s="27"/>
      <c r="H97" s="25"/>
      <c r="I97" s="25"/>
    </row>
    <row r="98" spans="1:9">
      <c r="A98" s="233">
        <v>1.933E-2</v>
      </c>
      <c r="B98" s="231">
        <v>7942</v>
      </c>
      <c r="C98" s="232">
        <v>43966</v>
      </c>
      <c r="D98" s="232">
        <v>43969</v>
      </c>
      <c r="F98" s="26"/>
      <c r="G98" s="27"/>
      <c r="H98" s="25"/>
      <c r="I98" s="25"/>
    </row>
    <row r="99" spans="1:9">
      <c r="A99" s="233">
        <v>1.9220000000000001E-2</v>
      </c>
      <c r="B99" s="231">
        <v>7777</v>
      </c>
      <c r="C99" s="232">
        <v>43969</v>
      </c>
      <c r="D99" s="232">
        <v>43970</v>
      </c>
      <c r="F99" s="26"/>
      <c r="G99" s="27"/>
      <c r="H99" s="25"/>
      <c r="I99" s="25"/>
    </row>
    <row r="100" spans="1:9">
      <c r="A100" s="233">
        <v>1.917E-2</v>
      </c>
      <c r="B100" s="231">
        <v>7769</v>
      </c>
      <c r="C100" s="232">
        <v>43970</v>
      </c>
      <c r="D100" s="232">
        <v>43971</v>
      </c>
      <c r="F100" s="26"/>
      <c r="G100" s="27"/>
      <c r="H100" s="25"/>
      <c r="I100" s="25"/>
    </row>
    <row r="101" spans="1:9">
      <c r="A101" s="233">
        <v>1.9179999999999999E-2</v>
      </c>
      <c r="B101" s="231">
        <v>7397</v>
      </c>
      <c r="C101" s="232">
        <v>43971</v>
      </c>
      <c r="D101" s="232">
        <v>43972</v>
      </c>
      <c r="F101" s="26"/>
      <c r="G101" s="27"/>
      <c r="H101" s="25"/>
      <c r="I101" s="25"/>
    </row>
    <row r="102" spans="1:9">
      <c r="A102" s="233">
        <v>1.9220000000000001E-2</v>
      </c>
      <c r="B102" s="231">
        <v>8107</v>
      </c>
      <c r="C102" s="232">
        <v>43972</v>
      </c>
      <c r="D102" s="232">
        <v>43973</v>
      </c>
      <c r="F102" s="26"/>
      <c r="G102" s="27"/>
      <c r="H102" s="25"/>
      <c r="I102" s="25"/>
    </row>
    <row r="103" spans="1:9">
      <c r="A103" s="233">
        <v>1.9040000000000001E-2</v>
      </c>
      <c r="B103" s="231">
        <v>3908</v>
      </c>
      <c r="C103" s="232">
        <v>43973</v>
      </c>
      <c r="D103" s="232">
        <v>43977</v>
      </c>
      <c r="F103" s="26"/>
      <c r="G103" s="27"/>
      <c r="H103" s="25"/>
      <c r="I103" s="25"/>
    </row>
    <row r="104" spans="1:9">
      <c r="A104" s="233">
        <v>1.9E-2</v>
      </c>
      <c r="B104" s="231">
        <v>4868</v>
      </c>
      <c r="C104" s="232">
        <v>43977</v>
      </c>
      <c r="D104" s="232">
        <v>43978</v>
      </c>
      <c r="F104" s="26"/>
      <c r="G104" s="27"/>
      <c r="H104" s="25"/>
      <c r="I104" s="25"/>
    </row>
    <row r="105" spans="1:9">
      <c r="A105" s="233">
        <v>1.9199999999999998E-2</v>
      </c>
      <c r="B105" s="231">
        <v>8182</v>
      </c>
      <c r="C105" s="232">
        <v>43978</v>
      </c>
      <c r="D105" s="232">
        <v>43979</v>
      </c>
      <c r="F105" s="26"/>
      <c r="G105" s="27"/>
      <c r="H105" s="25"/>
      <c r="I105" s="25"/>
    </row>
    <row r="106" spans="1:9">
      <c r="A106" s="233">
        <v>1.9230000000000001E-2</v>
      </c>
      <c r="B106" s="231">
        <v>7354</v>
      </c>
      <c r="C106" s="232">
        <v>43979</v>
      </c>
      <c r="D106" s="232">
        <v>43980</v>
      </c>
      <c r="F106" s="26"/>
      <c r="G106" s="27"/>
      <c r="H106" s="25"/>
      <c r="I106" s="25"/>
    </row>
    <row r="107" spans="1:9">
      <c r="A107" s="233">
        <v>1.9220000000000001E-2</v>
      </c>
      <c r="B107" s="231">
        <v>6870</v>
      </c>
      <c r="C107" s="232">
        <v>43980</v>
      </c>
      <c r="D107" s="232">
        <v>43983</v>
      </c>
      <c r="F107" s="26"/>
      <c r="G107" s="27"/>
      <c r="H107" s="25"/>
      <c r="I107" s="25"/>
    </row>
    <row r="108" spans="1:9">
      <c r="A108" s="233">
        <v>1.949E-2</v>
      </c>
      <c r="B108" s="231">
        <v>8408</v>
      </c>
      <c r="C108" s="232">
        <v>43983</v>
      </c>
      <c r="D108" s="232">
        <v>43984</v>
      </c>
      <c r="F108" s="26"/>
      <c r="G108" s="27"/>
      <c r="H108" s="25"/>
      <c r="I108" s="25"/>
    </row>
    <row r="109" spans="1:9">
      <c r="A109" s="233">
        <v>1.9220000000000001E-2</v>
      </c>
      <c r="B109" s="231">
        <v>8516</v>
      </c>
      <c r="C109" s="232">
        <v>43984</v>
      </c>
      <c r="D109" s="232">
        <v>43985</v>
      </c>
      <c r="F109" s="26"/>
      <c r="G109" s="27"/>
      <c r="H109" s="25"/>
      <c r="I109" s="25"/>
    </row>
    <row r="110" spans="1:9">
      <c r="A110" s="233">
        <v>1.915E-2</v>
      </c>
      <c r="B110" s="231">
        <v>7782</v>
      </c>
      <c r="C110" s="232">
        <v>43985</v>
      </c>
      <c r="D110" s="232">
        <v>43986</v>
      </c>
      <c r="F110" s="26"/>
      <c r="G110" s="27"/>
      <c r="H110" s="25"/>
      <c r="I110" s="25"/>
    </row>
    <row r="111" spans="1:9">
      <c r="A111" s="233">
        <v>1.915E-2</v>
      </c>
      <c r="B111" s="231">
        <v>7926</v>
      </c>
      <c r="C111" s="232">
        <v>43986</v>
      </c>
      <c r="D111" s="232">
        <v>43987</v>
      </c>
      <c r="F111" s="26"/>
      <c r="G111" s="27"/>
      <c r="H111" s="25"/>
      <c r="I111" s="25"/>
    </row>
    <row r="112" spans="1:9">
      <c r="A112" s="233">
        <v>1.917E-2</v>
      </c>
      <c r="B112" s="231">
        <v>8493</v>
      </c>
      <c r="C112" s="232">
        <v>43987</v>
      </c>
      <c r="D112" s="232">
        <v>43990</v>
      </c>
      <c r="F112" s="26"/>
      <c r="G112" s="27"/>
      <c r="H112" s="25"/>
      <c r="I112" s="25"/>
    </row>
    <row r="113" spans="1:9">
      <c r="A113" s="233">
        <v>1.915E-2</v>
      </c>
      <c r="B113" s="231">
        <v>8089</v>
      </c>
      <c r="C113" s="232">
        <v>43990</v>
      </c>
      <c r="D113" s="232">
        <v>43991</v>
      </c>
      <c r="F113" s="26"/>
      <c r="G113" s="27"/>
      <c r="H113" s="25"/>
      <c r="I113" s="25"/>
    </row>
    <row r="114" spans="1:9">
      <c r="A114" s="233">
        <v>1.916E-2</v>
      </c>
      <c r="B114" s="231">
        <v>8421</v>
      </c>
      <c r="C114" s="232">
        <v>43991</v>
      </c>
      <c r="D114" s="232">
        <v>43992</v>
      </c>
      <c r="F114" s="26"/>
      <c r="G114" s="27"/>
      <c r="H114" s="25"/>
      <c r="I114" s="25"/>
    </row>
    <row r="115" spans="1:9">
      <c r="A115" s="233">
        <v>1.9130000000000001E-2</v>
      </c>
      <c r="B115" s="231">
        <v>8805</v>
      </c>
      <c r="C115" s="232">
        <v>43992</v>
      </c>
      <c r="D115" s="232">
        <v>43993</v>
      </c>
      <c r="F115" s="26"/>
      <c r="G115" s="27"/>
      <c r="H115" s="25"/>
      <c r="I115" s="25"/>
    </row>
    <row r="116" spans="1:9">
      <c r="A116" s="233">
        <v>1.9480000000000001E-2</v>
      </c>
      <c r="B116" s="231">
        <v>10676</v>
      </c>
      <c r="C116" s="232">
        <v>43993</v>
      </c>
      <c r="D116" s="232">
        <v>43994</v>
      </c>
      <c r="F116" s="26"/>
      <c r="G116" s="27"/>
      <c r="H116" s="25"/>
      <c r="I116" s="25"/>
    </row>
    <row r="117" spans="1:9">
      <c r="A117" s="233">
        <v>1.932E-2</v>
      </c>
      <c r="B117" s="231">
        <v>10596</v>
      </c>
      <c r="C117" s="232">
        <v>43994</v>
      </c>
      <c r="D117" s="232">
        <v>43997</v>
      </c>
      <c r="F117" s="26"/>
      <c r="G117" s="27"/>
      <c r="H117" s="25"/>
      <c r="I117" s="25"/>
    </row>
    <row r="118" spans="1:9">
      <c r="A118" s="233">
        <v>2.0109999999999999E-2</v>
      </c>
      <c r="B118" s="231">
        <v>12552</v>
      </c>
      <c r="C118" s="232">
        <v>43997</v>
      </c>
      <c r="D118" s="232">
        <v>43998</v>
      </c>
      <c r="F118" s="26"/>
      <c r="G118" s="27"/>
      <c r="H118" s="25"/>
      <c r="I118" s="25"/>
    </row>
    <row r="119" spans="1:9">
      <c r="A119" s="233">
        <v>2.1930000000000002E-2</v>
      </c>
      <c r="B119" s="231">
        <v>12384</v>
      </c>
      <c r="C119" s="232">
        <v>43998</v>
      </c>
      <c r="D119" s="232">
        <v>43999</v>
      </c>
      <c r="F119" s="26"/>
      <c r="G119" s="27"/>
      <c r="H119" s="25"/>
      <c r="I119" s="25"/>
    </row>
    <row r="120" spans="1:9">
      <c r="A120" s="233">
        <v>1.6070000000000001E-2</v>
      </c>
      <c r="B120" s="231">
        <v>11060</v>
      </c>
      <c r="C120" s="232">
        <v>43999</v>
      </c>
      <c r="D120" s="232">
        <v>44000</v>
      </c>
      <c r="F120" s="26"/>
      <c r="G120" s="27"/>
      <c r="H120" s="25"/>
      <c r="I120" s="25"/>
    </row>
    <row r="121" spans="1:9">
      <c r="A121" s="233">
        <v>1.431E-2</v>
      </c>
      <c r="B121" s="231">
        <v>9714</v>
      </c>
      <c r="C121" s="232">
        <v>44000</v>
      </c>
      <c r="D121" s="232">
        <v>44001</v>
      </c>
      <c r="F121" s="26"/>
      <c r="G121" s="27"/>
      <c r="H121" s="25"/>
      <c r="I121" s="25"/>
    </row>
    <row r="122" spans="1:9">
      <c r="A122" s="233">
        <v>1.4189999999999999E-2</v>
      </c>
      <c r="B122" s="231">
        <v>7557</v>
      </c>
      <c r="C122" s="232">
        <v>44001</v>
      </c>
      <c r="D122" s="232">
        <v>44003</v>
      </c>
      <c r="F122" s="26"/>
      <c r="G122" s="27"/>
      <c r="H122" s="25"/>
      <c r="I122" s="25"/>
    </row>
    <row r="123" spans="1:9">
      <c r="A123" s="233">
        <v>1.413E-2</v>
      </c>
      <c r="B123" s="231">
        <v>8369</v>
      </c>
      <c r="C123" s="232">
        <v>44004</v>
      </c>
      <c r="D123" s="232">
        <v>44005</v>
      </c>
      <c r="F123" s="26"/>
      <c r="G123" s="27"/>
      <c r="H123" s="25"/>
      <c r="I123" s="25"/>
    </row>
    <row r="124" spans="1:9">
      <c r="A124" s="233">
        <v>1.4120000000000001E-2</v>
      </c>
      <c r="B124" s="231">
        <v>7319</v>
      </c>
      <c r="C124" s="232">
        <v>44005</v>
      </c>
      <c r="D124" s="232">
        <v>44006</v>
      </c>
      <c r="F124" s="26"/>
      <c r="G124" s="27"/>
      <c r="H124" s="25"/>
      <c r="I124" s="25"/>
    </row>
    <row r="125" spans="1:9">
      <c r="A125" s="233">
        <v>1.4109999999999999E-2</v>
      </c>
      <c r="B125" s="231">
        <v>7043</v>
      </c>
      <c r="C125" s="232">
        <v>44006</v>
      </c>
      <c r="D125" s="232">
        <v>44007</v>
      </c>
      <c r="F125" s="26"/>
      <c r="G125" s="27"/>
      <c r="H125" s="25"/>
      <c r="I125" s="25"/>
    </row>
    <row r="126" spans="1:9">
      <c r="A126" s="233">
        <v>1.418E-2</v>
      </c>
      <c r="B126" s="231">
        <v>7456</v>
      </c>
      <c r="C126" s="232">
        <v>44007</v>
      </c>
      <c r="D126" s="232">
        <v>44008</v>
      </c>
      <c r="F126" s="26"/>
      <c r="G126" s="27"/>
      <c r="H126" s="25"/>
      <c r="I126" s="25"/>
    </row>
    <row r="127" spans="1:9">
      <c r="A127" s="233">
        <v>1.4109999999999999E-2</v>
      </c>
      <c r="B127" s="231">
        <v>7462</v>
      </c>
      <c r="C127" s="232">
        <v>44008</v>
      </c>
      <c r="D127" s="232">
        <v>44011</v>
      </c>
      <c r="F127" s="26"/>
      <c r="G127" s="27"/>
      <c r="H127" s="25"/>
      <c r="I127" s="25"/>
    </row>
    <row r="128" spans="1:9">
      <c r="A128" s="233">
        <v>1.422E-2</v>
      </c>
      <c r="B128" s="231">
        <v>6673</v>
      </c>
      <c r="C128" s="232">
        <v>44011</v>
      </c>
      <c r="D128" s="232">
        <v>44012</v>
      </c>
      <c r="F128" s="26"/>
      <c r="G128" s="27"/>
      <c r="H128" s="25"/>
      <c r="I128" s="25"/>
    </row>
    <row r="129" spans="1:9">
      <c r="A129" s="233">
        <v>1.423E-2</v>
      </c>
      <c r="B129" s="231">
        <v>9356</v>
      </c>
      <c r="C129" s="232">
        <v>44012</v>
      </c>
      <c r="D129" s="232">
        <v>44013</v>
      </c>
      <c r="F129" s="26"/>
      <c r="G129" s="27"/>
      <c r="H129" s="25"/>
      <c r="I129" s="25"/>
    </row>
    <row r="130" spans="1:9">
      <c r="A130" s="233">
        <v>1.4120000000000001E-2</v>
      </c>
      <c r="B130" s="231">
        <v>6549</v>
      </c>
      <c r="C130" s="232">
        <v>44013</v>
      </c>
      <c r="D130" s="232">
        <v>44014</v>
      </c>
      <c r="F130" s="26"/>
      <c r="G130" s="27"/>
      <c r="H130" s="25"/>
      <c r="I130" s="25"/>
    </row>
    <row r="131" spans="1:9">
      <c r="A131" s="233">
        <v>1.4189999999999999E-2</v>
      </c>
      <c r="B131" s="231">
        <v>7609</v>
      </c>
      <c r="C131" s="232">
        <v>44014</v>
      </c>
      <c r="D131" s="232">
        <v>44015</v>
      </c>
      <c r="F131" s="26"/>
      <c r="G131" s="27"/>
      <c r="H131" s="25"/>
      <c r="I131" s="25"/>
    </row>
    <row r="132" spans="1:9">
      <c r="A132" s="233">
        <v>1.4279999999999999E-2</v>
      </c>
      <c r="B132" s="231">
        <v>6232</v>
      </c>
      <c r="C132" s="232">
        <v>44015</v>
      </c>
      <c r="D132" s="232">
        <v>44018</v>
      </c>
      <c r="F132" s="26"/>
      <c r="G132" s="27"/>
      <c r="H132" s="25"/>
      <c r="I132" s="25"/>
    </row>
    <row r="133" spans="1:9">
      <c r="A133" s="233">
        <v>1.4200000000000001E-2</v>
      </c>
      <c r="B133" s="231">
        <v>6540</v>
      </c>
      <c r="C133" s="232">
        <v>44018</v>
      </c>
      <c r="D133" s="232">
        <v>44019</v>
      </c>
      <c r="F133" s="26"/>
      <c r="G133" s="27"/>
      <c r="H133" s="25"/>
      <c r="I133" s="25"/>
    </row>
    <row r="134" spans="1:9">
      <c r="A134" s="233">
        <v>1.418E-2</v>
      </c>
      <c r="B134" s="231">
        <v>6872</v>
      </c>
      <c r="C134" s="232">
        <v>44019</v>
      </c>
      <c r="D134" s="232">
        <v>44020</v>
      </c>
      <c r="F134" s="26"/>
      <c r="G134" s="27"/>
      <c r="H134" s="25"/>
      <c r="I134" s="25"/>
    </row>
    <row r="135" spans="1:9">
      <c r="A135" s="233">
        <v>1.418E-2</v>
      </c>
      <c r="B135" s="231">
        <v>7365</v>
      </c>
      <c r="C135" s="232">
        <v>44020</v>
      </c>
      <c r="D135" s="232">
        <v>44021</v>
      </c>
      <c r="F135" s="26"/>
      <c r="G135" s="27"/>
      <c r="H135" s="25"/>
      <c r="I135" s="25"/>
    </row>
    <row r="136" spans="1:9">
      <c r="A136" s="233">
        <v>1.417E-2</v>
      </c>
      <c r="B136" s="231">
        <v>8173</v>
      </c>
      <c r="C136" s="232">
        <v>44021</v>
      </c>
      <c r="D136" s="232">
        <v>44022</v>
      </c>
      <c r="F136" s="26"/>
      <c r="G136" s="27"/>
      <c r="H136" s="25"/>
      <c r="I136" s="25"/>
    </row>
    <row r="137" spans="1:9">
      <c r="A137" s="233">
        <v>1.4080000000000001E-2</v>
      </c>
      <c r="B137" s="231">
        <v>9513</v>
      </c>
      <c r="C137" s="232">
        <v>44022</v>
      </c>
      <c r="D137" s="232">
        <v>44025</v>
      </c>
      <c r="F137" s="26"/>
      <c r="G137" s="27"/>
      <c r="H137" s="25"/>
      <c r="I137" s="25"/>
    </row>
    <row r="138" spans="1:9">
      <c r="A138" s="233">
        <v>1.41E-2</v>
      </c>
      <c r="B138" s="231">
        <v>6962</v>
      </c>
      <c r="C138" s="232">
        <v>44025</v>
      </c>
      <c r="D138" s="232">
        <v>44026</v>
      </c>
      <c r="F138" s="26"/>
      <c r="G138" s="27"/>
      <c r="H138" s="25"/>
      <c r="I138" s="25"/>
    </row>
    <row r="139" spans="1:9">
      <c r="A139" s="233">
        <v>1.409E-2</v>
      </c>
      <c r="B139" s="231">
        <v>6273</v>
      </c>
      <c r="C139" s="232">
        <v>44026</v>
      </c>
      <c r="D139" s="232">
        <v>44027</v>
      </c>
      <c r="F139" s="26"/>
      <c r="G139" s="27"/>
      <c r="H139" s="25"/>
      <c r="I139" s="25"/>
    </row>
    <row r="140" spans="1:9">
      <c r="A140" s="233">
        <v>1.4149999999999999E-2</v>
      </c>
      <c r="B140" s="231">
        <v>6225</v>
      </c>
      <c r="C140" s="232">
        <v>44027</v>
      </c>
      <c r="D140" s="232">
        <v>44028</v>
      </c>
      <c r="F140" s="26"/>
      <c r="G140" s="27"/>
      <c r="H140" s="25"/>
      <c r="I140" s="25"/>
    </row>
    <row r="141" spans="1:9">
      <c r="A141" s="233">
        <v>1.405E-2</v>
      </c>
      <c r="B141" s="231">
        <v>7124</v>
      </c>
      <c r="C141" s="232">
        <v>44028</v>
      </c>
      <c r="D141" s="232">
        <v>44029</v>
      </c>
      <c r="F141" s="26"/>
      <c r="G141" s="27"/>
      <c r="H141" s="25"/>
      <c r="I141" s="25"/>
    </row>
    <row r="142" spans="1:9">
      <c r="A142" s="233">
        <v>1.4189999999999999E-2</v>
      </c>
      <c r="B142" s="231">
        <v>6872</v>
      </c>
      <c r="C142" s="232">
        <v>44029</v>
      </c>
      <c r="D142" s="232">
        <v>44032</v>
      </c>
      <c r="F142" s="26"/>
      <c r="G142" s="27"/>
      <c r="H142" s="25"/>
      <c r="I142" s="25"/>
    </row>
    <row r="143" spans="1:9">
      <c r="A143" s="233">
        <v>1.41E-2</v>
      </c>
      <c r="B143" s="231">
        <v>10530</v>
      </c>
      <c r="C143" s="232">
        <v>44032</v>
      </c>
      <c r="D143" s="232">
        <v>44033</v>
      </c>
      <c r="F143" s="26"/>
      <c r="G143" s="27"/>
      <c r="H143" s="25"/>
      <c r="I143" s="25"/>
    </row>
    <row r="144" spans="1:9">
      <c r="A144" s="233">
        <v>1.4069999999999999E-2</v>
      </c>
      <c r="B144" s="231">
        <v>9306</v>
      </c>
      <c r="C144" s="232">
        <v>44033</v>
      </c>
      <c r="D144" s="232">
        <v>44034</v>
      </c>
      <c r="F144" s="26"/>
      <c r="G144" s="27"/>
      <c r="H144" s="25"/>
      <c r="I144" s="25"/>
    </row>
    <row r="145" spans="1:9">
      <c r="A145" s="233">
        <v>1.3690000000000001E-2</v>
      </c>
      <c r="B145" s="231">
        <v>9284</v>
      </c>
      <c r="C145" s="232">
        <v>44034</v>
      </c>
      <c r="D145" s="232">
        <v>44035</v>
      </c>
      <c r="F145" s="26"/>
      <c r="G145" s="27"/>
      <c r="H145" s="25"/>
      <c r="I145" s="25"/>
    </row>
    <row r="146" spans="1:9">
      <c r="A146" s="233">
        <v>1.414E-2</v>
      </c>
      <c r="B146" s="231">
        <v>6278</v>
      </c>
      <c r="C146" s="232">
        <v>44035</v>
      </c>
      <c r="D146" s="232">
        <v>44036</v>
      </c>
      <c r="F146" s="26"/>
      <c r="G146" s="27"/>
      <c r="H146" s="25"/>
      <c r="I146" s="25"/>
    </row>
    <row r="147" spans="1:9">
      <c r="A147" s="233">
        <v>1.417E-2</v>
      </c>
      <c r="B147" s="231">
        <v>5375</v>
      </c>
      <c r="C147" s="232">
        <v>44036</v>
      </c>
      <c r="D147" s="232">
        <v>44039</v>
      </c>
      <c r="F147" s="26"/>
      <c r="G147" s="27"/>
      <c r="H147" s="25"/>
      <c r="I147" s="25"/>
    </row>
    <row r="148" spans="1:9">
      <c r="A148" s="233">
        <v>1.4239999999999999E-2</v>
      </c>
      <c r="B148" s="231">
        <v>5991</v>
      </c>
      <c r="C148" s="232">
        <v>44039</v>
      </c>
      <c r="D148" s="232">
        <v>44040</v>
      </c>
      <c r="F148" s="26"/>
      <c r="G148" s="27"/>
      <c r="H148" s="25"/>
      <c r="I148" s="25"/>
    </row>
    <row r="149" spans="1:9">
      <c r="A149" s="233">
        <v>1.418E-2</v>
      </c>
      <c r="B149" s="231">
        <v>5915</v>
      </c>
      <c r="C149" s="232">
        <v>44040</v>
      </c>
      <c r="D149" s="232">
        <v>44041</v>
      </c>
      <c r="F149" s="26"/>
      <c r="G149" s="27"/>
      <c r="H149" s="25"/>
      <c r="I149" s="25"/>
    </row>
    <row r="150" spans="1:9">
      <c r="A150" s="233">
        <v>1.4239999999999999E-2</v>
      </c>
      <c r="B150" s="231">
        <v>5595</v>
      </c>
      <c r="C150" s="232">
        <v>44041</v>
      </c>
      <c r="D150" s="232">
        <v>44046</v>
      </c>
      <c r="F150" s="26"/>
      <c r="G150" s="27"/>
      <c r="H150" s="25"/>
      <c r="I150" s="25"/>
    </row>
    <row r="151" spans="1:9">
      <c r="A151" s="233">
        <v>1.431E-2</v>
      </c>
      <c r="B151" s="231">
        <v>6375</v>
      </c>
      <c r="C151" s="232">
        <v>44046</v>
      </c>
      <c r="D151" s="232">
        <v>44047</v>
      </c>
      <c r="F151" s="26"/>
      <c r="G151" s="27"/>
      <c r="H151" s="25"/>
      <c r="I151" s="25"/>
    </row>
    <row r="152" spans="1:9">
      <c r="A152" s="233">
        <v>1.477E-2</v>
      </c>
      <c r="B152" s="231">
        <v>6308</v>
      </c>
      <c r="C152" s="232">
        <v>44047</v>
      </c>
      <c r="D152" s="232">
        <v>44048</v>
      </c>
      <c r="F152" s="26"/>
      <c r="G152" s="27"/>
      <c r="H152" s="25"/>
      <c r="I152" s="25"/>
    </row>
    <row r="153" spans="1:9">
      <c r="A153" s="233">
        <v>1.4789999999999999E-2</v>
      </c>
      <c r="B153" s="231">
        <v>6794</v>
      </c>
      <c r="C153" s="232">
        <v>44048</v>
      </c>
      <c r="D153" s="232">
        <v>44049</v>
      </c>
      <c r="F153" s="25"/>
      <c r="G153" s="25"/>
      <c r="H153" s="25"/>
      <c r="I153" s="25"/>
    </row>
    <row r="154" spans="1:9">
      <c r="A154" s="233">
        <v>1.4189999999999999E-2</v>
      </c>
      <c r="B154" s="231">
        <v>5430</v>
      </c>
      <c r="C154" s="232">
        <v>44049</v>
      </c>
      <c r="D154" s="232">
        <v>44050</v>
      </c>
      <c r="F154" s="25"/>
      <c r="G154" s="25"/>
      <c r="H154" s="25"/>
      <c r="I154" s="25"/>
    </row>
    <row r="155" spans="1:9">
      <c r="A155" s="233">
        <v>1.4189999999999999E-2</v>
      </c>
      <c r="B155" s="231">
        <v>5303</v>
      </c>
      <c r="C155" s="232">
        <v>44050</v>
      </c>
      <c r="D155" s="232">
        <v>44053</v>
      </c>
    </row>
    <row r="156" spans="1:9">
      <c r="A156" s="233">
        <v>1.423E-2</v>
      </c>
      <c r="B156" s="231">
        <v>5242</v>
      </c>
      <c r="C156" s="232">
        <v>44053</v>
      </c>
      <c r="D156" s="232">
        <v>44054</v>
      </c>
    </row>
    <row r="157" spans="1:9">
      <c r="A157" s="233">
        <v>1.421E-2</v>
      </c>
      <c r="B157" s="231">
        <v>5255</v>
      </c>
      <c r="C157" s="232">
        <v>44054</v>
      </c>
      <c r="D157" s="232">
        <v>44055</v>
      </c>
    </row>
    <row r="158" spans="1:9">
      <c r="A158" s="233">
        <v>1.423E-2</v>
      </c>
      <c r="B158" s="231">
        <v>5913</v>
      </c>
      <c r="C158" s="232">
        <v>44055</v>
      </c>
      <c r="D158" s="232">
        <v>44056</v>
      </c>
    </row>
    <row r="159" spans="1:9">
      <c r="A159" s="233">
        <v>1.4160000000000001E-2</v>
      </c>
      <c r="B159" s="231">
        <v>5828</v>
      </c>
      <c r="C159" s="232">
        <v>44056</v>
      </c>
      <c r="D159" s="232">
        <v>44060</v>
      </c>
    </row>
    <row r="160" spans="1:9">
      <c r="A160" s="233">
        <v>1.413E-2</v>
      </c>
      <c r="B160" s="231">
        <v>4650</v>
      </c>
      <c r="C160" s="232">
        <v>44060</v>
      </c>
      <c r="D160" s="232">
        <v>44061</v>
      </c>
    </row>
    <row r="161" spans="1:4">
      <c r="A161" s="233">
        <v>1.423E-2</v>
      </c>
      <c r="B161" s="231">
        <v>4771</v>
      </c>
      <c r="C161" s="232">
        <v>44061</v>
      </c>
      <c r="D161" s="232">
        <v>44062</v>
      </c>
    </row>
    <row r="162" spans="1:4">
      <c r="A162" s="233">
        <v>1.4160000000000001E-2</v>
      </c>
      <c r="B162" s="231">
        <v>7084</v>
      </c>
      <c r="C162" s="232">
        <v>44062</v>
      </c>
      <c r="D162" s="232">
        <v>44067</v>
      </c>
    </row>
    <row r="163" spans="1:4">
      <c r="A163" s="233">
        <v>1.418E-2</v>
      </c>
      <c r="B163" s="231">
        <v>5651</v>
      </c>
      <c r="C163" s="232">
        <v>44067</v>
      </c>
      <c r="D163" s="232">
        <v>44068</v>
      </c>
    </row>
    <row r="164" spans="1:4">
      <c r="A164" s="233">
        <v>1.414E-2</v>
      </c>
      <c r="B164" s="231">
        <v>6903</v>
      </c>
      <c r="C164" s="232">
        <v>44068</v>
      </c>
      <c r="D164" s="232">
        <v>44069</v>
      </c>
    </row>
    <row r="165" spans="1:4">
      <c r="A165" s="233">
        <v>1.4239999999999999E-2</v>
      </c>
      <c r="B165" s="231">
        <v>4858</v>
      </c>
      <c r="C165" s="232">
        <v>44069</v>
      </c>
      <c r="D165" s="232">
        <v>44070</v>
      </c>
    </row>
    <row r="166" spans="1:4">
      <c r="A166" s="233">
        <v>1.388E-2</v>
      </c>
      <c r="B166" s="231">
        <v>5940</v>
      </c>
      <c r="C166" s="232">
        <v>44070</v>
      </c>
      <c r="D166" s="232">
        <v>44071</v>
      </c>
    </row>
    <row r="167" spans="1:4">
      <c r="A167" s="233">
        <v>1.421E-2</v>
      </c>
      <c r="B167" s="231">
        <v>5336</v>
      </c>
      <c r="C167" s="232">
        <v>44071</v>
      </c>
      <c r="D167" s="232">
        <v>44074</v>
      </c>
    </row>
    <row r="168" spans="1:4">
      <c r="A168" s="233">
        <v>1.4200000000000001E-2</v>
      </c>
      <c r="B168" s="231">
        <v>4311</v>
      </c>
      <c r="C168" s="232">
        <v>44074</v>
      </c>
      <c r="D168" s="232">
        <v>44075</v>
      </c>
    </row>
    <row r="169" spans="1:4">
      <c r="A169" s="233">
        <v>1.409E-2</v>
      </c>
      <c r="B169" s="231">
        <v>5953</v>
      </c>
      <c r="C169" s="232">
        <v>44075</v>
      </c>
      <c r="D169" s="232">
        <v>44076</v>
      </c>
    </row>
    <row r="170" spans="1:4">
      <c r="A170" s="233">
        <v>1.4109999999999999E-2</v>
      </c>
      <c r="B170" s="231">
        <v>6421</v>
      </c>
      <c r="C170" s="232">
        <v>44076</v>
      </c>
      <c r="D170" s="232">
        <v>44077</v>
      </c>
    </row>
    <row r="171" spans="1:4">
      <c r="A171" s="233">
        <v>1.4149999999999999E-2</v>
      </c>
      <c r="B171" s="231">
        <v>5218</v>
      </c>
      <c r="C171" s="232">
        <v>44077</v>
      </c>
      <c r="D171" s="232">
        <v>44078</v>
      </c>
    </row>
    <row r="172" spans="1:4">
      <c r="A172" s="233">
        <v>1.4080000000000001E-2</v>
      </c>
      <c r="B172" s="231">
        <v>7237</v>
      </c>
      <c r="C172" s="232">
        <v>44078</v>
      </c>
      <c r="D172" s="232">
        <v>44081</v>
      </c>
    </row>
    <row r="173" spans="1:4">
      <c r="A173" s="233">
        <v>1.4239999999999999E-2</v>
      </c>
      <c r="B173" s="231">
        <v>5714</v>
      </c>
      <c r="C173" s="232">
        <v>44081</v>
      </c>
      <c r="D173" s="232">
        <v>44082</v>
      </c>
    </row>
    <row r="174" spans="1:4">
      <c r="A174" s="233">
        <v>1.4160000000000001E-2</v>
      </c>
      <c r="B174" s="231">
        <v>5357</v>
      </c>
      <c r="C174" s="232">
        <v>44082</v>
      </c>
      <c r="D174" s="232">
        <v>44083</v>
      </c>
    </row>
    <row r="175" spans="1:4">
      <c r="A175" s="233">
        <v>1.421E-2</v>
      </c>
      <c r="B175" s="231">
        <v>4703</v>
      </c>
      <c r="C175" s="232">
        <v>44083</v>
      </c>
      <c r="D175" s="232">
        <v>44084</v>
      </c>
    </row>
    <row r="176" spans="1:4">
      <c r="A176" s="233">
        <v>1.423E-2</v>
      </c>
      <c r="B176" s="231">
        <v>4489</v>
      </c>
      <c r="C176" s="232">
        <v>44084</v>
      </c>
      <c r="D176" s="232">
        <v>44085</v>
      </c>
    </row>
    <row r="177" spans="1:4">
      <c r="A177" s="233">
        <v>1.423E-2</v>
      </c>
      <c r="B177" s="231">
        <v>5601</v>
      </c>
      <c r="C177" s="232">
        <v>44085</v>
      </c>
      <c r="D177" s="232">
        <v>44088</v>
      </c>
    </row>
    <row r="178" spans="1:4">
      <c r="A178" s="233">
        <v>1.426E-2</v>
      </c>
      <c r="B178" s="231">
        <v>2965</v>
      </c>
      <c r="C178" s="232">
        <v>44088</v>
      </c>
      <c r="D178" s="232">
        <v>44089</v>
      </c>
    </row>
    <row r="179" spans="1:4">
      <c r="A179" s="233">
        <v>1.409E-2</v>
      </c>
      <c r="B179" s="231">
        <v>7415</v>
      </c>
      <c r="C179" s="232">
        <v>44089</v>
      </c>
      <c r="D179" s="232">
        <v>44090</v>
      </c>
    </row>
    <row r="180" spans="1:4">
      <c r="A180" s="233">
        <v>1.41E-2</v>
      </c>
      <c r="B180" s="231">
        <v>6907</v>
      </c>
      <c r="C180" s="232">
        <v>44090</v>
      </c>
      <c r="D180" s="232">
        <v>44091</v>
      </c>
    </row>
    <row r="181" spans="1:4">
      <c r="A181" s="233">
        <v>1.4189999999999999E-2</v>
      </c>
      <c r="B181" s="231">
        <v>5525</v>
      </c>
      <c r="C181" s="232">
        <v>44091</v>
      </c>
      <c r="D181" s="232">
        <v>44092</v>
      </c>
    </row>
    <row r="182" spans="1:4">
      <c r="A182" s="233">
        <v>1.422E-2</v>
      </c>
      <c r="B182" s="231">
        <v>6131</v>
      </c>
      <c r="C182" s="232">
        <v>44092</v>
      </c>
      <c r="D182" s="232">
        <v>44095</v>
      </c>
    </row>
    <row r="183" spans="1:4">
      <c r="A183" s="233">
        <v>1.421E-2</v>
      </c>
      <c r="B183" s="231">
        <v>5843</v>
      </c>
      <c r="C183" s="232">
        <v>44095</v>
      </c>
      <c r="D183" s="232">
        <v>44096</v>
      </c>
    </row>
    <row r="184" spans="1:4">
      <c r="A184" s="233">
        <v>1.413E-2</v>
      </c>
      <c r="B184" s="231">
        <v>6850</v>
      </c>
      <c r="C184" s="232">
        <v>44096</v>
      </c>
      <c r="D184" s="232">
        <v>44097</v>
      </c>
    </row>
    <row r="185" spans="1:4">
      <c r="A185" s="233">
        <v>1.4160000000000001E-2</v>
      </c>
      <c r="B185" s="231">
        <v>5762</v>
      </c>
      <c r="C185" s="232">
        <v>44097</v>
      </c>
      <c r="D185" s="232">
        <v>44098</v>
      </c>
    </row>
    <row r="186" spans="1:4">
      <c r="A186" s="233">
        <v>1.4250000000000001E-2</v>
      </c>
      <c r="B186" s="231">
        <v>4677</v>
      </c>
      <c r="C186" s="232">
        <v>44098</v>
      </c>
      <c r="D186" s="232">
        <v>44099</v>
      </c>
    </row>
    <row r="187" spans="1:4">
      <c r="A187" s="233">
        <v>1.4189999999999999E-2</v>
      </c>
      <c r="B187" s="231">
        <v>4787</v>
      </c>
      <c r="C187" s="232">
        <v>44099</v>
      </c>
      <c r="D187" s="232">
        <v>44102</v>
      </c>
    </row>
    <row r="188" spans="1:4">
      <c r="A188" s="233">
        <v>1.417E-2</v>
      </c>
      <c r="B188" s="231">
        <v>6263</v>
      </c>
      <c r="C188" s="232">
        <v>44102</v>
      </c>
      <c r="D188" s="232">
        <v>44103</v>
      </c>
    </row>
    <row r="189" spans="1:4">
      <c r="A189" s="233">
        <v>1.409E-2</v>
      </c>
      <c r="B189" s="231">
        <v>7316</v>
      </c>
      <c r="C189" s="232">
        <v>44103</v>
      </c>
      <c r="D189" s="232">
        <v>44104</v>
      </c>
    </row>
    <row r="190" spans="1:4">
      <c r="A190" s="233">
        <v>1.436E-2</v>
      </c>
      <c r="B190" s="231">
        <v>10008</v>
      </c>
      <c r="C190" s="232">
        <v>44104</v>
      </c>
      <c r="D190" s="232">
        <v>44105</v>
      </c>
    </row>
    <row r="191" spans="1:4">
      <c r="A191" s="233">
        <v>1.423E-2</v>
      </c>
      <c r="B191" s="231">
        <v>5881</v>
      </c>
      <c r="C191" s="232">
        <v>44105</v>
      </c>
      <c r="D191" s="232">
        <v>44106</v>
      </c>
    </row>
    <row r="192" spans="1:4">
      <c r="A192" s="233">
        <v>1.422E-2</v>
      </c>
      <c r="B192" s="231">
        <v>6596</v>
      </c>
      <c r="C192" s="232">
        <v>44106</v>
      </c>
      <c r="D192" s="232">
        <v>44109</v>
      </c>
    </row>
    <row r="193" spans="1:4">
      <c r="A193" s="233">
        <v>1.4189999999999999E-2</v>
      </c>
      <c r="B193" s="231">
        <v>6656</v>
      </c>
      <c r="C193" s="232">
        <v>44109</v>
      </c>
      <c r="D193" s="232">
        <v>44110</v>
      </c>
    </row>
    <row r="194" spans="1:4">
      <c r="A194" s="233">
        <v>1.421E-2</v>
      </c>
      <c r="B194" s="231">
        <v>7144</v>
      </c>
      <c r="C194" s="232">
        <v>44110</v>
      </c>
      <c r="D194" s="232">
        <v>44111</v>
      </c>
    </row>
    <row r="195" spans="1:4">
      <c r="A195" s="233">
        <v>1.417E-2</v>
      </c>
      <c r="B195" s="231">
        <v>6908</v>
      </c>
      <c r="C195" s="232">
        <v>44111</v>
      </c>
      <c r="D195" s="232">
        <v>44112</v>
      </c>
    </row>
    <row r="196" spans="1:4">
      <c r="A196" s="233">
        <v>1.421E-2</v>
      </c>
      <c r="B196" s="231">
        <v>7260</v>
      </c>
      <c r="C196" s="232">
        <v>44112</v>
      </c>
      <c r="D196" s="232">
        <v>44113</v>
      </c>
    </row>
    <row r="197" spans="1:4">
      <c r="A197" s="233">
        <v>1.417E-2</v>
      </c>
      <c r="B197" s="231">
        <v>6720</v>
      </c>
      <c r="C197" s="232">
        <v>44113</v>
      </c>
      <c r="D197" s="232">
        <v>44116</v>
      </c>
    </row>
    <row r="198" spans="1:4">
      <c r="A198" s="233">
        <v>1.417E-2</v>
      </c>
      <c r="B198" s="231">
        <v>6169</v>
      </c>
      <c r="C198" s="232">
        <v>44116</v>
      </c>
      <c r="D198" s="232">
        <v>44117</v>
      </c>
    </row>
    <row r="199" spans="1:4">
      <c r="A199" s="233">
        <v>1.4250000000000001E-2</v>
      </c>
      <c r="B199" s="231">
        <v>5971</v>
      </c>
      <c r="C199" s="232">
        <v>44117</v>
      </c>
      <c r="D199" s="232">
        <v>44118</v>
      </c>
    </row>
    <row r="200" spans="1:4">
      <c r="A200" s="233">
        <v>1.4189999999999999E-2</v>
      </c>
      <c r="B200" s="231">
        <v>5604</v>
      </c>
      <c r="C200" s="232">
        <v>44118</v>
      </c>
      <c r="D200" s="232">
        <v>44119</v>
      </c>
    </row>
    <row r="201" spans="1:4">
      <c r="A201" s="233">
        <v>1.3809999999999999E-2</v>
      </c>
      <c r="B201" s="231">
        <v>7150</v>
      </c>
      <c r="C201" s="232">
        <v>44119</v>
      </c>
      <c r="D201" s="232">
        <v>44120</v>
      </c>
    </row>
    <row r="202" spans="1:4">
      <c r="A202" s="233">
        <v>1.4160000000000001E-2</v>
      </c>
      <c r="B202" s="231">
        <v>7751</v>
      </c>
      <c r="C202" s="232">
        <v>44120</v>
      </c>
      <c r="D202" s="232">
        <v>44123</v>
      </c>
    </row>
    <row r="203" spans="1:4">
      <c r="A203" s="233">
        <v>1.43E-2</v>
      </c>
      <c r="B203" s="231">
        <v>6203</v>
      </c>
      <c r="C203" s="232">
        <v>44123</v>
      </c>
      <c r="D203" s="232">
        <v>44124</v>
      </c>
    </row>
    <row r="204" spans="1:4">
      <c r="A204" s="233">
        <v>1.43E-2</v>
      </c>
      <c r="B204" s="231">
        <v>5559</v>
      </c>
      <c r="C204" s="232">
        <v>44124</v>
      </c>
      <c r="D204" s="232">
        <v>44125</v>
      </c>
    </row>
    <row r="205" spans="1:4">
      <c r="A205" s="233">
        <v>1.422E-2</v>
      </c>
      <c r="B205" s="231">
        <v>6061</v>
      </c>
      <c r="C205" s="232">
        <v>44125</v>
      </c>
      <c r="D205" s="232">
        <v>44126</v>
      </c>
    </row>
    <row r="206" spans="1:4">
      <c r="A206" s="233">
        <v>1.427E-2</v>
      </c>
      <c r="B206" s="231">
        <v>6305</v>
      </c>
      <c r="C206" s="232">
        <v>44126</v>
      </c>
      <c r="D206" s="232">
        <v>44127</v>
      </c>
    </row>
    <row r="207" spans="1:4">
      <c r="A207" s="233">
        <v>1.427E-2</v>
      </c>
      <c r="B207" s="231">
        <v>6382</v>
      </c>
      <c r="C207" s="232">
        <v>44127</v>
      </c>
      <c r="D207" s="232">
        <v>44130</v>
      </c>
    </row>
    <row r="208" spans="1:4">
      <c r="A208" s="233">
        <v>1.384E-2</v>
      </c>
      <c r="B208" s="231">
        <v>7823</v>
      </c>
      <c r="C208" s="232">
        <v>44130</v>
      </c>
      <c r="D208" s="232">
        <v>44131</v>
      </c>
    </row>
    <row r="209" spans="1:4">
      <c r="A209" s="233">
        <v>1.421E-2</v>
      </c>
      <c r="B209" s="231">
        <v>5887</v>
      </c>
      <c r="C209" s="232">
        <v>44131</v>
      </c>
      <c r="D209" s="232">
        <v>44132</v>
      </c>
    </row>
    <row r="210" spans="1:4">
      <c r="A210" s="233">
        <v>1.443E-2</v>
      </c>
      <c r="B210" s="231">
        <v>8408</v>
      </c>
      <c r="C210" s="232">
        <v>44132</v>
      </c>
      <c r="D210" s="232">
        <v>44137</v>
      </c>
    </row>
    <row r="211" spans="1:4">
      <c r="A211" s="233">
        <v>1.4250000000000001E-2</v>
      </c>
      <c r="B211" s="231">
        <v>5922</v>
      </c>
      <c r="C211" s="232">
        <v>44137</v>
      </c>
      <c r="D211" s="232">
        <v>44138</v>
      </c>
    </row>
    <row r="212" spans="1:4">
      <c r="A212" s="233">
        <v>1.427E-2</v>
      </c>
      <c r="B212" s="231">
        <v>5650</v>
      </c>
      <c r="C212" s="232">
        <v>44138</v>
      </c>
      <c r="D212" s="232">
        <v>44139</v>
      </c>
    </row>
    <row r="213" spans="1:4">
      <c r="A213" s="233">
        <v>1.423E-2</v>
      </c>
      <c r="B213" s="231">
        <v>6176</v>
      </c>
      <c r="C213" s="232">
        <v>44139</v>
      </c>
      <c r="D213" s="232">
        <v>44140</v>
      </c>
    </row>
    <row r="214" spans="1:4">
      <c r="A214" s="233">
        <v>1.4319999999999999E-2</v>
      </c>
      <c r="B214" s="231">
        <v>6608</v>
      </c>
      <c r="C214" s="232">
        <v>44140</v>
      </c>
      <c r="D214" s="232">
        <v>44144</v>
      </c>
    </row>
    <row r="215" spans="1:4">
      <c r="A215" s="233">
        <v>1.422E-2</v>
      </c>
      <c r="B215" s="231">
        <v>5430</v>
      </c>
      <c r="C215" s="232">
        <v>44144</v>
      </c>
      <c r="D215" s="232">
        <v>44145</v>
      </c>
    </row>
    <row r="216" spans="1:4">
      <c r="A216" s="233">
        <v>1.418E-2</v>
      </c>
      <c r="B216" s="231">
        <v>7162</v>
      </c>
      <c r="C216" s="232">
        <v>44145</v>
      </c>
      <c r="D216" s="232">
        <v>44146</v>
      </c>
    </row>
    <row r="217" spans="1:4">
      <c r="A217" s="233">
        <v>1.4319999999999999E-2</v>
      </c>
      <c r="B217" s="231">
        <v>7928</v>
      </c>
      <c r="C217" s="232">
        <v>44146</v>
      </c>
      <c r="D217" s="232">
        <v>44147</v>
      </c>
    </row>
    <row r="218" spans="1:4">
      <c r="A218" s="233">
        <v>1.423E-2</v>
      </c>
      <c r="B218" s="231">
        <v>6702</v>
      </c>
      <c r="C218" s="232">
        <v>44147</v>
      </c>
      <c r="D218" s="232">
        <v>44148</v>
      </c>
    </row>
    <row r="219" spans="1:4">
      <c r="A219" s="233">
        <v>1.417E-2</v>
      </c>
      <c r="B219" s="231">
        <v>8190</v>
      </c>
      <c r="C219" s="232">
        <v>44148</v>
      </c>
      <c r="D219" s="232">
        <v>44151</v>
      </c>
    </row>
    <row r="220" spans="1:4">
      <c r="A220" s="233">
        <v>1.4200000000000001E-2</v>
      </c>
      <c r="B220" s="231">
        <v>6460</v>
      </c>
      <c r="C220" s="232">
        <v>44151</v>
      </c>
      <c r="D220" s="232">
        <v>44152</v>
      </c>
    </row>
    <row r="221" spans="1:4">
      <c r="A221" s="233">
        <v>1.418E-2</v>
      </c>
      <c r="B221" s="231">
        <v>6770</v>
      </c>
      <c r="C221" s="232">
        <v>44152</v>
      </c>
      <c r="D221" s="232">
        <v>44154</v>
      </c>
    </row>
    <row r="222" spans="1:4">
      <c r="A222" s="233">
        <v>1.4189999999999999E-2</v>
      </c>
      <c r="B222" s="231">
        <v>7025</v>
      </c>
      <c r="C222" s="232">
        <v>44154</v>
      </c>
      <c r="D222" s="232">
        <v>44155</v>
      </c>
    </row>
    <row r="223" spans="1:4">
      <c r="A223" s="233">
        <v>1.4200000000000001E-2</v>
      </c>
      <c r="B223" s="231">
        <v>7133</v>
      </c>
      <c r="C223" s="232">
        <v>44155</v>
      </c>
      <c r="D223" s="232">
        <v>44158</v>
      </c>
    </row>
    <row r="224" spans="1:4">
      <c r="A224" s="233">
        <v>1.414E-2</v>
      </c>
      <c r="B224" s="231">
        <v>8213</v>
      </c>
      <c r="C224" s="232">
        <v>44158</v>
      </c>
      <c r="D224" s="232">
        <v>44159</v>
      </c>
    </row>
    <row r="225" spans="1:4">
      <c r="A225" s="233">
        <v>1.4200000000000001E-2</v>
      </c>
      <c r="B225" s="231">
        <v>6714</v>
      </c>
      <c r="C225" s="232">
        <v>44159</v>
      </c>
      <c r="D225" s="232">
        <v>44160</v>
      </c>
    </row>
    <row r="226" spans="1:4">
      <c r="A226" s="233">
        <v>1.423E-2</v>
      </c>
      <c r="B226" s="231">
        <v>6321</v>
      </c>
      <c r="C226" s="232">
        <v>44160</v>
      </c>
      <c r="D226" s="232">
        <v>44161</v>
      </c>
    </row>
    <row r="227" spans="1:4">
      <c r="A227" s="233">
        <v>1.388E-2</v>
      </c>
      <c r="B227" s="231">
        <v>7261</v>
      </c>
      <c r="C227" s="232">
        <v>44161</v>
      </c>
      <c r="D227" s="232">
        <v>44162</v>
      </c>
    </row>
    <row r="228" spans="1:4">
      <c r="A228" s="233">
        <v>1.423E-2</v>
      </c>
      <c r="B228" s="231">
        <v>6222</v>
      </c>
      <c r="C228" s="232">
        <v>44162</v>
      </c>
      <c r="D228" s="232">
        <v>44165</v>
      </c>
    </row>
    <row r="229" spans="1:4">
      <c r="A229" s="233">
        <v>1.4279999999999999E-2</v>
      </c>
      <c r="B229" s="231">
        <v>6435</v>
      </c>
      <c r="C229" s="232">
        <v>44165</v>
      </c>
      <c r="D229" s="232">
        <v>44166</v>
      </c>
    </row>
    <row r="230" spans="1:4">
      <c r="A230" s="233">
        <v>1.4319999999999999E-2</v>
      </c>
      <c r="B230" s="231">
        <v>6596</v>
      </c>
      <c r="C230" s="232">
        <v>44166</v>
      </c>
      <c r="D230" s="232">
        <v>44167</v>
      </c>
    </row>
    <row r="231" spans="1:4">
      <c r="A231" s="233">
        <v>1.426E-2</v>
      </c>
      <c r="B231" s="231">
        <v>7078</v>
      </c>
      <c r="C231" s="232">
        <v>44167</v>
      </c>
      <c r="D231" s="232">
        <v>44168</v>
      </c>
    </row>
    <row r="232" spans="1:4">
      <c r="A232" s="233">
        <v>1.426E-2</v>
      </c>
      <c r="B232" s="231">
        <v>6786</v>
      </c>
      <c r="C232" s="232">
        <v>44168</v>
      </c>
      <c r="D232" s="232">
        <v>44169</v>
      </c>
    </row>
    <row r="233" spans="1:4">
      <c r="A233" s="233">
        <v>1.427E-2</v>
      </c>
      <c r="B233" s="231">
        <v>7487</v>
      </c>
      <c r="C233" s="232">
        <v>44169</v>
      </c>
      <c r="D233" s="232">
        <v>44172</v>
      </c>
    </row>
    <row r="234" spans="1:4">
      <c r="A234" s="233">
        <v>1.4279999999999999E-2</v>
      </c>
      <c r="B234" s="231">
        <v>5981</v>
      </c>
      <c r="C234" s="232">
        <v>44172</v>
      </c>
      <c r="D234" s="232">
        <v>44173</v>
      </c>
    </row>
    <row r="235" spans="1:4">
      <c r="A235" s="233">
        <v>1.423E-2</v>
      </c>
      <c r="B235" s="231">
        <v>6657</v>
      </c>
      <c r="C235" s="232">
        <v>44173</v>
      </c>
      <c r="D235" s="232">
        <v>44174</v>
      </c>
    </row>
    <row r="236" spans="1:4">
      <c r="A236" s="233">
        <v>1.43E-2</v>
      </c>
      <c r="B236" s="231">
        <v>7121</v>
      </c>
      <c r="C236" s="232">
        <v>44174</v>
      </c>
      <c r="D236" s="232">
        <v>44175</v>
      </c>
    </row>
    <row r="237" spans="1:4">
      <c r="A237" s="233">
        <v>1.4239999999999999E-2</v>
      </c>
      <c r="B237" s="231">
        <v>6321</v>
      </c>
      <c r="C237" s="232">
        <v>44175</v>
      </c>
      <c r="D237" s="232">
        <v>44176</v>
      </c>
    </row>
    <row r="238" spans="1:4">
      <c r="A238" s="233">
        <v>1.426E-2</v>
      </c>
      <c r="B238" s="231">
        <v>6468</v>
      </c>
      <c r="C238" s="232">
        <v>44176</v>
      </c>
      <c r="D238" s="232">
        <v>44179</v>
      </c>
    </row>
    <row r="239" spans="1:4">
      <c r="A239" s="233">
        <v>1.413E-2</v>
      </c>
      <c r="B239" s="231">
        <v>8954</v>
      </c>
      <c r="C239" s="232">
        <v>44179</v>
      </c>
      <c r="D239" s="232">
        <v>44180</v>
      </c>
    </row>
    <row r="240" spans="1:4">
      <c r="A240" s="233">
        <v>1.423E-2</v>
      </c>
      <c r="B240" s="231">
        <v>7081</v>
      </c>
      <c r="C240" s="232">
        <v>44180</v>
      </c>
      <c r="D240" s="232">
        <v>44181</v>
      </c>
    </row>
    <row r="241" spans="1:4">
      <c r="A241" s="234">
        <v>1.4080000000000001E-2</v>
      </c>
      <c r="B241" s="235">
        <v>7812</v>
      </c>
      <c r="C241" s="236">
        <v>44181</v>
      </c>
      <c r="D241" s="236">
        <v>44182</v>
      </c>
    </row>
    <row r="242" spans="1:4" ht="17" thickBot="1">
      <c r="A242" s="238">
        <v>1.418E-2</v>
      </c>
      <c r="B242" s="239">
        <v>7658</v>
      </c>
      <c r="C242" s="240">
        <v>44182</v>
      </c>
      <c r="D242" s="240">
        <v>44183</v>
      </c>
    </row>
  </sheetData>
  <autoFilter ref="A1:D1" xr:uid="{F312A5E6-671C-2640-865E-32D4551283E3}">
    <sortState xmlns:xlrd2="http://schemas.microsoft.com/office/spreadsheetml/2017/richdata2" ref="A2:D106">
      <sortCondition ref="D1:D106"/>
    </sortState>
  </autoFilter>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1146B-EE7F-0345-8DEF-C54F7C6FEBB2}">
  <sheetPr>
    <tabColor rgb="FF002060"/>
  </sheetPr>
  <dimension ref="A1:D1003"/>
  <sheetViews>
    <sheetView workbookViewId="0">
      <selection activeCell="H8" sqref="H8"/>
    </sheetView>
  </sheetViews>
  <sheetFormatPr baseColWidth="10" defaultRowHeight="16"/>
  <cols>
    <col min="1" max="1" width="10.42578125" customWidth="1"/>
    <col min="2" max="2" width="19.7109375" customWidth="1"/>
    <col min="3" max="3" width="11.42578125" customWidth="1"/>
    <col min="4" max="4" width="9.7109375" customWidth="1"/>
  </cols>
  <sheetData>
    <row r="1" spans="1:4">
      <c r="A1" s="295" t="s">
        <v>100</v>
      </c>
      <c r="B1" s="296" t="s">
        <v>99</v>
      </c>
      <c r="C1" s="296" t="s">
        <v>16</v>
      </c>
      <c r="D1" s="296" t="s">
        <v>98</v>
      </c>
    </row>
    <row r="2" spans="1:4">
      <c r="A2" s="297">
        <v>43246</v>
      </c>
      <c r="B2" s="298">
        <v>2.2579999999999999E-2</v>
      </c>
      <c r="C2" s="296" t="s">
        <v>8</v>
      </c>
      <c r="D2" s="296">
        <v>9336</v>
      </c>
    </row>
    <row r="3" spans="1:4">
      <c r="A3" s="297">
        <v>43247</v>
      </c>
      <c r="B3" s="298">
        <v>2.2579999999999999E-2</v>
      </c>
      <c r="C3" s="296" t="s">
        <v>8</v>
      </c>
      <c r="D3" s="296">
        <v>9336</v>
      </c>
    </row>
    <row r="4" spans="1:4">
      <c r="A4" s="297">
        <v>43248</v>
      </c>
      <c r="B4" s="298">
        <v>2.265E-2</v>
      </c>
      <c r="C4" s="296">
        <v>4435</v>
      </c>
      <c r="D4" s="296">
        <v>9641</v>
      </c>
    </row>
    <row r="5" spans="1:4">
      <c r="A5" s="297">
        <v>43249</v>
      </c>
      <c r="B5" s="298">
        <v>2.2589999999999999E-2</v>
      </c>
      <c r="C5" s="296">
        <v>3967</v>
      </c>
      <c r="D5" s="296">
        <v>9503</v>
      </c>
    </row>
    <row r="6" spans="1:4">
      <c r="A6" s="297">
        <v>43250</v>
      </c>
      <c r="B6" s="298">
        <v>2.265E-2</v>
      </c>
      <c r="C6" s="296">
        <v>3949</v>
      </c>
      <c r="D6" s="296">
        <v>9385</v>
      </c>
    </row>
    <row r="7" spans="1:4">
      <c r="A7" s="297">
        <v>43251</v>
      </c>
      <c r="B7" s="298">
        <v>2.2540000000000001E-2</v>
      </c>
      <c r="C7" s="296">
        <v>3046</v>
      </c>
      <c r="D7" s="296">
        <v>8207</v>
      </c>
    </row>
    <row r="8" spans="1:4">
      <c r="A8" s="297">
        <v>43252</v>
      </c>
      <c r="B8" s="298">
        <v>2.266E-2</v>
      </c>
      <c r="C8" s="296">
        <v>5164</v>
      </c>
      <c r="D8" s="296">
        <v>11045</v>
      </c>
    </row>
    <row r="9" spans="1:4">
      <c r="A9" s="297">
        <v>43253</v>
      </c>
      <c r="B9" s="298">
        <v>2.266E-2</v>
      </c>
      <c r="C9" s="296" t="s">
        <v>8</v>
      </c>
      <c r="D9" s="296">
        <v>11045</v>
      </c>
    </row>
    <row r="10" spans="1:4">
      <c r="A10" s="297">
        <v>43254</v>
      </c>
      <c r="B10" s="298">
        <v>2.266E-2</v>
      </c>
      <c r="C10" s="296" t="s">
        <v>8</v>
      </c>
      <c r="D10" s="296">
        <v>11045</v>
      </c>
    </row>
    <row r="11" spans="1:4">
      <c r="A11" s="297">
        <v>43255</v>
      </c>
      <c r="B11" s="298">
        <v>2.2689999999999998E-2</v>
      </c>
      <c r="C11" s="296">
        <v>3565</v>
      </c>
      <c r="D11" s="296">
        <v>9246</v>
      </c>
    </row>
    <row r="12" spans="1:4">
      <c r="A12" s="297">
        <v>43256</v>
      </c>
      <c r="B12" s="298">
        <v>2.2780000000000002E-2</v>
      </c>
      <c r="C12" s="296">
        <v>4497</v>
      </c>
      <c r="D12" s="296">
        <v>9848</v>
      </c>
    </row>
    <row r="13" spans="1:4">
      <c r="A13" s="297">
        <v>43257</v>
      </c>
      <c r="B13" s="298">
        <v>2.273E-2</v>
      </c>
      <c r="C13" s="296">
        <v>3729</v>
      </c>
      <c r="D13" s="296">
        <v>9050</v>
      </c>
    </row>
    <row r="14" spans="1:4">
      <c r="A14" s="297">
        <v>43258</v>
      </c>
      <c r="B14" s="298">
        <v>2.2579999999999999E-2</v>
      </c>
      <c r="C14" s="296">
        <v>3670</v>
      </c>
      <c r="D14" s="296">
        <v>8391</v>
      </c>
    </row>
    <row r="15" spans="1:4">
      <c r="A15" s="297">
        <v>43259</v>
      </c>
      <c r="B15" s="298">
        <v>2.273E-2</v>
      </c>
      <c r="C15" s="296">
        <v>3554</v>
      </c>
      <c r="D15" s="296">
        <v>8375</v>
      </c>
    </row>
    <row r="16" spans="1:4">
      <c r="A16" s="297">
        <v>43260</v>
      </c>
      <c r="B16" s="298">
        <v>2.273E-2</v>
      </c>
      <c r="C16" s="296" t="s">
        <v>8</v>
      </c>
      <c r="D16" s="296">
        <v>8375</v>
      </c>
    </row>
    <row r="17" spans="1:4">
      <c r="A17" s="297">
        <v>43261</v>
      </c>
      <c r="B17" s="298">
        <v>2.273E-2</v>
      </c>
      <c r="C17" s="296" t="s">
        <v>8</v>
      </c>
      <c r="D17" s="296">
        <v>8375</v>
      </c>
    </row>
    <row r="18" spans="1:4">
      <c r="A18" s="297">
        <v>43262</v>
      </c>
      <c r="B18" s="298">
        <v>2.265E-2</v>
      </c>
      <c r="C18" s="296">
        <v>3095</v>
      </c>
      <c r="D18" s="296">
        <v>7411</v>
      </c>
    </row>
    <row r="19" spans="1:4">
      <c r="A19" s="297">
        <v>43263</v>
      </c>
      <c r="B19" s="298">
        <v>2.2700000000000001E-2</v>
      </c>
      <c r="C19" s="296">
        <v>3410</v>
      </c>
      <c r="D19" s="296">
        <v>7726</v>
      </c>
    </row>
    <row r="20" spans="1:4">
      <c r="A20" s="297">
        <v>43264</v>
      </c>
      <c r="B20" s="298">
        <v>2.2759999999999999E-2</v>
      </c>
      <c r="C20" s="296">
        <v>1774</v>
      </c>
      <c r="D20" s="296">
        <v>6540</v>
      </c>
    </row>
    <row r="21" spans="1:4">
      <c r="A21" s="297">
        <v>43265</v>
      </c>
      <c r="B21" s="298">
        <v>2.3300000000000001E-2</v>
      </c>
      <c r="C21" s="296">
        <v>3069</v>
      </c>
      <c r="D21" s="296">
        <v>7835</v>
      </c>
    </row>
    <row r="22" spans="1:4">
      <c r="A22" s="297">
        <v>43266</v>
      </c>
      <c r="B22" s="298">
        <v>2.3300000000000001E-2</v>
      </c>
      <c r="C22" s="296" t="s">
        <v>8</v>
      </c>
      <c r="D22" s="296">
        <v>7835</v>
      </c>
    </row>
    <row r="23" spans="1:4">
      <c r="A23" s="297">
        <v>43267</v>
      </c>
      <c r="B23" s="298">
        <v>2.3300000000000001E-2</v>
      </c>
      <c r="C23" s="296" t="s">
        <v>8</v>
      </c>
      <c r="D23" s="296">
        <v>7835</v>
      </c>
    </row>
    <row r="24" spans="1:4">
      <c r="A24" s="297">
        <v>43268</v>
      </c>
      <c r="B24" s="298">
        <v>2.3300000000000001E-2</v>
      </c>
      <c r="C24" s="296" t="s">
        <v>8</v>
      </c>
      <c r="D24" s="296">
        <v>7835</v>
      </c>
    </row>
    <row r="25" spans="1:4">
      <c r="A25" s="297">
        <v>43269</v>
      </c>
      <c r="B25" s="298">
        <v>2.316E-2</v>
      </c>
      <c r="C25" s="296">
        <v>6639</v>
      </c>
      <c r="D25" s="296">
        <v>10299</v>
      </c>
    </row>
    <row r="26" spans="1:4">
      <c r="A26" s="297">
        <v>43270</v>
      </c>
      <c r="B26" s="298">
        <v>2.2610000000000002E-2</v>
      </c>
      <c r="C26" s="296">
        <v>3932</v>
      </c>
      <c r="D26" s="296">
        <v>8792</v>
      </c>
    </row>
    <row r="27" spans="1:4">
      <c r="A27" s="297">
        <v>43271</v>
      </c>
      <c r="B27" s="298">
        <v>2.2550000000000001E-2</v>
      </c>
      <c r="C27" s="296">
        <v>3148</v>
      </c>
      <c r="D27" s="296">
        <v>8458</v>
      </c>
    </row>
    <row r="28" spans="1:4">
      <c r="A28" s="297">
        <v>43272</v>
      </c>
      <c r="B28" s="298">
        <v>2.2519999999999998E-2</v>
      </c>
      <c r="C28" s="296">
        <v>2962</v>
      </c>
      <c r="D28" s="296">
        <v>7242</v>
      </c>
    </row>
    <row r="29" spans="1:4">
      <c r="A29" s="297">
        <v>43273</v>
      </c>
      <c r="B29" s="298">
        <v>2.2519999999999998E-2</v>
      </c>
      <c r="C29" s="296">
        <v>2867</v>
      </c>
      <c r="D29" s="296">
        <v>7167</v>
      </c>
    </row>
    <row r="30" spans="1:4">
      <c r="A30" s="297">
        <v>43274</v>
      </c>
      <c r="B30" s="298">
        <v>2.2519999999999998E-2</v>
      </c>
      <c r="C30" s="296" t="s">
        <v>8</v>
      </c>
      <c r="D30" s="296">
        <v>7167</v>
      </c>
    </row>
    <row r="31" spans="1:4">
      <c r="A31" s="297">
        <v>43275</v>
      </c>
      <c r="B31" s="298">
        <v>2.2519999999999998E-2</v>
      </c>
      <c r="C31" s="296" t="s">
        <v>8</v>
      </c>
      <c r="D31" s="296">
        <v>7167</v>
      </c>
    </row>
    <row r="32" spans="1:4">
      <c r="A32" s="297">
        <v>43276</v>
      </c>
      <c r="B32" s="298">
        <v>2.2509999999999999E-2</v>
      </c>
      <c r="C32" s="296">
        <v>5691</v>
      </c>
      <c r="D32" s="296">
        <v>9876</v>
      </c>
    </row>
    <row r="33" spans="1:4">
      <c r="A33" s="297">
        <v>43277</v>
      </c>
      <c r="B33" s="298">
        <v>2.2519999999999998E-2</v>
      </c>
      <c r="C33" s="296">
        <v>5992</v>
      </c>
      <c r="D33" s="296">
        <v>10177</v>
      </c>
    </row>
    <row r="34" spans="1:4">
      <c r="A34" s="297">
        <v>43278</v>
      </c>
      <c r="B34" s="298">
        <v>2.2519999999999998E-2</v>
      </c>
      <c r="C34" s="296">
        <v>4718</v>
      </c>
      <c r="D34" s="296">
        <v>8903</v>
      </c>
    </row>
    <row r="35" spans="1:4">
      <c r="A35" s="297">
        <v>43279</v>
      </c>
      <c r="B35" s="298">
        <v>2.2849999999999999E-2</v>
      </c>
      <c r="C35" s="296">
        <v>7696</v>
      </c>
      <c r="D35" s="296">
        <v>11331</v>
      </c>
    </row>
    <row r="36" spans="1:4">
      <c r="A36" s="297">
        <v>43280</v>
      </c>
      <c r="B36" s="298">
        <v>2.298E-2</v>
      </c>
      <c r="C36" s="296">
        <v>3806</v>
      </c>
      <c r="D36" s="296">
        <v>6931</v>
      </c>
    </row>
    <row r="37" spans="1:4">
      <c r="A37" s="297">
        <v>43281</v>
      </c>
      <c r="B37" s="298">
        <v>2.298E-2</v>
      </c>
      <c r="C37" s="296" t="s">
        <v>8</v>
      </c>
      <c r="D37" s="296">
        <v>6931</v>
      </c>
    </row>
    <row r="38" spans="1:4">
      <c r="A38" s="297">
        <v>43282</v>
      </c>
      <c r="B38" s="298">
        <v>2.298E-2</v>
      </c>
      <c r="C38" s="296" t="s">
        <v>8</v>
      </c>
      <c r="D38" s="296">
        <v>6931</v>
      </c>
    </row>
    <row r="39" spans="1:4">
      <c r="A39" s="297">
        <v>43283</v>
      </c>
      <c r="B39" s="298">
        <v>2.3099999999999999E-2</v>
      </c>
      <c r="C39" s="296">
        <v>3983</v>
      </c>
      <c r="D39" s="296">
        <v>8538</v>
      </c>
    </row>
    <row r="40" spans="1:4">
      <c r="A40" s="297">
        <v>43284</v>
      </c>
      <c r="B40" s="298">
        <v>2.2950000000000002E-2</v>
      </c>
      <c r="C40" s="296">
        <v>3579</v>
      </c>
      <c r="D40" s="296">
        <v>7484</v>
      </c>
    </row>
    <row r="41" spans="1:4">
      <c r="A41" s="297">
        <v>43285</v>
      </c>
      <c r="B41" s="298">
        <v>2.299E-2</v>
      </c>
      <c r="C41" s="296">
        <v>3189</v>
      </c>
      <c r="D41" s="296">
        <v>7094</v>
      </c>
    </row>
    <row r="42" spans="1:4">
      <c r="A42" s="297">
        <v>43286</v>
      </c>
      <c r="B42" s="298">
        <v>2.2960000000000001E-2</v>
      </c>
      <c r="C42" s="296">
        <v>5041</v>
      </c>
      <c r="D42" s="296">
        <v>8246</v>
      </c>
    </row>
    <row r="43" spans="1:4">
      <c r="A43" s="297">
        <v>43287</v>
      </c>
      <c r="B43" s="298">
        <v>2.3050000000000001E-2</v>
      </c>
      <c r="C43" s="296">
        <v>4794</v>
      </c>
      <c r="D43" s="296">
        <v>8649</v>
      </c>
    </row>
    <row r="44" spans="1:4">
      <c r="A44" s="297">
        <v>43288</v>
      </c>
      <c r="B44" s="298">
        <v>2.3050000000000001E-2</v>
      </c>
      <c r="C44" s="296" t="s">
        <v>8</v>
      </c>
      <c r="D44" s="296">
        <v>8649</v>
      </c>
    </row>
    <row r="45" spans="1:4">
      <c r="A45" s="297">
        <v>43289</v>
      </c>
      <c r="B45" s="298">
        <v>2.3050000000000001E-2</v>
      </c>
      <c r="C45" s="296" t="s">
        <v>8</v>
      </c>
      <c r="D45" s="296">
        <v>8649</v>
      </c>
    </row>
    <row r="46" spans="1:4">
      <c r="A46" s="297">
        <v>43290</v>
      </c>
      <c r="B46" s="298">
        <v>2.3460000000000002E-2</v>
      </c>
      <c r="C46" s="296">
        <v>3812</v>
      </c>
      <c r="D46" s="296">
        <v>6737</v>
      </c>
    </row>
    <row r="47" spans="1:4">
      <c r="A47" s="297">
        <v>43291</v>
      </c>
      <c r="B47" s="298">
        <v>2.35E-2</v>
      </c>
      <c r="C47" s="296">
        <v>4264</v>
      </c>
      <c r="D47" s="296">
        <v>7189</v>
      </c>
    </row>
    <row r="48" spans="1:4">
      <c r="A48" s="297">
        <v>43292</v>
      </c>
      <c r="B48" s="298">
        <v>2.3570000000000001E-2</v>
      </c>
      <c r="C48" s="296">
        <v>5199</v>
      </c>
      <c r="D48" s="296">
        <v>8424</v>
      </c>
    </row>
    <row r="49" spans="1:4">
      <c r="A49" s="297">
        <v>43293</v>
      </c>
      <c r="B49" s="298">
        <v>2.2689999999999998E-2</v>
      </c>
      <c r="C49" s="296">
        <v>3162</v>
      </c>
      <c r="D49" s="296">
        <v>6387</v>
      </c>
    </row>
    <row r="50" spans="1:4">
      <c r="A50" s="297">
        <v>43294</v>
      </c>
      <c r="B50" s="298">
        <v>2.2960000000000001E-2</v>
      </c>
      <c r="C50" s="296">
        <v>3682</v>
      </c>
      <c r="D50" s="296">
        <v>6667</v>
      </c>
    </row>
    <row r="51" spans="1:4">
      <c r="A51" s="297">
        <v>43295</v>
      </c>
      <c r="B51" s="298">
        <v>2.2960000000000001E-2</v>
      </c>
      <c r="C51" s="296" t="s">
        <v>8</v>
      </c>
      <c r="D51" s="296">
        <v>6667</v>
      </c>
    </row>
    <row r="52" spans="1:4">
      <c r="A52" s="297">
        <v>43296</v>
      </c>
      <c r="B52" s="298">
        <v>2.2960000000000001E-2</v>
      </c>
      <c r="C52" s="296" t="s">
        <v>8</v>
      </c>
      <c r="D52" s="296">
        <v>6667</v>
      </c>
    </row>
    <row r="53" spans="1:4">
      <c r="A53" s="297">
        <v>43297</v>
      </c>
      <c r="B53" s="298">
        <v>2.274E-2</v>
      </c>
      <c r="C53" s="296">
        <v>4070</v>
      </c>
      <c r="D53" s="296">
        <v>6405</v>
      </c>
    </row>
    <row r="54" spans="1:4">
      <c r="A54" s="297">
        <v>43298</v>
      </c>
      <c r="B54" s="298">
        <v>2.2929999999999999E-2</v>
      </c>
      <c r="C54" s="296">
        <v>4466</v>
      </c>
      <c r="D54" s="296">
        <v>6801</v>
      </c>
    </row>
    <row r="55" spans="1:4">
      <c r="A55" s="297">
        <v>43299</v>
      </c>
      <c r="B55" s="298">
        <v>2.2700000000000001E-2</v>
      </c>
      <c r="C55" s="296">
        <v>3223</v>
      </c>
      <c r="D55" s="296">
        <v>5558</v>
      </c>
    </row>
    <row r="56" spans="1:4">
      <c r="A56" s="297">
        <v>43300</v>
      </c>
      <c r="B56" s="298">
        <v>2.2769999999999999E-2</v>
      </c>
      <c r="C56" s="296">
        <v>4646</v>
      </c>
      <c r="D56" s="296">
        <v>7381</v>
      </c>
    </row>
    <row r="57" spans="1:4">
      <c r="A57" s="297">
        <v>43301</v>
      </c>
      <c r="B57" s="298">
        <v>2.298E-2</v>
      </c>
      <c r="C57" s="296">
        <v>5324</v>
      </c>
      <c r="D57" s="296">
        <v>8059</v>
      </c>
    </row>
    <row r="58" spans="1:4">
      <c r="A58" s="297">
        <v>43302</v>
      </c>
      <c r="B58" s="298">
        <v>2.298E-2</v>
      </c>
      <c r="C58" s="296" t="s">
        <v>8</v>
      </c>
      <c r="D58" s="296">
        <v>8059</v>
      </c>
    </row>
    <row r="59" spans="1:4">
      <c r="A59" s="297">
        <v>43303</v>
      </c>
      <c r="B59" s="298">
        <v>2.298E-2</v>
      </c>
      <c r="C59" s="296" t="s">
        <v>8</v>
      </c>
      <c r="D59" s="296">
        <v>8059</v>
      </c>
    </row>
    <row r="60" spans="1:4">
      <c r="A60" s="297">
        <v>43304</v>
      </c>
      <c r="B60" s="298">
        <v>2.283E-2</v>
      </c>
      <c r="C60" s="296">
        <v>5079</v>
      </c>
      <c r="D60" s="296">
        <v>7854</v>
      </c>
    </row>
    <row r="61" spans="1:4">
      <c r="A61" s="297">
        <v>43305</v>
      </c>
      <c r="B61" s="298">
        <v>2.273E-2</v>
      </c>
      <c r="C61" s="296">
        <v>4572</v>
      </c>
      <c r="D61" s="296">
        <v>7347</v>
      </c>
    </row>
    <row r="62" spans="1:4">
      <c r="A62" s="297">
        <v>43306</v>
      </c>
      <c r="B62" s="298">
        <v>2.2669999999999999E-2</v>
      </c>
      <c r="C62" s="296">
        <v>3977</v>
      </c>
      <c r="D62" s="296">
        <v>6752</v>
      </c>
    </row>
    <row r="63" spans="1:4">
      <c r="A63" s="297">
        <v>43307</v>
      </c>
      <c r="B63" s="298">
        <v>2.2870000000000001E-2</v>
      </c>
      <c r="C63" s="296">
        <v>4974</v>
      </c>
      <c r="D63" s="296">
        <v>7499</v>
      </c>
    </row>
    <row r="64" spans="1:4">
      <c r="A64" s="297">
        <v>43308</v>
      </c>
      <c r="B64" s="298">
        <v>2.3300000000000001E-2</v>
      </c>
      <c r="C64" s="296">
        <v>4792</v>
      </c>
      <c r="D64" s="296">
        <v>7317</v>
      </c>
    </row>
    <row r="65" spans="1:4">
      <c r="A65" s="297">
        <v>43309</v>
      </c>
      <c r="B65" s="298">
        <v>2.3300000000000001E-2</v>
      </c>
      <c r="C65" s="296" t="s">
        <v>8</v>
      </c>
      <c r="D65" s="296">
        <v>7317</v>
      </c>
    </row>
    <row r="66" spans="1:4">
      <c r="A66" s="297">
        <v>43310</v>
      </c>
      <c r="B66" s="298">
        <v>2.3300000000000001E-2</v>
      </c>
      <c r="C66" s="296" t="s">
        <v>8</v>
      </c>
      <c r="D66" s="296">
        <v>7317</v>
      </c>
    </row>
    <row r="67" spans="1:4">
      <c r="A67" s="297">
        <v>43311</v>
      </c>
      <c r="B67" s="298">
        <v>2.3300000000000001E-2</v>
      </c>
      <c r="C67" s="296" t="s">
        <v>8</v>
      </c>
      <c r="D67" s="296">
        <v>7317</v>
      </c>
    </row>
    <row r="68" spans="1:4">
      <c r="A68" s="297">
        <v>43312</v>
      </c>
      <c r="B68" s="298">
        <v>2.3230000000000001E-2</v>
      </c>
      <c r="C68" s="296">
        <v>4130</v>
      </c>
      <c r="D68" s="296">
        <v>6805</v>
      </c>
    </row>
    <row r="69" spans="1:4">
      <c r="A69" s="297">
        <v>43313</v>
      </c>
      <c r="B69" s="298">
        <v>2.3089999999999999E-2</v>
      </c>
      <c r="C69" s="296">
        <v>3901</v>
      </c>
      <c r="D69" s="296">
        <v>7311</v>
      </c>
    </row>
    <row r="70" spans="1:4">
      <c r="A70" s="297">
        <v>43314</v>
      </c>
      <c r="B70" s="298">
        <v>2.2759999999999999E-2</v>
      </c>
      <c r="C70" s="296">
        <v>4170</v>
      </c>
      <c r="D70" s="296">
        <v>7430</v>
      </c>
    </row>
    <row r="71" spans="1:4">
      <c r="A71" s="297">
        <v>43315</v>
      </c>
      <c r="B71" s="298">
        <v>2.2749999999999999E-2</v>
      </c>
      <c r="C71" s="296">
        <v>3763</v>
      </c>
      <c r="D71" s="296">
        <v>7033</v>
      </c>
    </row>
    <row r="72" spans="1:4">
      <c r="A72" s="297">
        <v>43316</v>
      </c>
      <c r="B72" s="298">
        <v>2.2749999999999999E-2</v>
      </c>
      <c r="C72" s="296" t="s">
        <v>8</v>
      </c>
      <c r="D72" s="296">
        <v>7033</v>
      </c>
    </row>
    <row r="73" spans="1:4">
      <c r="A73" s="297">
        <v>43317</v>
      </c>
      <c r="B73" s="298">
        <v>2.2749999999999999E-2</v>
      </c>
      <c r="C73" s="296" t="s">
        <v>8</v>
      </c>
      <c r="D73" s="296">
        <v>7033</v>
      </c>
    </row>
    <row r="74" spans="1:4">
      <c r="A74" s="297">
        <v>43318</v>
      </c>
      <c r="B74" s="298">
        <v>2.266E-2</v>
      </c>
      <c r="C74" s="296">
        <v>4942</v>
      </c>
      <c r="D74" s="296">
        <v>7812</v>
      </c>
    </row>
    <row r="75" spans="1:4">
      <c r="A75" s="297">
        <v>43319</v>
      </c>
      <c r="B75" s="298">
        <v>2.265E-2</v>
      </c>
      <c r="C75" s="296">
        <v>3712</v>
      </c>
      <c r="D75" s="296">
        <v>6592</v>
      </c>
    </row>
    <row r="76" spans="1:4">
      <c r="A76" s="297">
        <v>43320</v>
      </c>
      <c r="B76" s="298">
        <v>2.2700000000000001E-2</v>
      </c>
      <c r="C76" s="296">
        <v>3703</v>
      </c>
      <c r="D76" s="296">
        <v>6583</v>
      </c>
    </row>
    <row r="77" spans="1:4">
      <c r="A77" s="297">
        <v>43321</v>
      </c>
      <c r="B77" s="298">
        <v>2.2710000000000001E-2</v>
      </c>
      <c r="C77" s="296">
        <v>4657</v>
      </c>
      <c r="D77" s="296">
        <v>7387</v>
      </c>
    </row>
    <row r="78" spans="1:4">
      <c r="A78" s="297">
        <v>43322</v>
      </c>
      <c r="B78" s="298">
        <v>2.265E-2</v>
      </c>
      <c r="C78" s="296">
        <v>3808</v>
      </c>
      <c r="D78" s="296">
        <v>6538</v>
      </c>
    </row>
    <row r="79" spans="1:4">
      <c r="A79" s="297">
        <v>43323</v>
      </c>
      <c r="B79" s="298">
        <v>2.265E-2</v>
      </c>
      <c r="C79" s="296" t="s">
        <v>8</v>
      </c>
      <c r="D79" s="296">
        <v>6538</v>
      </c>
    </row>
    <row r="80" spans="1:4">
      <c r="A80" s="297">
        <v>43324</v>
      </c>
      <c r="B80" s="298">
        <v>2.265E-2</v>
      </c>
      <c r="C80" s="296" t="s">
        <v>8</v>
      </c>
      <c r="D80" s="296">
        <v>6538</v>
      </c>
    </row>
    <row r="81" spans="1:4">
      <c r="A81" s="297">
        <v>43325</v>
      </c>
      <c r="B81" s="298">
        <v>2.2790000000000001E-2</v>
      </c>
      <c r="C81" s="296">
        <v>2736</v>
      </c>
      <c r="D81" s="296">
        <v>5466</v>
      </c>
    </row>
    <row r="82" spans="1:4">
      <c r="A82" s="297">
        <v>43326</v>
      </c>
      <c r="B82" s="298">
        <v>2.2790000000000001E-2</v>
      </c>
      <c r="C82" s="296" t="s">
        <v>8</v>
      </c>
      <c r="D82" s="296">
        <v>5466</v>
      </c>
    </row>
    <row r="83" spans="1:4">
      <c r="A83" s="297">
        <v>43327</v>
      </c>
      <c r="B83" s="298">
        <v>2.3189999999999999E-2</v>
      </c>
      <c r="C83" s="296">
        <v>3807</v>
      </c>
      <c r="D83" s="296">
        <v>6302</v>
      </c>
    </row>
    <row r="84" spans="1:4">
      <c r="A84" s="297">
        <v>43328</v>
      </c>
      <c r="B84" s="298">
        <v>2.2970000000000001E-2</v>
      </c>
      <c r="C84" s="296">
        <v>2117</v>
      </c>
      <c r="D84" s="296">
        <v>5972</v>
      </c>
    </row>
    <row r="85" spans="1:4">
      <c r="A85" s="297">
        <v>43329</v>
      </c>
      <c r="B85" s="298">
        <v>2.358E-2</v>
      </c>
      <c r="C85" s="296">
        <v>1197</v>
      </c>
      <c r="D85" s="296">
        <v>5867</v>
      </c>
    </row>
    <row r="86" spans="1:4">
      <c r="A86" s="297">
        <v>43330</v>
      </c>
      <c r="B86" s="298">
        <v>2.358E-2</v>
      </c>
      <c r="C86" s="296" t="s">
        <v>8</v>
      </c>
      <c r="D86" s="296">
        <v>5867</v>
      </c>
    </row>
    <row r="87" spans="1:4">
      <c r="A87" s="297">
        <v>43331</v>
      </c>
      <c r="B87" s="298">
        <v>2.358E-2</v>
      </c>
      <c r="C87" s="296" t="s">
        <v>8</v>
      </c>
      <c r="D87" s="296">
        <v>5867</v>
      </c>
    </row>
    <row r="88" spans="1:4">
      <c r="A88" s="297">
        <v>43332</v>
      </c>
      <c r="B88" s="298">
        <v>2.358E-2</v>
      </c>
      <c r="C88" s="296" t="s">
        <v>8</v>
      </c>
      <c r="D88" s="296">
        <v>5867</v>
      </c>
    </row>
    <row r="89" spans="1:4">
      <c r="A89" s="297">
        <v>43333</v>
      </c>
      <c r="B89" s="298">
        <v>2.358E-2</v>
      </c>
      <c r="C89" s="296" t="s">
        <v>8</v>
      </c>
      <c r="D89" s="296">
        <v>5867</v>
      </c>
    </row>
    <row r="90" spans="1:4">
      <c r="A90" s="297">
        <v>43334</v>
      </c>
      <c r="B90" s="298">
        <v>2.358E-2</v>
      </c>
      <c r="C90" s="296" t="s">
        <v>8</v>
      </c>
      <c r="D90" s="296">
        <v>5867</v>
      </c>
    </row>
    <row r="91" spans="1:4">
      <c r="A91" s="297">
        <v>43335</v>
      </c>
      <c r="B91" s="298">
        <v>2.358E-2</v>
      </c>
      <c r="C91" s="296" t="s">
        <v>8</v>
      </c>
      <c r="D91" s="296">
        <v>5867</v>
      </c>
    </row>
    <row r="92" spans="1:4">
      <c r="A92" s="297">
        <v>43336</v>
      </c>
      <c r="B92" s="298">
        <v>2.3109999999999999E-2</v>
      </c>
      <c r="C92" s="296">
        <v>1727</v>
      </c>
      <c r="D92" s="296">
        <v>6397</v>
      </c>
    </row>
    <row r="93" spans="1:4">
      <c r="A93" s="297">
        <v>43337</v>
      </c>
      <c r="B93" s="298">
        <v>2.3109999999999999E-2</v>
      </c>
      <c r="C93" s="296" t="s">
        <v>8</v>
      </c>
      <c r="D93" s="296">
        <v>6397</v>
      </c>
    </row>
    <row r="94" spans="1:4">
      <c r="A94" s="297">
        <v>43338</v>
      </c>
      <c r="B94" s="298">
        <v>2.3109999999999999E-2</v>
      </c>
      <c r="C94" s="296" t="s">
        <v>8</v>
      </c>
      <c r="D94" s="296">
        <v>6397</v>
      </c>
    </row>
    <row r="95" spans="1:4">
      <c r="A95" s="297">
        <v>43339</v>
      </c>
      <c r="B95" s="298">
        <v>2.316E-2</v>
      </c>
      <c r="C95" s="296">
        <v>2663</v>
      </c>
      <c r="D95" s="296">
        <v>6718</v>
      </c>
    </row>
    <row r="96" spans="1:4">
      <c r="A96" s="297">
        <v>43340</v>
      </c>
      <c r="B96" s="298">
        <v>2.299E-2</v>
      </c>
      <c r="C96" s="296">
        <v>2354</v>
      </c>
      <c r="D96" s="296">
        <v>6409</v>
      </c>
    </row>
    <row r="97" spans="1:4">
      <c r="A97" s="297">
        <v>43341</v>
      </c>
      <c r="B97" s="298">
        <v>2.2880000000000001E-2</v>
      </c>
      <c r="C97" s="296">
        <v>1835</v>
      </c>
      <c r="D97" s="296">
        <v>5880</v>
      </c>
    </row>
    <row r="98" spans="1:4">
      <c r="A98" s="297">
        <v>43342</v>
      </c>
      <c r="B98" s="298">
        <v>2.2839999999999999E-2</v>
      </c>
      <c r="C98" s="296">
        <v>1931</v>
      </c>
      <c r="D98" s="296">
        <v>5476</v>
      </c>
    </row>
    <row r="99" spans="1:4">
      <c r="A99" s="297">
        <v>43343</v>
      </c>
      <c r="B99" s="298">
        <v>2.2939999999999999E-2</v>
      </c>
      <c r="C99" s="296">
        <v>2096</v>
      </c>
      <c r="D99" s="296">
        <v>5151</v>
      </c>
    </row>
    <row r="100" spans="1:4">
      <c r="A100" s="297">
        <v>43344</v>
      </c>
      <c r="B100" s="298">
        <v>2.2939999999999999E-2</v>
      </c>
      <c r="C100" s="296" t="s">
        <v>8</v>
      </c>
      <c r="D100" s="296">
        <v>5151</v>
      </c>
    </row>
    <row r="101" spans="1:4">
      <c r="A101" s="297">
        <v>43345</v>
      </c>
      <c r="B101" s="298">
        <v>2.2939999999999999E-2</v>
      </c>
      <c r="C101" s="296" t="s">
        <v>8</v>
      </c>
      <c r="D101" s="296">
        <v>5151</v>
      </c>
    </row>
    <row r="102" spans="1:4">
      <c r="A102" s="297">
        <v>43346</v>
      </c>
      <c r="B102" s="298">
        <v>2.2689999999999998E-2</v>
      </c>
      <c r="C102" s="296">
        <v>3191</v>
      </c>
      <c r="D102" s="296">
        <v>6606</v>
      </c>
    </row>
    <row r="103" spans="1:4">
      <c r="A103" s="297">
        <v>43347</v>
      </c>
      <c r="B103" s="298">
        <v>2.2689999999999998E-2</v>
      </c>
      <c r="C103" s="296">
        <v>3156</v>
      </c>
      <c r="D103" s="296">
        <v>6571</v>
      </c>
    </row>
    <row r="104" spans="1:4">
      <c r="A104" s="297">
        <v>43348</v>
      </c>
      <c r="B104" s="298">
        <v>2.256E-2</v>
      </c>
      <c r="C104" s="296">
        <v>1959</v>
      </c>
      <c r="D104" s="296">
        <v>5374</v>
      </c>
    </row>
    <row r="105" spans="1:4">
      <c r="A105" s="297">
        <v>43349</v>
      </c>
      <c r="B105" s="298">
        <v>2.2499999999999999E-2</v>
      </c>
      <c r="C105" s="296">
        <v>2439</v>
      </c>
      <c r="D105" s="296">
        <v>5854</v>
      </c>
    </row>
    <row r="106" spans="1:4">
      <c r="A106" s="297">
        <v>43350</v>
      </c>
      <c r="B106" s="298">
        <v>2.256E-2</v>
      </c>
      <c r="C106" s="296">
        <v>2193</v>
      </c>
      <c r="D106" s="296">
        <v>5608</v>
      </c>
    </row>
    <row r="107" spans="1:4">
      <c r="A107" s="297">
        <v>43351</v>
      </c>
      <c r="B107" s="298">
        <v>2.256E-2</v>
      </c>
      <c r="C107" s="296" t="s">
        <v>8</v>
      </c>
      <c r="D107" s="296">
        <v>5608</v>
      </c>
    </row>
    <row r="108" spans="1:4">
      <c r="A108" s="297">
        <v>43352</v>
      </c>
      <c r="B108" s="298">
        <v>2.256E-2</v>
      </c>
      <c r="C108" s="296" t="s">
        <v>8</v>
      </c>
      <c r="D108" s="296">
        <v>5608</v>
      </c>
    </row>
    <row r="109" spans="1:4">
      <c r="A109" s="297">
        <v>43353</v>
      </c>
      <c r="B109" s="298">
        <v>2.257E-2</v>
      </c>
      <c r="C109" s="296">
        <v>1771</v>
      </c>
      <c r="D109" s="296">
        <v>5386</v>
      </c>
    </row>
    <row r="110" spans="1:4">
      <c r="A110" s="297">
        <v>43354</v>
      </c>
      <c r="B110" s="298">
        <v>2.257E-2</v>
      </c>
      <c r="C110" s="296" t="s">
        <v>8</v>
      </c>
      <c r="D110" s="296">
        <v>5386</v>
      </c>
    </row>
    <row r="111" spans="1:4">
      <c r="A111" s="297">
        <v>43355</v>
      </c>
      <c r="B111" s="298">
        <v>2.2579999999999999E-2</v>
      </c>
      <c r="C111" s="296">
        <v>3991</v>
      </c>
      <c r="D111" s="296">
        <v>7616</v>
      </c>
    </row>
    <row r="112" spans="1:4">
      <c r="A112" s="297">
        <v>43356</v>
      </c>
      <c r="B112" s="298">
        <v>2.2519999999999998E-2</v>
      </c>
      <c r="C112" s="296">
        <v>5217</v>
      </c>
      <c r="D112" s="296">
        <v>8542</v>
      </c>
    </row>
    <row r="113" spans="1:4">
      <c r="A113" s="297">
        <v>43357</v>
      </c>
      <c r="B113" s="298">
        <v>2.257E-2</v>
      </c>
      <c r="C113" s="296">
        <v>5589</v>
      </c>
      <c r="D113" s="296">
        <v>8909</v>
      </c>
    </row>
    <row r="114" spans="1:4">
      <c r="A114" s="297">
        <v>43358</v>
      </c>
      <c r="B114" s="298">
        <v>2.257E-2</v>
      </c>
      <c r="C114" s="296" t="s">
        <v>8</v>
      </c>
      <c r="D114" s="296">
        <v>8909</v>
      </c>
    </row>
    <row r="115" spans="1:4">
      <c r="A115" s="297">
        <v>43359</v>
      </c>
      <c r="B115" s="298">
        <v>2.257E-2</v>
      </c>
      <c r="C115" s="296" t="s">
        <v>8</v>
      </c>
      <c r="D115" s="296">
        <v>8909</v>
      </c>
    </row>
    <row r="116" spans="1:4">
      <c r="A116" s="297">
        <v>43360</v>
      </c>
      <c r="B116" s="298">
        <v>2.2579999999999999E-2</v>
      </c>
      <c r="C116" s="296">
        <v>3726</v>
      </c>
      <c r="D116" s="296">
        <v>7046</v>
      </c>
    </row>
    <row r="117" spans="1:4">
      <c r="A117" s="297">
        <v>43361</v>
      </c>
      <c r="B117" s="298">
        <v>2.266E-2</v>
      </c>
      <c r="C117" s="296">
        <v>4475</v>
      </c>
      <c r="D117" s="296">
        <v>7795</v>
      </c>
    </row>
    <row r="118" spans="1:4">
      <c r="A118" s="297">
        <v>43362</v>
      </c>
      <c r="B118" s="298">
        <v>2.2509999999999999E-2</v>
      </c>
      <c r="C118" s="296">
        <v>3077</v>
      </c>
      <c r="D118" s="296">
        <v>6267</v>
      </c>
    </row>
    <row r="119" spans="1:4">
      <c r="A119" s="297">
        <v>43363</v>
      </c>
      <c r="B119" s="298">
        <v>2.2519999999999998E-2</v>
      </c>
      <c r="C119" s="296">
        <v>1598</v>
      </c>
      <c r="D119" s="296">
        <v>5488</v>
      </c>
    </row>
    <row r="120" spans="1:4">
      <c r="A120" s="297">
        <v>43364</v>
      </c>
      <c r="B120" s="298">
        <v>2.2620000000000001E-2</v>
      </c>
      <c r="C120" s="296">
        <v>1889</v>
      </c>
      <c r="D120" s="296">
        <v>5779</v>
      </c>
    </row>
    <row r="121" spans="1:4">
      <c r="A121" s="297">
        <v>43365</v>
      </c>
      <c r="B121" s="298">
        <v>2.2620000000000001E-2</v>
      </c>
      <c r="C121" s="296" t="s">
        <v>8</v>
      </c>
      <c r="D121" s="296">
        <v>5779</v>
      </c>
    </row>
    <row r="122" spans="1:4">
      <c r="A122" s="297">
        <v>43366</v>
      </c>
      <c r="B122" s="298">
        <v>2.2620000000000001E-2</v>
      </c>
      <c r="C122" s="296" t="s">
        <v>8</v>
      </c>
      <c r="D122" s="296">
        <v>5779</v>
      </c>
    </row>
    <row r="123" spans="1:4">
      <c r="A123" s="297">
        <v>43367</v>
      </c>
      <c r="B123" s="298">
        <v>2.2689999999999998E-2</v>
      </c>
      <c r="C123" s="296">
        <v>2694</v>
      </c>
      <c r="D123" s="296">
        <v>6474</v>
      </c>
    </row>
    <row r="124" spans="1:4">
      <c r="A124" s="297">
        <v>43368</v>
      </c>
      <c r="B124" s="298">
        <v>2.2620000000000001E-2</v>
      </c>
      <c r="C124" s="296">
        <v>2801</v>
      </c>
      <c r="D124" s="296">
        <v>6581</v>
      </c>
    </row>
    <row r="125" spans="1:4">
      <c r="A125" s="297">
        <v>43369</v>
      </c>
      <c r="B125" s="298">
        <v>2.2769999999999999E-2</v>
      </c>
      <c r="C125" s="296">
        <v>4289</v>
      </c>
      <c r="D125" s="296">
        <v>8069</v>
      </c>
    </row>
    <row r="126" spans="1:4">
      <c r="A126" s="297">
        <v>43370</v>
      </c>
      <c r="B126" s="298">
        <v>2.2689999999999998E-2</v>
      </c>
      <c r="C126" s="296">
        <v>3319</v>
      </c>
      <c r="D126" s="296">
        <v>6649</v>
      </c>
    </row>
    <row r="127" spans="1:4">
      <c r="A127" s="297">
        <v>43371</v>
      </c>
      <c r="B127" s="298">
        <v>2.2970000000000001E-2</v>
      </c>
      <c r="C127" s="296">
        <v>2736</v>
      </c>
      <c r="D127" s="296">
        <v>6476</v>
      </c>
    </row>
    <row r="128" spans="1:4">
      <c r="A128" s="297">
        <v>43372</v>
      </c>
      <c r="B128" s="298">
        <v>2.2970000000000001E-2</v>
      </c>
      <c r="C128" s="296" t="s">
        <v>8</v>
      </c>
      <c r="D128" s="296">
        <v>6476</v>
      </c>
    </row>
    <row r="129" spans="1:4">
      <c r="A129" s="297">
        <v>43373</v>
      </c>
      <c r="B129" s="298">
        <v>2.2970000000000001E-2</v>
      </c>
      <c r="C129" s="296" t="s">
        <v>8</v>
      </c>
      <c r="D129" s="296">
        <v>6476</v>
      </c>
    </row>
    <row r="130" spans="1:4">
      <c r="A130" s="297">
        <v>43374</v>
      </c>
      <c r="B130" s="298">
        <v>2.2620000000000001E-2</v>
      </c>
      <c r="C130" s="296">
        <v>3445</v>
      </c>
      <c r="D130" s="296">
        <v>7435</v>
      </c>
    </row>
    <row r="131" spans="1:4">
      <c r="A131" s="297">
        <v>43375</v>
      </c>
      <c r="B131" s="298">
        <v>2.2630000000000001E-2</v>
      </c>
      <c r="C131" s="296">
        <v>3802</v>
      </c>
      <c r="D131" s="296">
        <v>7142</v>
      </c>
    </row>
    <row r="132" spans="1:4">
      <c r="A132" s="297">
        <v>43376</v>
      </c>
      <c r="B132" s="298">
        <v>2.2610000000000002E-2</v>
      </c>
      <c r="C132" s="296">
        <v>3988</v>
      </c>
      <c r="D132" s="296">
        <v>7328</v>
      </c>
    </row>
    <row r="133" spans="1:4">
      <c r="A133" s="297">
        <v>43377</v>
      </c>
      <c r="B133" s="298">
        <v>2.2589999999999999E-2</v>
      </c>
      <c r="C133" s="296">
        <v>3823</v>
      </c>
      <c r="D133" s="296">
        <v>6963</v>
      </c>
    </row>
    <row r="134" spans="1:4">
      <c r="A134" s="297">
        <v>43378</v>
      </c>
      <c r="B134" s="298">
        <v>2.2589999999999999E-2</v>
      </c>
      <c r="C134" s="296">
        <v>3390</v>
      </c>
      <c r="D134" s="296">
        <v>6410</v>
      </c>
    </row>
    <row r="135" spans="1:4">
      <c r="A135" s="297">
        <v>43379</v>
      </c>
      <c r="B135" s="298">
        <v>2.2589999999999999E-2</v>
      </c>
      <c r="C135" s="296" t="s">
        <v>8</v>
      </c>
      <c r="D135" s="296">
        <v>6410</v>
      </c>
    </row>
    <row r="136" spans="1:4">
      <c r="A136" s="297">
        <v>43380</v>
      </c>
      <c r="B136" s="298">
        <v>2.2589999999999999E-2</v>
      </c>
      <c r="C136" s="296" t="s">
        <v>8</v>
      </c>
      <c r="D136" s="296">
        <v>6410</v>
      </c>
    </row>
    <row r="137" spans="1:4">
      <c r="A137" s="297">
        <v>43381</v>
      </c>
      <c r="B137" s="298">
        <v>2.2550000000000001E-2</v>
      </c>
      <c r="C137" s="296">
        <v>2664</v>
      </c>
      <c r="D137" s="296">
        <v>5374</v>
      </c>
    </row>
    <row r="138" spans="1:4">
      <c r="A138" s="297">
        <v>43382</v>
      </c>
      <c r="B138" s="298">
        <v>2.2540000000000001E-2</v>
      </c>
      <c r="C138" s="296">
        <v>2758</v>
      </c>
      <c r="D138" s="296">
        <v>5888</v>
      </c>
    </row>
    <row r="139" spans="1:4">
      <c r="A139" s="297">
        <v>43383</v>
      </c>
      <c r="B139" s="298">
        <v>2.2589999999999999E-2</v>
      </c>
      <c r="C139" s="296">
        <v>7091</v>
      </c>
      <c r="D139" s="296">
        <v>10221</v>
      </c>
    </row>
    <row r="140" spans="1:4">
      <c r="A140" s="297">
        <v>43384</v>
      </c>
      <c r="B140" s="298">
        <v>2.2970000000000001E-2</v>
      </c>
      <c r="C140" s="296">
        <v>5875</v>
      </c>
      <c r="D140" s="296">
        <v>9105</v>
      </c>
    </row>
    <row r="141" spans="1:4">
      <c r="A141" s="297">
        <v>43385</v>
      </c>
      <c r="B141" s="298">
        <v>2.3040000000000001E-2</v>
      </c>
      <c r="C141" s="296">
        <v>5962</v>
      </c>
      <c r="D141" s="296">
        <v>9192</v>
      </c>
    </row>
    <row r="142" spans="1:4">
      <c r="A142" s="297">
        <v>43386</v>
      </c>
      <c r="B142" s="298">
        <v>2.3040000000000001E-2</v>
      </c>
      <c r="C142" s="296" t="s">
        <v>8</v>
      </c>
      <c r="D142" s="296">
        <v>9192</v>
      </c>
    </row>
    <row r="143" spans="1:4">
      <c r="A143" s="297">
        <v>43387</v>
      </c>
      <c r="B143" s="298">
        <v>2.3040000000000001E-2</v>
      </c>
      <c r="C143" s="296" t="s">
        <v>8</v>
      </c>
      <c r="D143" s="296">
        <v>9192</v>
      </c>
    </row>
    <row r="144" spans="1:4">
      <c r="A144" s="297">
        <v>43388</v>
      </c>
      <c r="B144" s="298">
        <v>2.3050000000000001E-2</v>
      </c>
      <c r="C144" s="296">
        <v>3838</v>
      </c>
      <c r="D144" s="296">
        <v>6868</v>
      </c>
    </row>
    <row r="145" spans="1:4">
      <c r="A145" s="297">
        <v>43389</v>
      </c>
      <c r="B145" s="298">
        <v>2.3019999999999999E-2</v>
      </c>
      <c r="C145" s="296">
        <v>4248</v>
      </c>
      <c r="D145" s="296">
        <v>7828</v>
      </c>
    </row>
    <row r="146" spans="1:4">
      <c r="A146" s="297">
        <v>43390</v>
      </c>
      <c r="B146" s="298">
        <v>2.2950000000000002E-2</v>
      </c>
      <c r="C146" s="296">
        <v>4467</v>
      </c>
      <c r="D146" s="296">
        <v>8047</v>
      </c>
    </row>
    <row r="147" spans="1:4">
      <c r="A147" s="297">
        <v>43391</v>
      </c>
      <c r="B147" s="298">
        <v>2.2870000000000001E-2</v>
      </c>
      <c r="C147" s="296">
        <v>4779</v>
      </c>
      <c r="D147" s="296">
        <v>8459</v>
      </c>
    </row>
    <row r="148" spans="1:4">
      <c r="A148" s="297">
        <v>43392</v>
      </c>
      <c r="B148" s="298">
        <v>2.2749999999999999E-2</v>
      </c>
      <c r="C148" s="296">
        <v>4580</v>
      </c>
      <c r="D148" s="296">
        <v>8250</v>
      </c>
    </row>
    <row r="149" spans="1:4">
      <c r="A149" s="297">
        <v>43393</v>
      </c>
      <c r="B149" s="298">
        <v>2.2749999999999999E-2</v>
      </c>
      <c r="C149" s="296" t="s">
        <v>8</v>
      </c>
      <c r="D149" s="296">
        <v>8250</v>
      </c>
    </row>
    <row r="150" spans="1:4">
      <c r="A150" s="297">
        <v>43394</v>
      </c>
      <c r="B150" s="298">
        <v>2.2749999999999999E-2</v>
      </c>
      <c r="C150" s="296" t="s">
        <v>8</v>
      </c>
      <c r="D150" s="296">
        <v>8250</v>
      </c>
    </row>
    <row r="151" spans="1:4">
      <c r="A151" s="297">
        <v>43395</v>
      </c>
      <c r="B151" s="298">
        <v>2.2540000000000001E-2</v>
      </c>
      <c r="C151" s="296">
        <v>4550</v>
      </c>
      <c r="D151" s="296">
        <v>8255</v>
      </c>
    </row>
    <row r="152" spans="1:4">
      <c r="A152" s="297">
        <v>43396</v>
      </c>
      <c r="B152" s="298">
        <v>2.2519999999999998E-2</v>
      </c>
      <c r="C152" s="296">
        <v>3030</v>
      </c>
      <c r="D152" s="296">
        <v>7385</v>
      </c>
    </row>
    <row r="153" spans="1:4">
      <c r="A153" s="297">
        <v>43397</v>
      </c>
      <c r="B153" s="298">
        <v>2.2499999999999999E-2</v>
      </c>
      <c r="C153" s="296">
        <v>2656</v>
      </c>
      <c r="D153" s="296">
        <v>7011</v>
      </c>
    </row>
    <row r="154" spans="1:4">
      <c r="A154" s="297">
        <v>43398</v>
      </c>
      <c r="B154" s="298">
        <v>2.2610000000000002E-2</v>
      </c>
      <c r="C154" s="296">
        <v>2489</v>
      </c>
      <c r="D154" s="296">
        <v>6944</v>
      </c>
    </row>
    <row r="155" spans="1:4">
      <c r="A155" s="297">
        <v>43399</v>
      </c>
      <c r="B155" s="298">
        <v>2.2509999999999999E-2</v>
      </c>
      <c r="C155" s="296">
        <v>2365</v>
      </c>
      <c r="D155" s="296">
        <v>6820</v>
      </c>
    </row>
    <row r="156" spans="1:4">
      <c r="A156" s="297">
        <v>43400</v>
      </c>
      <c r="B156" s="298">
        <v>2.2509999999999999E-2</v>
      </c>
      <c r="C156" s="296" t="s">
        <v>8</v>
      </c>
      <c r="D156" s="296">
        <v>6820</v>
      </c>
    </row>
    <row r="157" spans="1:4">
      <c r="A157" s="297">
        <v>43401</v>
      </c>
      <c r="B157" s="298">
        <v>2.2509999999999999E-2</v>
      </c>
      <c r="C157" s="296" t="s">
        <v>8</v>
      </c>
      <c r="D157" s="296">
        <v>6820</v>
      </c>
    </row>
    <row r="158" spans="1:4">
      <c r="A158" s="297">
        <v>43402</v>
      </c>
      <c r="B158" s="298">
        <v>2.2579999999999999E-2</v>
      </c>
      <c r="C158" s="296">
        <v>2486</v>
      </c>
      <c r="D158" s="296">
        <v>6941</v>
      </c>
    </row>
    <row r="159" spans="1:4">
      <c r="A159" s="297">
        <v>43403</v>
      </c>
      <c r="B159" s="298">
        <v>2.3009999999999999E-2</v>
      </c>
      <c r="C159" s="296">
        <v>4612</v>
      </c>
      <c r="D159" s="296">
        <v>8732</v>
      </c>
    </row>
    <row r="160" spans="1:4">
      <c r="A160" s="297">
        <v>43404</v>
      </c>
      <c r="B160" s="298">
        <v>2.324E-2</v>
      </c>
      <c r="C160" s="296">
        <v>3849</v>
      </c>
      <c r="D160" s="296">
        <v>6069</v>
      </c>
    </row>
    <row r="161" spans="1:4">
      <c r="A161" s="297">
        <v>43405</v>
      </c>
      <c r="B161" s="298">
        <v>2.2849999999999999E-2</v>
      </c>
      <c r="C161" s="296">
        <v>3474</v>
      </c>
      <c r="D161" s="296">
        <v>6694</v>
      </c>
    </row>
    <row r="162" spans="1:4">
      <c r="A162" s="297">
        <v>43406</v>
      </c>
      <c r="B162" s="298">
        <v>2.2880000000000001E-2</v>
      </c>
      <c r="C162" s="296">
        <v>3973</v>
      </c>
      <c r="D162" s="296">
        <v>7238</v>
      </c>
    </row>
    <row r="163" spans="1:4">
      <c r="A163" s="297">
        <v>43407</v>
      </c>
      <c r="B163" s="298">
        <v>2.2880000000000001E-2</v>
      </c>
      <c r="C163" s="296" t="s">
        <v>8</v>
      </c>
      <c r="D163" s="296">
        <v>7238</v>
      </c>
    </row>
    <row r="164" spans="1:4">
      <c r="A164" s="297">
        <v>43408</v>
      </c>
      <c r="B164" s="298">
        <v>2.2880000000000001E-2</v>
      </c>
      <c r="C164" s="296" t="s">
        <v>8</v>
      </c>
      <c r="D164" s="296">
        <v>7238</v>
      </c>
    </row>
    <row r="165" spans="1:4">
      <c r="A165" s="297">
        <v>43409</v>
      </c>
      <c r="B165" s="298">
        <v>2.2800000000000001E-2</v>
      </c>
      <c r="C165" s="296">
        <v>4442</v>
      </c>
      <c r="D165" s="296">
        <v>7707</v>
      </c>
    </row>
    <row r="166" spans="1:4">
      <c r="A166" s="297">
        <v>43410</v>
      </c>
      <c r="B166" s="298">
        <v>2.2800000000000001E-2</v>
      </c>
      <c r="C166" s="296" t="s">
        <v>8</v>
      </c>
      <c r="D166" s="296">
        <v>7707</v>
      </c>
    </row>
    <row r="167" spans="1:4">
      <c r="A167" s="297">
        <v>43411</v>
      </c>
      <c r="B167" s="298">
        <v>2.2859999999999998E-2</v>
      </c>
      <c r="C167" s="296">
        <v>4137</v>
      </c>
      <c r="D167" s="296">
        <v>7392</v>
      </c>
    </row>
    <row r="168" spans="1:4">
      <c r="A168" s="297">
        <v>43412</v>
      </c>
      <c r="B168" s="298">
        <v>2.2769999999999999E-2</v>
      </c>
      <c r="C168" s="296">
        <v>3638</v>
      </c>
      <c r="D168" s="296">
        <v>7043</v>
      </c>
    </row>
    <row r="169" spans="1:4">
      <c r="A169" s="297">
        <v>43413</v>
      </c>
      <c r="B169" s="298">
        <v>2.29E-2</v>
      </c>
      <c r="C169" s="296">
        <v>4050</v>
      </c>
      <c r="D169" s="296">
        <v>7460</v>
      </c>
    </row>
    <row r="170" spans="1:4">
      <c r="A170" s="297">
        <v>43414</v>
      </c>
      <c r="B170" s="298">
        <v>2.29E-2</v>
      </c>
      <c r="C170" s="296" t="s">
        <v>8</v>
      </c>
      <c r="D170" s="296">
        <v>7460</v>
      </c>
    </row>
    <row r="171" spans="1:4">
      <c r="A171" s="297">
        <v>43415</v>
      </c>
      <c r="B171" s="298">
        <v>2.29E-2</v>
      </c>
      <c r="C171" s="296" t="s">
        <v>8</v>
      </c>
      <c r="D171" s="296">
        <v>7460</v>
      </c>
    </row>
    <row r="172" spans="1:4">
      <c r="A172" s="297">
        <v>43416</v>
      </c>
      <c r="B172" s="298">
        <v>2.274E-2</v>
      </c>
      <c r="C172" s="296">
        <v>2542</v>
      </c>
      <c r="D172" s="296">
        <v>6152</v>
      </c>
    </row>
    <row r="173" spans="1:4">
      <c r="A173" s="297">
        <v>43417</v>
      </c>
      <c r="B173" s="298">
        <v>2.2800000000000001E-2</v>
      </c>
      <c r="C173" s="296">
        <v>1827</v>
      </c>
      <c r="D173" s="296">
        <v>5437</v>
      </c>
    </row>
    <row r="174" spans="1:4">
      <c r="A174" s="297">
        <v>43418</v>
      </c>
      <c r="B174" s="298">
        <v>2.266E-2</v>
      </c>
      <c r="C174" s="296">
        <v>2680</v>
      </c>
      <c r="D174" s="296">
        <v>5950</v>
      </c>
    </row>
    <row r="175" spans="1:4">
      <c r="A175" s="297">
        <v>43419</v>
      </c>
      <c r="B175" s="298">
        <v>2.2589999999999999E-2</v>
      </c>
      <c r="C175" s="296">
        <v>2531</v>
      </c>
      <c r="D175" s="296">
        <v>5541</v>
      </c>
    </row>
    <row r="176" spans="1:4">
      <c r="A176" s="297">
        <v>43420</v>
      </c>
      <c r="B176" s="298">
        <v>2.2689999999999998E-2</v>
      </c>
      <c r="C176" s="296">
        <v>3005</v>
      </c>
      <c r="D176" s="296">
        <v>5995</v>
      </c>
    </row>
    <row r="177" spans="1:4">
      <c r="A177" s="297">
        <v>43421</v>
      </c>
      <c r="B177" s="298">
        <v>2.2689999999999998E-2</v>
      </c>
      <c r="C177" s="296" t="s">
        <v>8</v>
      </c>
      <c r="D177" s="296">
        <v>5995</v>
      </c>
    </row>
    <row r="178" spans="1:4">
      <c r="A178" s="297">
        <v>43422</v>
      </c>
      <c r="B178" s="298">
        <v>2.2689999999999998E-2</v>
      </c>
      <c r="C178" s="296" t="s">
        <v>8</v>
      </c>
      <c r="D178" s="296">
        <v>5995</v>
      </c>
    </row>
    <row r="179" spans="1:4">
      <c r="A179" s="297">
        <v>43423</v>
      </c>
      <c r="B179" s="298">
        <v>2.3060000000000001E-2</v>
      </c>
      <c r="C179" s="296">
        <v>3169</v>
      </c>
      <c r="D179" s="296">
        <v>6269</v>
      </c>
    </row>
    <row r="180" spans="1:4">
      <c r="A180" s="297">
        <v>43424</v>
      </c>
      <c r="B180" s="298">
        <v>2.3060000000000001E-2</v>
      </c>
      <c r="C180" s="296" t="s">
        <v>8</v>
      </c>
      <c r="D180" s="296">
        <v>6269</v>
      </c>
    </row>
    <row r="181" spans="1:4">
      <c r="A181" s="297">
        <v>43425</v>
      </c>
      <c r="B181" s="298">
        <v>2.3060000000000001E-2</v>
      </c>
      <c r="C181" s="296" t="s">
        <v>8</v>
      </c>
      <c r="D181" s="296">
        <v>6269</v>
      </c>
    </row>
    <row r="182" spans="1:4">
      <c r="A182" s="297">
        <v>43426</v>
      </c>
      <c r="B182" s="298">
        <v>2.2679999999999999E-2</v>
      </c>
      <c r="C182" s="296">
        <v>2845</v>
      </c>
      <c r="D182" s="296">
        <v>6105</v>
      </c>
    </row>
    <row r="183" spans="1:4">
      <c r="A183" s="297">
        <v>43427</v>
      </c>
      <c r="B183" s="298">
        <v>2.3009999999999999E-2</v>
      </c>
      <c r="C183" s="296">
        <v>4497</v>
      </c>
      <c r="D183" s="296">
        <v>7757</v>
      </c>
    </row>
    <row r="184" spans="1:4">
      <c r="A184" s="297">
        <v>43428</v>
      </c>
      <c r="B184" s="298">
        <v>2.3009999999999999E-2</v>
      </c>
      <c r="C184" s="296" t="s">
        <v>8</v>
      </c>
      <c r="D184" s="296">
        <v>7757</v>
      </c>
    </row>
    <row r="185" spans="1:4">
      <c r="A185" s="297">
        <v>43429</v>
      </c>
      <c r="B185" s="298">
        <v>2.3009999999999999E-2</v>
      </c>
      <c r="C185" s="296" t="s">
        <v>8</v>
      </c>
      <c r="D185" s="296">
        <v>7757</v>
      </c>
    </row>
    <row r="186" spans="1:4">
      <c r="A186" s="297">
        <v>43430</v>
      </c>
      <c r="B186" s="298">
        <v>2.2800000000000001E-2</v>
      </c>
      <c r="C186" s="296">
        <v>5058</v>
      </c>
      <c r="D186" s="296">
        <v>8068</v>
      </c>
    </row>
    <row r="187" spans="1:4">
      <c r="A187" s="297">
        <v>43431</v>
      </c>
      <c r="B187" s="298">
        <v>2.256E-2</v>
      </c>
      <c r="C187" s="296">
        <v>4715</v>
      </c>
      <c r="D187" s="296">
        <v>7725</v>
      </c>
    </row>
    <row r="188" spans="1:4">
      <c r="A188" s="297">
        <v>43432</v>
      </c>
      <c r="B188" s="298">
        <v>2.2499999999999999E-2</v>
      </c>
      <c r="C188" s="296">
        <v>2147</v>
      </c>
      <c r="D188" s="296">
        <v>5157</v>
      </c>
    </row>
    <row r="189" spans="1:4">
      <c r="A189" s="297">
        <v>43433</v>
      </c>
      <c r="B189" s="298">
        <v>2.2499999999999999E-2</v>
      </c>
      <c r="C189" s="296">
        <v>3116</v>
      </c>
      <c r="D189" s="296">
        <v>5626</v>
      </c>
    </row>
    <row r="190" spans="1:4">
      <c r="A190" s="297">
        <v>43434</v>
      </c>
      <c r="B190" s="298">
        <v>2.3109999999999999E-2</v>
      </c>
      <c r="C190" s="296">
        <v>5335</v>
      </c>
      <c r="D190" s="296">
        <v>7315</v>
      </c>
    </row>
    <row r="191" spans="1:4">
      <c r="A191" s="297">
        <v>43435</v>
      </c>
      <c r="B191" s="298">
        <v>2.3109999999999999E-2</v>
      </c>
      <c r="C191" s="296" t="s">
        <v>8</v>
      </c>
      <c r="D191" s="296">
        <v>7315</v>
      </c>
    </row>
    <row r="192" spans="1:4">
      <c r="A192" s="297">
        <v>43436</v>
      </c>
      <c r="B192" s="298">
        <v>2.3109999999999999E-2</v>
      </c>
      <c r="C192" s="296" t="s">
        <v>8</v>
      </c>
      <c r="D192" s="296">
        <v>7315</v>
      </c>
    </row>
    <row r="193" spans="1:4">
      <c r="A193" s="297">
        <v>43437</v>
      </c>
      <c r="B193" s="298">
        <v>2.3109999999999999E-2</v>
      </c>
      <c r="C193" s="296">
        <v>4218</v>
      </c>
      <c r="D193" s="296">
        <v>7708</v>
      </c>
    </row>
    <row r="194" spans="1:4">
      <c r="A194" s="297">
        <v>43438</v>
      </c>
      <c r="B194" s="298">
        <v>2.298E-2</v>
      </c>
      <c r="C194" s="296">
        <v>3503</v>
      </c>
      <c r="D194" s="296">
        <v>6993</v>
      </c>
    </row>
    <row r="195" spans="1:4">
      <c r="A195" s="297">
        <v>43439</v>
      </c>
      <c r="B195" s="298">
        <v>2.3040000000000001E-2</v>
      </c>
      <c r="C195" s="296">
        <v>4815</v>
      </c>
      <c r="D195" s="296">
        <v>8305</v>
      </c>
    </row>
    <row r="196" spans="1:4">
      <c r="A196" s="297">
        <v>43440</v>
      </c>
      <c r="B196" s="298">
        <v>2.2669999999999999E-2</v>
      </c>
      <c r="C196" s="296">
        <v>3334</v>
      </c>
      <c r="D196" s="296">
        <v>7424</v>
      </c>
    </row>
    <row r="197" spans="1:4">
      <c r="A197" s="297">
        <v>43441</v>
      </c>
      <c r="B197" s="298">
        <v>2.3290000000000002E-2</v>
      </c>
      <c r="C197" s="296">
        <v>3905</v>
      </c>
      <c r="D197" s="296">
        <v>7925</v>
      </c>
    </row>
    <row r="198" spans="1:4">
      <c r="A198" s="297">
        <v>43442</v>
      </c>
      <c r="B198" s="298">
        <v>2.3290000000000002E-2</v>
      </c>
      <c r="C198" s="296" t="s">
        <v>8</v>
      </c>
      <c r="D198" s="296">
        <v>7925</v>
      </c>
    </row>
    <row r="199" spans="1:4">
      <c r="A199" s="297">
        <v>43443</v>
      </c>
      <c r="B199" s="298">
        <v>2.3290000000000002E-2</v>
      </c>
      <c r="C199" s="296" t="s">
        <v>8</v>
      </c>
      <c r="D199" s="296">
        <v>7925</v>
      </c>
    </row>
    <row r="200" spans="1:4">
      <c r="A200" s="297">
        <v>43444</v>
      </c>
      <c r="B200" s="298">
        <v>2.2550000000000001E-2</v>
      </c>
      <c r="C200" s="296">
        <v>2543</v>
      </c>
      <c r="D200" s="296">
        <v>6673</v>
      </c>
    </row>
    <row r="201" spans="1:4">
      <c r="A201" s="297">
        <v>43445</v>
      </c>
      <c r="B201" s="298">
        <v>2.2929999999999999E-2</v>
      </c>
      <c r="C201" s="296">
        <v>2979</v>
      </c>
      <c r="D201" s="296">
        <v>7109</v>
      </c>
    </row>
    <row r="202" spans="1:4">
      <c r="A202" s="297">
        <v>43446</v>
      </c>
      <c r="B202" s="298">
        <v>2.3099999999999999E-2</v>
      </c>
      <c r="C202" s="296">
        <v>4970</v>
      </c>
      <c r="D202" s="296">
        <v>8800</v>
      </c>
    </row>
    <row r="203" spans="1:4">
      <c r="A203" s="297">
        <v>43447</v>
      </c>
      <c r="B203" s="298">
        <v>2.2890000000000001E-2</v>
      </c>
      <c r="C203" s="296">
        <v>4551</v>
      </c>
      <c r="D203" s="296">
        <v>8381</v>
      </c>
    </row>
    <row r="204" spans="1:4">
      <c r="A204" s="297">
        <v>43448</v>
      </c>
      <c r="B204" s="298">
        <v>2.2800000000000001E-2</v>
      </c>
      <c r="C204" s="296">
        <v>3162</v>
      </c>
      <c r="D204" s="296">
        <v>7002</v>
      </c>
    </row>
    <row r="205" spans="1:4">
      <c r="A205" s="297">
        <v>43449</v>
      </c>
      <c r="B205" s="298">
        <v>2.2800000000000001E-2</v>
      </c>
      <c r="C205" s="296" t="s">
        <v>8</v>
      </c>
      <c r="D205" s="296">
        <v>7002</v>
      </c>
    </row>
    <row r="206" spans="1:4">
      <c r="A206" s="297">
        <v>43450</v>
      </c>
      <c r="B206" s="298">
        <v>2.2800000000000001E-2</v>
      </c>
      <c r="C206" s="296" t="s">
        <v>8</v>
      </c>
      <c r="D206" s="296">
        <v>7002</v>
      </c>
    </row>
    <row r="207" spans="1:4">
      <c r="A207" s="297">
        <v>43451</v>
      </c>
      <c r="B207" s="298">
        <v>2.2550000000000001E-2</v>
      </c>
      <c r="C207" s="296">
        <v>3404</v>
      </c>
      <c r="D207" s="296">
        <v>7144</v>
      </c>
    </row>
    <row r="208" spans="1:4">
      <c r="A208" s="297">
        <v>43452</v>
      </c>
      <c r="B208" s="298">
        <v>2.2610000000000002E-2</v>
      </c>
      <c r="C208" s="296">
        <v>3965</v>
      </c>
      <c r="D208" s="296">
        <v>7705</v>
      </c>
    </row>
    <row r="209" spans="1:4">
      <c r="A209" s="297">
        <v>43453</v>
      </c>
      <c r="B209" s="298">
        <v>2.2630000000000001E-2</v>
      </c>
      <c r="C209" s="296">
        <v>4910</v>
      </c>
      <c r="D209" s="296">
        <v>8350</v>
      </c>
    </row>
    <row r="210" spans="1:4">
      <c r="A210" s="297">
        <v>43454</v>
      </c>
      <c r="B210" s="298">
        <v>2.2620000000000001E-2</v>
      </c>
      <c r="C210" s="296">
        <v>4529</v>
      </c>
      <c r="D210" s="296">
        <v>8169</v>
      </c>
    </row>
    <row r="211" spans="1:4">
      <c r="A211" s="297">
        <v>43455</v>
      </c>
      <c r="B211" s="298">
        <v>2.274E-2</v>
      </c>
      <c r="C211" s="296">
        <v>6310</v>
      </c>
      <c r="D211" s="296">
        <v>9950</v>
      </c>
    </row>
    <row r="212" spans="1:4">
      <c r="A212" s="297">
        <v>43456</v>
      </c>
      <c r="B212" s="298">
        <v>2.274E-2</v>
      </c>
      <c r="C212" s="296" t="s">
        <v>8</v>
      </c>
      <c r="D212" s="296">
        <v>9950</v>
      </c>
    </row>
    <row r="213" spans="1:4">
      <c r="A213" s="297">
        <v>43457</v>
      </c>
      <c r="B213" s="298">
        <v>2.274E-2</v>
      </c>
      <c r="C213" s="296" t="s">
        <v>8</v>
      </c>
      <c r="D213" s="296">
        <v>9950</v>
      </c>
    </row>
    <row r="214" spans="1:4">
      <c r="A214" s="297">
        <v>43458</v>
      </c>
      <c r="B214" s="298">
        <v>2.274E-2</v>
      </c>
      <c r="C214" s="296">
        <v>5944</v>
      </c>
      <c r="D214" s="296">
        <v>9084</v>
      </c>
    </row>
    <row r="215" spans="1:4">
      <c r="A215" s="297">
        <v>43459</v>
      </c>
      <c r="B215" s="298">
        <v>2.2550000000000001E-2</v>
      </c>
      <c r="C215" s="296">
        <v>4528</v>
      </c>
      <c r="D215" s="296">
        <v>7668</v>
      </c>
    </row>
    <row r="216" spans="1:4">
      <c r="A216" s="297">
        <v>43460</v>
      </c>
      <c r="B216" s="298">
        <v>2.281E-2</v>
      </c>
      <c r="C216" s="296">
        <v>4447</v>
      </c>
      <c r="D216" s="296">
        <v>8287</v>
      </c>
    </row>
    <row r="217" spans="1:4">
      <c r="A217" s="297">
        <v>43461</v>
      </c>
      <c r="B217" s="298">
        <v>2.264E-2</v>
      </c>
      <c r="C217" s="296">
        <v>3322</v>
      </c>
      <c r="D217" s="296">
        <v>7212</v>
      </c>
    </row>
    <row r="218" spans="1:4">
      <c r="A218" s="297">
        <v>43462</v>
      </c>
      <c r="B218" s="298">
        <v>2.3369999999999998E-2</v>
      </c>
      <c r="C218" s="296">
        <v>4354</v>
      </c>
      <c r="D218" s="296">
        <v>8694</v>
      </c>
    </row>
    <row r="219" spans="1:4">
      <c r="A219" s="297">
        <v>43463</v>
      </c>
      <c r="B219" s="298">
        <v>2.3369999999999998E-2</v>
      </c>
      <c r="C219" s="296" t="s">
        <v>8</v>
      </c>
      <c r="D219" s="296">
        <v>8694</v>
      </c>
    </row>
    <row r="220" spans="1:4">
      <c r="A220" s="297">
        <v>43464</v>
      </c>
      <c r="B220" s="298">
        <v>2.3369999999999998E-2</v>
      </c>
      <c r="C220" s="296" t="s">
        <v>8</v>
      </c>
      <c r="D220" s="296">
        <v>8694</v>
      </c>
    </row>
    <row r="221" spans="1:4">
      <c r="A221" s="297">
        <v>43465</v>
      </c>
      <c r="B221" s="298">
        <v>2.316E-2</v>
      </c>
      <c r="C221" s="296">
        <v>2341</v>
      </c>
      <c r="D221" s="296">
        <v>6931</v>
      </c>
    </row>
    <row r="222" spans="1:4">
      <c r="A222" s="297">
        <v>43466</v>
      </c>
      <c r="B222" s="298">
        <v>2.316E-2</v>
      </c>
      <c r="C222" s="296" t="s">
        <v>8</v>
      </c>
      <c r="D222" s="296">
        <v>6931</v>
      </c>
    </row>
    <row r="223" spans="1:4">
      <c r="A223" s="297">
        <v>43467</v>
      </c>
      <c r="B223" s="298">
        <v>2.282E-2</v>
      </c>
      <c r="C223" s="296">
        <v>2706</v>
      </c>
      <c r="D223" s="296">
        <v>8586</v>
      </c>
    </row>
    <row r="224" spans="1:4">
      <c r="A224" s="297">
        <v>43468</v>
      </c>
      <c r="B224" s="298">
        <v>2.2530000000000001E-2</v>
      </c>
      <c r="C224" s="296">
        <v>1760</v>
      </c>
      <c r="D224" s="296">
        <v>7090</v>
      </c>
    </row>
    <row r="225" spans="1:4">
      <c r="A225" s="297">
        <v>43469</v>
      </c>
      <c r="B225" s="298">
        <v>2.299E-2</v>
      </c>
      <c r="C225" s="296">
        <v>3368</v>
      </c>
      <c r="D225" s="296">
        <v>9088</v>
      </c>
    </row>
    <row r="226" spans="1:4">
      <c r="A226" s="297">
        <v>43470</v>
      </c>
      <c r="B226" s="298">
        <v>2.299E-2</v>
      </c>
      <c r="C226" s="296" t="s">
        <v>8</v>
      </c>
      <c r="D226" s="296">
        <v>9088</v>
      </c>
    </row>
    <row r="227" spans="1:4">
      <c r="A227" s="297">
        <v>43471</v>
      </c>
      <c r="B227" s="298">
        <v>2.299E-2</v>
      </c>
      <c r="C227" s="296" t="s">
        <v>8</v>
      </c>
      <c r="D227" s="296">
        <v>9088</v>
      </c>
    </row>
    <row r="228" spans="1:4">
      <c r="A228" s="297">
        <v>43472</v>
      </c>
      <c r="B228" s="298">
        <v>2.308E-2</v>
      </c>
      <c r="C228" s="296">
        <v>4334</v>
      </c>
      <c r="D228" s="296">
        <v>10054</v>
      </c>
    </row>
    <row r="229" spans="1:4">
      <c r="A229" s="297">
        <v>43473</v>
      </c>
      <c r="B229" s="298">
        <v>2.3019999999999999E-2</v>
      </c>
      <c r="C229" s="296">
        <v>4298</v>
      </c>
      <c r="D229" s="296">
        <v>10038</v>
      </c>
    </row>
    <row r="230" spans="1:4">
      <c r="A230" s="297">
        <v>43474</v>
      </c>
      <c r="B230" s="298">
        <v>2.3029999999999998E-2</v>
      </c>
      <c r="C230" s="296">
        <v>5768</v>
      </c>
      <c r="D230" s="296">
        <v>10813</v>
      </c>
    </row>
    <row r="231" spans="1:4">
      <c r="A231" s="297">
        <v>43475</v>
      </c>
      <c r="B231" s="298">
        <v>2.2880000000000001E-2</v>
      </c>
      <c r="C231" s="296">
        <v>4717</v>
      </c>
      <c r="D231" s="296">
        <v>9962</v>
      </c>
    </row>
    <row r="232" spans="1:4">
      <c r="A232" s="297">
        <v>43476</v>
      </c>
      <c r="B232" s="298">
        <v>2.2880000000000001E-2</v>
      </c>
      <c r="C232" s="296" t="s">
        <v>8</v>
      </c>
      <c r="D232" s="296">
        <v>9962</v>
      </c>
    </row>
    <row r="233" spans="1:4">
      <c r="A233" s="297">
        <v>43477</v>
      </c>
      <c r="B233" s="298">
        <v>2.2880000000000001E-2</v>
      </c>
      <c r="C233" s="296" t="s">
        <v>8</v>
      </c>
      <c r="D233" s="296">
        <v>9962</v>
      </c>
    </row>
    <row r="234" spans="1:4">
      <c r="A234" s="297">
        <v>43478</v>
      </c>
      <c r="B234" s="298">
        <v>2.2880000000000001E-2</v>
      </c>
      <c r="C234" s="296" t="s">
        <v>8</v>
      </c>
      <c r="D234" s="296">
        <v>9962</v>
      </c>
    </row>
    <row r="235" spans="1:4">
      <c r="A235" s="297">
        <v>43479</v>
      </c>
      <c r="B235" s="298">
        <v>2.3089999999999999E-2</v>
      </c>
      <c r="C235" s="296">
        <v>4718</v>
      </c>
      <c r="D235" s="296">
        <v>9313</v>
      </c>
    </row>
    <row r="236" spans="1:4">
      <c r="A236" s="297">
        <v>43480</v>
      </c>
      <c r="B236" s="298">
        <v>2.3E-2</v>
      </c>
      <c r="C236" s="296">
        <v>5148</v>
      </c>
      <c r="D236" s="296">
        <v>9743</v>
      </c>
    </row>
    <row r="237" spans="1:4">
      <c r="A237" s="297">
        <v>43481</v>
      </c>
      <c r="B237" s="298">
        <v>2.2749999999999999E-2</v>
      </c>
      <c r="C237" s="296">
        <v>4868</v>
      </c>
      <c r="D237" s="296">
        <v>9158</v>
      </c>
    </row>
    <row r="238" spans="1:4">
      <c r="A238" s="297">
        <v>43482</v>
      </c>
      <c r="B238" s="298">
        <v>2.2929999999999999E-2</v>
      </c>
      <c r="C238" s="296">
        <v>4803</v>
      </c>
      <c r="D238" s="296">
        <v>9593</v>
      </c>
    </row>
    <row r="239" spans="1:4">
      <c r="A239" s="297">
        <v>43483</v>
      </c>
      <c r="B239" s="298">
        <v>2.2679999999999999E-2</v>
      </c>
      <c r="C239" s="296">
        <v>3278</v>
      </c>
      <c r="D239" s="296">
        <v>8158</v>
      </c>
    </row>
    <row r="240" spans="1:4">
      <c r="A240" s="297">
        <v>43484</v>
      </c>
      <c r="B240" s="298">
        <v>2.2679999999999999E-2</v>
      </c>
      <c r="C240" s="296" t="s">
        <v>8</v>
      </c>
      <c r="D240" s="296">
        <v>8158</v>
      </c>
    </row>
    <row r="241" spans="1:4">
      <c r="A241" s="297">
        <v>43485</v>
      </c>
      <c r="B241" s="298">
        <v>2.2679999999999999E-2</v>
      </c>
      <c r="C241" s="296" t="s">
        <v>8</v>
      </c>
      <c r="D241" s="296">
        <v>8158</v>
      </c>
    </row>
    <row r="242" spans="1:4">
      <c r="A242" s="297">
        <v>43486</v>
      </c>
      <c r="B242" s="298">
        <v>2.265E-2</v>
      </c>
      <c r="C242" s="296">
        <v>2558</v>
      </c>
      <c r="D242" s="296">
        <v>8038</v>
      </c>
    </row>
    <row r="243" spans="1:4">
      <c r="A243" s="297">
        <v>43487</v>
      </c>
      <c r="B243" s="298">
        <v>2.2610000000000002E-2</v>
      </c>
      <c r="C243" s="296">
        <v>3680</v>
      </c>
      <c r="D243" s="296">
        <v>9160</v>
      </c>
    </row>
    <row r="244" spans="1:4">
      <c r="A244" s="297">
        <v>43488</v>
      </c>
      <c r="B244" s="298">
        <v>2.2630000000000001E-2</v>
      </c>
      <c r="C244" s="296">
        <v>3427</v>
      </c>
      <c r="D244" s="296">
        <v>8917</v>
      </c>
    </row>
    <row r="245" spans="1:4">
      <c r="A245" s="297">
        <v>43489</v>
      </c>
      <c r="B245" s="298">
        <v>2.265E-2</v>
      </c>
      <c r="C245" s="296">
        <v>3819</v>
      </c>
      <c r="D245" s="296">
        <v>9959</v>
      </c>
    </row>
    <row r="246" spans="1:4">
      <c r="A246" s="297">
        <v>43490</v>
      </c>
      <c r="B246" s="298">
        <v>2.273E-2</v>
      </c>
      <c r="C246" s="296">
        <v>2242</v>
      </c>
      <c r="D246" s="296">
        <v>8382</v>
      </c>
    </row>
    <row r="247" spans="1:4">
      <c r="A247" s="297">
        <v>43491</v>
      </c>
      <c r="B247" s="298">
        <v>2.273E-2</v>
      </c>
      <c r="C247" s="296" t="s">
        <v>8</v>
      </c>
      <c r="D247" s="296">
        <v>8382</v>
      </c>
    </row>
    <row r="248" spans="1:4">
      <c r="A248" s="297">
        <v>43492</v>
      </c>
      <c r="B248" s="298">
        <v>2.273E-2</v>
      </c>
      <c r="C248" s="296" t="s">
        <v>8</v>
      </c>
      <c r="D248" s="296">
        <v>8382</v>
      </c>
    </row>
    <row r="249" spans="1:4">
      <c r="A249" s="297">
        <v>43493</v>
      </c>
      <c r="B249" s="298">
        <v>2.282E-2</v>
      </c>
      <c r="C249" s="296">
        <v>3846</v>
      </c>
      <c r="D249" s="296">
        <v>9386</v>
      </c>
    </row>
    <row r="250" spans="1:4">
      <c r="A250" s="297">
        <v>43494</v>
      </c>
      <c r="B250" s="298">
        <v>2.2970000000000001E-2</v>
      </c>
      <c r="C250" s="296">
        <v>3376</v>
      </c>
      <c r="D250" s="296">
        <v>8946</v>
      </c>
    </row>
    <row r="251" spans="1:4">
      <c r="A251" s="297">
        <v>43495</v>
      </c>
      <c r="B251" s="298">
        <v>2.2960000000000001E-2</v>
      </c>
      <c r="C251" s="296">
        <v>3850</v>
      </c>
      <c r="D251" s="296">
        <v>9425</v>
      </c>
    </row>
    <row r="252" spans="1:4">
      <c r="A252" s="297">
        <v>43496</v>
      </c>
      <c r="B252" s="298">
        <v>2.3040000000000001E-2</v>
      </c>
      <c r="C252" s="296">
        <v>2901</v>
      </c>
      <c r="D252" s="296">
        <v>8746</v>
      </c>
    </row>
    <row r="253" spans="1:4">
      <c r="A253" s="297">
        <v>43497</v>
      </c>
      <c r="B253" s="298">
        <v>2.2939999999999999E-2</v>
      </c>
      <c r="C253" s="296">
        <v>4236</v>
      </c>
      <c r="D253" s="296">
        <v>10481</v>
      </c>
    </row>
    <row r="254" spans="1:4">
      <c r="A254" s="297">
        <v>43498</v>
      </c>
      <c r="B254" s="298">
        <v>2.2939999999999999E-2</v>
      </c>
      <c r="C254" s="296" t="s">
        <v>8</v>
      </c>
      <c r="D254" s="296">
        <v>10481</v>
      </c>
    </row>
    <row r="255" spans="1:4">
      <c r="A255" s="297">
        <v>43499</v>
      </c>
      <c r="B255" s="298">
        <v>2.2939999999999999E-2</v>
      </c>
      <c r="C255" s="296" t="s">
        <v>8</v>
      </c>
      <c r="D255" s="296">
        <v>10481</v>
      </c>
    </row>
    <row r="256" spans="1:4">
      <c r="A256" s="297">
        <v>43500</v>
      </c>
      <c r="B256" s="298">
        <v>2.265E-2</v>
      </c>
      <c r="C256" s="296">
        <v>2764</v>
      </c>
      <c r="D256" s="296">
        <v>8359</v>
      </c>
    </row>
    <row r="257" spans="1:4">
      <c r="A257" s="297">
        <v>43501</v>
      </c>
      <c r="B257" s="298">
        <v>2.2630000000000001E-2</v>
      </c>
      <c r="C257" s="296">
        <v>3187</v>
      </c>
      <c r="D257" s="296">
        <v>8782</v>
      </c>
    </row>
    <row r="258" spans="1:4">
      <c r="A258" s="297">
        <v>43502</v>
      </c>
      <c r="B258" s="298">
        <v>2.2599999999999999E-2</v>
      </c>
      <c r="C258" s="296">
        <v>2751</v>
      </c>
      <c r="D258" s="296">
        <v>7886</v>
      </c>
    </row>
    <row r="259" spans="1:4">
      <c r="A259" s="297">
        <v>43503</v>
      </c>
      <c r="B259" s="298">
        <v>2.2630000000000001E-2</v>
      </c>
      <c r="C259" s="296">
        <v>3199</v>
      </c>
      <c r="D259" s="296">
        <v>8134</v>
      </c>
    </row>
    <row r="260" spans="1:4">
      <c r="A260" s="297">
        <v>43504</v>
      </c>
      <c r="B260" s="298">
        <v>2.256E-2</v>
      </c>
      <c r="C260" s="296">
        <v>2011</v>
      </c>
      <c r="D260" s="296">
        <v>6946</v>
      </c>
    </row>
    <row r="261" spans="1:4">
      <c r="A261" s="297">
        <v>43505</v>
      </c>
      <c r="B261" s="298">
        <v>2.256E-2</v>
      </c>
      <c r="C261" s="296" t="s">
        <v>8</v>
      </c>
      <c r="D261" s="296">
        <v>6946</v>
      </c>
    </row>
    <row r="262" spans="1:4">
      <c r="A262" s="297">
        <v>43506</v>
      </c>
      <c r="B262" s="298">
        <v>2.256E-2</v>
      </c>
      <c r="C262" s="296" t="s">
        <v>8</v>
      </c>
      <c r="D262" s="296">
        <v>6946</v>
      </c>
    </row>
    <row r="263" spans="1:4">
      <c r="A263" s="297">
        <v>43507</v>
      </c>
      <c r="B263" s="298">
        <v>2.2530000000000001E-2</v>
      </c>
      <c r="C263" s="296">
        <v>1990</v>
      </c>
      <c r="D263" s="296">
        <v>6435</v>
      </c>
    </row>
    <row r="264" spans="1:4">
      <c r="A264" s="297">
        <v>43508</v>
      </c>
      <c r="B264" s="298">
        <v>2.2519999999999998E-2</v>
      </c>
      <c r="C264" s="296">
        <v>2006</v>
      </c>
      <c r="D264" s="296">
        <v>6781</v>
      </c>
    </row>
    <row r="265" spans="1:4">
      <c r="A265" s="297">
        <v>43509</v>
      </c>
      <c r="B265" s="298">
        <v>2.2519999999999998E-2</v>
      </c>
      <c r="C265" s="296">
        <v>2081</v>
      </c>
      <c r="D265" s="296">
        <v>7206</v>
      </c>
    </row>
    <row r="266" spans="1:4">
      <c r="A266" s="297">
        <v>43510</v>
      </c>
      <c r="B266" s="298">
        <v>2.2550000000000001E-2</v>
      </c>
      <c r="C266" s="296">
        <v>3714</v>
      </c>
      <c r="D266" s="296">
        <v>8139</v>
      </c>
    </row>
    <row r="267" spans="1:4">
      <c r="A267" s="297">
        <v>43511</v>
      </c>
      <c r="B267" s="298">
        <v>2.257E-2</v>
      </c>
      <c r="C267" s="296">
        <v>2796</v>
      </c>
      <c r="D267" s="296">
        <v>7421</v>
      </c>
    </row>
    <row r="268" spans="1:4">
      <c r="A268" s="297">
        <v>43512</v>
      </c>
      <c r="B268" s="298">
        <v>2.257E-2</v>
      </c>
      <c r="C268" s="296" t="s">
        <v>8</v>
      </c>
      <c r="D268" s="296">
        <v>7421</v>
      </c>
    </row>
    <row r="269" spans="1:4">
      <c r="A269" s="297">
        <v>43513</v>
      </c>
      <c r="B269" s="298">
        <v>2.257E-2</v>
      </c>
      <c r="C269" s="296" t="s">
        <v>8</v>
      </c>
      <c r="D269" s="296">
        <v>7421</v>
      </c>
    </row>
    <row r="270" spans="1:4">
      <c r="A270" s="297">
        <v>43514</v>
      </c>
      <c r="B270" s="298">
        <v>2.274E-2</v>
      </c>
      <c r="C270" s="296">
        <v>3133</v>
      </c>
      <c r="D270" s="296">
        <v>7318</v>
      </c>
    </row>
    <row r="271" spans="1:4">
      <c r="A271" s="297">
        <v>43515</v>
      </c>
      <c r="B271" s="298">
        <v>2.2679999999999999E-2</v>
      </c>
      <c r="C271" s="296">
        <v>2695</v>
      </c>
      <c r="D271" s="296">
        <v>6880</v>
      </c>
    </row>
    <row r="272" spans="1:4">
      <c r="A272" s="297">
        <v>43516</v>
      </c>
      <c r="B272" s="298">
        <v>2.257E-2</v>
      </c>
      <c r="C272" s="296">
        <v>2716</v>
      </c>
      <c r="D272" s="296">
        <v>6871</v>
      </c>
    </row>
    <row r="273" spans="1:4">
      <c r="A273" s="297">
        <v>43517</v>
      </c>
      <c r="B273" s="298">
        <v>2.264E-2</v>
      </c>
      <c r="C273" s="296">
        <v>2302</v>
      </c>
      <c r="D273" s="296">
        <v>6877</v>
      </c>
    </row>
    <row r="274" spans="1:4">
      <c r="A274" s="297">
        <v>43518</v>
      </c>
      <c r="B274" s="298">
        <v>2.2589999999999999E-2</v>
      </c>
      <c r="C274" s="296">
        <v>3961</v>
      </c>
      <c r="D274" s="296">
        <v>8796</v>
      </c>
    </row>
    <row r="275" spans="1:4">
      <c r="A275" s="297">
        <v>43519</v>
      </c>
      <c r="B275" s="298">
        <v>2.2589999999999999E-2</v>
      </c>
      <c r="C275" s="296" t="s">
        <v>8</v>
      </c>
      <c r="D275" s="296">
        <v>8796</v>
      </c>
    </row>
    <row r="276" spans="1:4">
      <c r="A276" s="297">
        <v>43520</v>
      </c>
      <c r="B276" s="298">
        <v>2.2589999999999999E-2</v>
      </c>
      <c r="C276" s="296" t="s">
        <v>8</v>
      </c>
      <c r="D276" s="296">
        <v>8796</v>
      </c>
    </row>
    <row r="277" spans="1:4">
      <c r="A277" s="297">
        <v>43521</v>
      </c>
      <c r="B277" s="298">
        <v>2.2519999999999998E-2</v>
      </c>
      <c r="C277" s="296">
        <v>3875</v>
      </c>
      <c r="D277" s="296">
        <v>8710</v>
      </c>
    </row>
    <row r="278" spans="1:4">
      <c r="A278" s="297">
        <v>43522</v>
      </c>
      <c r="B278" s="298">
        <v>2.2509999999999999E-2</v>
      </c>
      <c r="C278" s="296">
        <v>4248</v>
      </c>
      <c r="D278" s="296">
        <v>9383</v>
      </c>
    </row>
    <row r="279" spans="1:4">
      <c r="A279" s="297">
        <v>43523</v>
      </c>
      <c r="B279" s="298">
        <v>2.2599999999999999E-2</v>
      </c>
      <c r="C279" s="296">
        <v>3299</v>
      </c>
      <c r="D279" s="296">
        <v>8489</v>
      </c>
    </row>
    <row r="280" spans="1:4">
      <c r="A280" s="297">
        <v>43524</v>
      </c>
      <c r="B280" s="298">
        <v>2.2610000000000002E-2</v>
      </c>
      <c r="C280" s="296">
        <v>5741</v>
      </c>
      <c r="D280" s="296">
        <v>10931</v>
      </c>
    </row>
    <row r="281" spans="1:4">
      <c r="A281" s="297">
        <v>43525</v>
      </c>
      <c r="B281" s="298">
        <v>2.2599999999999999E-2</v>
      </c>
      <c r="C281" s="296">
        <v>5406</v>
      </c>
      <c r="D281" s="296">
        <v>10796</v>
      </c>
    </row>
    <row r="282" spans="1:4">
      <c r="A282" s="297">
        <v>43526</v>
      </c>
      <c r="B282" s="298">
        <v>2.2599999999999999E-2</v>
      </c>
      <c r="C282" s="296" t="s">
        <v>8</v>
      </c>
      <c r="D282" s="296">
        <v>10796</v>
      </c>
    </row>
    <row r="283" spans="1:4">
      <c r="A283" s="297">
        <v>43527</v>
      </c>
      <c r="B283" s="298">
        <v>2.2599999999999999E-2</v>
      </c>
      <c r="C283" s="296" t="s">
        <v>8</v>
      </c>
      <c r="D283" s="296">
        <v>10796</v>
      </c>
    </row>
    <row r="284" spans="1:4">
      <c r="A284" s="297">
        <v>43528</v>
      </c>
      <c r="B284" s="298">
        <v>2.2620000000000001E-2</v>
      </c>
      <c r="C284" s="296">
        <v>3368</v>
      </c>
      <c r="D284" s="296">
        <v>9308</v>
      </c>
    </row>
    <row r="285" spans="1:4">
      <c r="A285" s="297">
        <v>43529</v>
      </c>
      <c r="B285" s="298">
        <v>2.2620000000000001E-2</v>
      </c>
      <c r="C285" s="296">
        <v>2294</v>
      </c>
      <c r="D285" s="296">
        <v>7934</v>
      </c>
    </row>
    <row r="286" spans="1:4">
      <c r="A286" s="297">
        <v>43530</v>
      </c>
      <c r="B286" s="298">
        <v>2.2519999999999998E-2</v>
      </c>
      <c r="C286" s="296">
        <v>3243</v>
      </c>
      <c r="D286" s="296">
        <v>8873</v>
      </c>
    </row>
    <row r="287" spans="1:4">
      <c r="A287" s="297">
        <v>43531</v>
      </c>
      <c r="B287" s="298">
        <v>2.2589999999999999E-2</v>
      </c>
      <c r="C287" s="296">
        <v>4165</v>
      </c>
      <c r="D287" s="296">
        <v>8495</v>
      </c>
    </row>
    <row r="288" spans="1:4">
      <c r="A288" s="297">
        <v>43532</v>
      </c>
      <c r="B288" s="298">
        <v>2.2579999999999999E-2</v>
      </c>
      <c r="C288" s="296">
        <v>4158</v>
      </c>
      <c r="D288" s="296">
        <v>8488</v>
      </c>
    </row>
    <row r="289" spans="1:4">
      <c r="A289" s="297">
        <v>43533</v>
      </c>
      <c r="B289" s="298">
        <v>2.2579999999999999E-2</v>
      </c>
      <c r="C289" s="296" t="s">
        <v>8</v>
      </c>
      <c r="D289" s="296">
        <v>8488</v>
      </c>
    </row>
    <row r="290" spans="1:4">
      <c r="A290" s="297">
        <v>43534</v>
      </c>
      <c r="B290" s="298">
        <v>2.2579999999999999E-2</v>
      </c>
      <c r="C290" s="296" t="s">
        <v>8</v>
      </c>
      <c r="D290" s="296">
        <v>8488</v>
      </c>
    </row>
    <row r="291" spans="1:4">
      <c r="A291" s="297">
        <v>43535</v>
      </c>
      <c r="B291" s="298">
        <v>2.2540000000000001E-2</v>
      </c>
      <c r="C291" s="296">
        <v>3959</v>
      </c>
      <c r="D291" s="296">
        <v>8039</v>
      </c>
    </row>
    <row r="292" spans="1:4">
      <c r="A292" s="297">
        <v>43536</v>
      </c>
      <c r="B292" s="298">
        <v>2.2509999999999999E-2</v>
      </c>
      <c r="C292" s="296">
        <v>4506</v>
      </c>
      <c r="D292" s="296">
        <v>8686</v>
      </c>
    </row>
    <row r="293" spans="1:4">
      <c r="A293" s="297">
        <v>43537</v>
      </c>
      <c r="B293" s="298">
        <v>2.2550000000000001E-2</v>
      </c>
      <c r="C293" s="296">
        <v>4633</v>
      </c>
      <c r="D293" s="296">
        <v>9163</v>
      </c>
    </row>
    <row r="294" spans="1:4">
      <c r="A294" s="297">
        <v>43538</v>
      </c>
      <c r="B294" s="298">
        <v>2.2530000000000001E-2</v>
      </c>
      <c r="C294" s="296">
        <v>4280</v>
      </c>
      <c r="D294" s="296">
        <v>8720</v>
      </c>
    </row>
    <row r="295" spans="1:4">
      <c r="A295" s="297">
        <v>43539</v>
      </c>
      <c r="B295" s="298">
        <v>2.2540000000000001E-2</v>
      </c>
      <c r="C295" s="296">
        <v>1963</v>
      </c>
      <c r="D295" s="296">
        <v>6403</v>
      </c>
    </row>
    <row r="296" spans="1:4">
      <c r="A296" s="297">
        <v>43540</v>
      </c>
      <c r="B296" s="298">
        <v>2.2540000000000001E-2</v>
      </c>
      <c r="C296" s="296" t="s">
        <v>8</v>
      </c>
      <c r="D296" s="296">
        <v>6403</v>
      </c>
    </row>
    <row r="297" spans="1:4">
      <c r="A297" s="297">
        <v>43541</v>
      </c>
      <c r="B297" s="298">
        <v>2.2540000000000001E-2</v>
      </c>
      <c r="C297" s="296" t="s">
        <v>8</v>
      </c>
      <c r="D297" s="296">
        <v>6403</v>
      </c>
    </row>
    <row r="298" spans="1:4">
      <c r="A298" s="297">
        <v>43542</v>
      </c>
      <c r="B298" s="298">
        <v>2.2499999999999999E-2</v>
      </c>
      <c r="C298" s="296">
        <v>1186</v>
      </c>
      <c r="D298" s="296">
        <v>5046</v>
      </c>
    </row>
    <row r="299" spans="1:4">
      <c r="A299" s="297">
        <v>43543</v>
      </c>
      <c r="B299" s="298">
        <v>2.2499999999999999E-2</v>
      </c>
      <c r="C299" s="296">
        <v>765</v>
      </c>
      <c r="D299" s="296">
        <v>4625</v>
      </c>
    </row>
    <row r="300" spans="1:4">
      <c r="A300" s="297">
        <v>43544</v>
      </c>
      <c r="B300" s="298">
        <v>2.2499999999999999E-2</v>
      </c>
      <c r="C300" s="296">
        <v>1164</v>
      </c>
      <c r="D300" s="296">
        <v>4584</v>
      </c>
    </row>
    <row r="301" spans="1:4">
      <c r="A301" s="297">
        <v>43545</v>
      </c>
      <c r="B301" s="298">
        <v>2.2540000000000001E-2</v>
      </c>
      <c r="C301" s="296">
        <v>1736</v>
      </c>
      <c r="D301" s="296">
        <v>6136</v>
      </c>
    </row>
    <row r="302" spans="1:4">
      <c r="A302" s="297">
        <v>43546</v>
      </c>
      <c r="B302" s="298">
        <v>2.266E-2</v>
      </c>
      <c r="C302" s="296">
        <v>3627</v>
      </c>
      <c r="D302" s="296">
        <v>8027</v>
      </c>
    </row>
    <row r="303" spans="1:4">
      <c r="A303" s="297">
        <v>43547</v>
      </c>
      <c r="B303" s="298">
        <v>2.266E-2</v>
      </c>
      <c r="C303" s="296" t="s">
        <v>8</v>
      </c>
      <c r="D303" s="296">
        <v>8027</v>
      </c>
    </row>
    <row r="304" spans="1:4">
      <c r="A304" s="297">
        <v>43548</v>
      </c>
      <c r="B304" s="298">
        <v>2.266E-2</v>
      </c>
      <c r="C304" s="296" t="s">
        <v>8</v>
      </c>
      <c r="D304" s="296">
        <v>8027</v>
      </c>
    </row>
    <row r="305" spans="1:4">
      <c r="A305" s="297">
        <v>43549</v>
      </c>
      <c r="B305" s="298">
        <v>2.2630000000000001E-2</v>
      </c>
      <c r="C305" s="296">
        <v>2801</v>
      </c>
      <c r="D305" s="296">
        <v>7201</v>
      </c>
    </row>
    <row r="306" spans="1:4">
      <c r="A306" s="297">
        <v>43550</v>
      </c>
      <c r="B306" s="298">
        <v>2.265E-2</v>
      </c>
      <c r="C306" s="296">
        <v>2987</v>
      </c>
      <c r="D306" s="296">
        <v>7397</v>
      </c>
    </row>
    <row r="307" spans="1:4">
      <c r="A307" s="297">
        <v>43551</v>
      </c>
      <c r="B307" s="298">
        <v>2.2620000000000001E-2</v>
      </c>
      <c r="C307" s="296">
        <v>3245</v>
      </c>
      <c r="D307" s="296">
        <v>7655</v>
      </c>
    </row>
    <row r="308" spans="1:4">
      <c r="A308" s="297">
        <v>43552</v>
      </c>
      <c r="B308" s="298">
        <v>2.2589999999999999E-2</v>
      </c>
      <c r="C308" s="296">
        <v>3549</v>
      </c>
      <c r="D308" s="296">
        <v>7309</v>
      </c>
    </row>
    <row r="309" spans="1:4">
      <c r="A309" s="297">
        <v>43553</v>
      </c>
      <c r="B309" s="298">
        <v>2.2769999999999999E-2</v>
      </c>
      <c r="C309" s="296">
        <v>2606</v>
      </c>
      <c r="D309" s="296">
        <v>6216</v>
      </c>
    </row>
    <row r="310" spans="1:4">
      <c r="A310" s="297">
        <v>43554</v>
      </c>
      <c r="B310" s="298">
        <v>2.2769999999999999E-2</v>
      </c>
      <c r="C310" s="296" t="s">
        <v>8</v>
      </c>
      <c r="D310" s="296">
        <v>6216</v>
      </c>
    </row>
    <row r="311" spans="1:4">
      <c r="A311" s="297">
        <v>43555</v>
      </c>
      <c r="B311" s="298">
        <v>2.2769999999999999E-2</v>
      </c>
      <c r="C311" s="296" t="s">
        <v>8</v>
      </c>
      <c r="D311" s="296">
        <v>6216</v>
      </c>
    </row>
    <row r="312" spans="1:4">
      <c r="A312" s="297">
        <v>43556</v>
      </c>
      <c r="B312" s="298">
        <v>2.2599999999999999E-2</v>
      </c>
      <c r="C312" s="296">
        <v>3613</v>
      </c>
      <c r="D312" s="296">
        <v>7073</v>
      </c>
    </row>
    <row r="313" spans="1:4">
      <c r="A313" s="297">
        <v>43557</v>
      </c>
      <c r="B313" s="298">
        <v>2.2630000000000001E-2</v>
      </c>
      <c r="C313" s="296">
        <v>3934</v>
      </c>
      <c r="D313" s="296">
        <v>7194</v>
      </c>
    </row>
    <row r="314" spans="1:4">
      <c r="A314" s="297">
        <v>43558</v>
      </c>
      <c r="B314" s="298">
        <v>2.265E-2</v>
      </c>
      <c r="C314" s="296">
        <v>4556</v>
      </c>
      <c r="D314" s="296">
        <v>7716</v>
      </c>
    </row>
    <row r="315" spans="1:4">
      <c r="A315" s="297">
        <v>43559</v>
      </c>
      <c r="B315" s="298">
        <v>2.2579999999999999E-2</v>
      </c>
      <c r="C315" s="296">
        <v>3553</v>
      </c>
      <c r="D315" s="296">
        <v>6613</v>
      </c>
    </row>
    <row r="316" spans="1:4">
      <c r="A316" s="297">
        <v>43560</v>
      </c>
      <c r="B316" s="298">
        <v>2.2720000000000001E-2</v>
      </c>
      <c r="C316" s="296">
        <v>4756</v>
      </c>
      <c r="D316" s="296">
        <v>7816</v>
      </c>
    </row>
    <row r="317" spans="1:4">
      <c r="A317" s="297">
        <v>43561</v>
      </c>
      <c r="B317" s="298">
        <v>2.2720000000000001E-2</v>
      </c>
      <c r="C317" s="296" t="s">
        <v>8</v>
      </c>
      <c r="D317" s="296">
        <v>7816</v>
      </c>
    </row>
    <row r="318" spans="1:4">
      <c r="A318" s="297">
        <v>43562</v>
      </c>
      <c r="B318" s="298">
        <v>2.2720000000000001E-2</v>
      </c>
      <c r="C318" s="296" t="s">
        <v>8</v>
      </c>
      <c r="D318" s="296">
        <v>7816</v>
      </c>
    </row>
    <row r="319" spans="1:4">
      <c r="A319" s="297">
        <v>43563</v>
      </c>
      <c r="B319" s="298">
        <v>2.2700000000000001E-2</v>
      </c>
      <c r="C319" s="296">
        <v>5442</v>
      </c>
      <c r="D319" s="296">
        <v>8252</v>
      </c>
    </row>
    <row r="320" spans="1:4">
      <c r="A320" s="297">
        <v>43564</v>
      </c>
      <c r="B320" s="298">
        <v>2.2630000000000001E-2</v>
      </c>
      <c r="C320" s="296">
        <v>5793</v>
      </c>
      <c r="D320" s="296">
        <v>8503</v>
      </c>
    </row>
    <row r="321" spans="1:4">
      <c r="A321" s="297">
        <v>43565</v>
      </c>
      <c r="B321" s="298">
        <v>2.2610000000000002E-2</v>
      </c>
      <c r="C321" s="296">
        <v>5992</v>
      </c>
      <c r="D321" s="296">
        <v>8702</v>
      </c>
    </row>
    <row r="322" spans="1:4">
      <c r="A322" s="297">
        <v>43566</v>
      </c>
      <c r="B322" s="298">
        <v>2.2710000000000001E-2</v>
      </c>
      <c r="C322" s="296">
        <v>6079</v>
      </c>
      <c r="D322" s="296">
        <v>8589</v>
      </c>
    </row>
    <row r="323" spans="1:4">
      <c r="A323" s="297">
        <v>43567</v>
      </c>
      <c r="B323" s="298">
        <v>2.2610000000000002E-2</v>
      </c>
      <c r="C323" s="296">
        <v>5070</v>
      </c>
      <c r="D323" s="296">
        <v>8280</v>
      </c>
    </row>
    <row r="324" spans="1:4">
      <c r="A324" s="297">
        <v>43568</v>
      </c>
      <c r="B324" s="298">
        <v>2.2610000000000002E-2</v>
      </c>
      <c r="C324" s="296" t="s">
        <v>8</v>
      </c>
      <c r="D324" s="296">
        <v>8280</v>
      </c>
    </row>
    <row r="325" spans="1:4">
      <c r="A325" s="297">
        <v>43569</v>
      </c>
      <c r="B325" s="298">
        <v>2.2610000000000002E-2</v>
      </c>
      <c r="C325" s="296" t="s">
        <v>8</v>
      </c>
      <c r="D325" s="296">
        <v>8280</v>
      </c>
    </row>
    <row r="326" spans="1:4">
      <c r="A326" s="297">
        <v>43570</v>
      </c>
      <c r="B326" s="298">
        <v>2.2679999999999999E-2</v>
      </c>
      <c r="C326" s="296">
        <v>6389</v>
      </c>
      <c r="D326" s="296">
        <v>9599</v>
      </c>
    </row>
    <row r="327" spans="1:4">
      <c r="A327" s="297">
        <v>43571</v>
      </c>
      <c r="B327" s="298">
        <v>2.2669999999999999E-2</v>
      </c>
      <c r="C327" s="296">
        <v>4313</v>
      </c>
      <c r="D327" s="296">
        <v>7523</v>
      </c>
    </row>
    <row r="328" spans="1:4">
      <c r="A328" s="297">
        <v>43572</v>
      </c>
      <c r="B328" s="298">
        <v>2.2749999999999999E-2</v>
      </c>
      <c r="C328" s="296">
        <v>4338</v>
      </c>
      <c r="D328" s="296">
        <v>7398</v>
      </c>
    </row>
    <row r="329" spans="1:4">
      <c r="A329" s="297">
        <v>43573</v>
      </c>
      <c r="B329" s="298">
        <v>2.256E-2</v>
      </c>
      <c r="C329" s="296">
        <v>2997</v>
      </c>
      <c r="D329" s="296">
        <v>5457</v>
      </c>
    </row>
    <row r="330" spans="1:4">
      <c r="A330" s="297">
        <v>43574</v>
      </c>
      <c r="B330" s="298">
        <v>2.2849999999999999E-2</v>
      </c>
      <c r="C330" s="296">
        <v>4448</v>
      </c>
      <c r="D330" s="296">
        <v>6908</v>
      </c>
    </row>
    <row r="331" spans="1:4">
      <c r="A331" s="297">
        <v>43575</v>
      </c>
      <c r="B331" s="298">
        <v>2.2849999999999999E-2</v>
      </c>
      <c r="C331" s="296" t="s">
        <v>8</v>
      </c>
      <c r="D331" s="296">
        <v>6908</v>
      </c>
    </row>
    <row r="332" spans="1:4">
      <c r="A332" s="297">
        <v>43576</v>
      </c>
      <c r="B332" s="298">
        <v>2.2849999999999999E-2</v>
      </c>
      <c r="C332" s="296" t="s">
        <v>8</v>
      </c>
      <c r="D332" s="296">
        <v>6908</v>
      </c>
    </row>
    <row r="333" spans="1:4">
      <c r="A333" s="297">
        <v>43577</v>
      </c>
      <c r="B333" s="298">
        <v>2.2579999999999999E-2</v>
      </c>
      <c r="C333" s="296">
        <v>955</v>
      </c>
      <c r="D333" s="296">
        <v>3415</v>
      </c>
    </row>
    <row r="334" spans="1:4">
      <c r="A334" s="297">
        <v>43578</v>
      </c>
      <c r="B334" s="298">
        <v>2.281E-2</v>
      </c>
      <c r="C334" s="296">
        <v>3618</v>
      </c>
      <c r="D334" s="296">
        <v>6143</v>
      </c>
    </row>
    <row r="335" spans="1:4">
      <c r="A335" s="297">
        <v>43579</v>
      </c>
      <c r="B335" s="298">
        <v>2.273E-2</v>
      </c>
      <c r="C335" s="296">
        <v>3672</v>
      </c>
      <c r="D335" s="296">
        <v>6177</v>
      </c>
    </row>
    <row r="336" spans="1:4">
      <c r="A336" s="297">
        <v>43580</v>
      </c>
      <c r="B336" s="298">
        <v>2.264E-2</v>
      </c>
      <c r="C336" s="296">
        <v>4723</v>
      </c>
      <c r="D336" s="296">
        <v>8428</v>
      </c>
    </row>
    <row r="337" spans="1:4">
      <c r="A337" s="297">
        <v>43581</v>
      </c>
      <c r="B337" s="298">
        <v>2.2599999999999999E-2</v>
      </c>
      <c r="C337" s="296">
        <v>4094</v>
      </c>
      <c r="D337" s="296">
        <v>7974</v>
      </c>
    </row>
    <row r="338" spans="1:4">
      <c r="A338" s="297">
        <v>43582</v>
      </c>
      <c r="B338" s="298">
        <v>2.2599999999999999E-2</v>
      </c>
      <c r="C338" s="296" t="s">
        <v>8</v>
      </c>
      <c r="D338" s="296">
        <v>7974</v>
      </c>
    </row>
    <row r="339" spans="1:4">
      <c r="A339" s="297">
        <v>43583</v>
      </c>
      <c r="B339" s="298">
        <v>2.2599999999999999E-2</v>
      </c>
      <c r="C339" s="296" t="s">
        <v>8</v>
      </c>
      <c r="D339" s="296">
        <v>7974</v>
      </c>
    </row>
    <row r="340" spans="1:4">
      <c r="A340" s="297">
        <v>43584</v>
      </c>
      <c r="B340" s="298">
        <v>2.2530000000000001E-2</v>
      </c>
      <c r="C340" s="296">
        <v>3570</v>
      </c>
      <c r="D340" s="296">
        <v>7465</v>
      </c>
    </row>
    <row r="341" spans="1:4">
      <c r="A341" s="297">
        <v>43585</v>
      </c>
      <c r="B341" s="298">
        <v>2.283E-2</v>
      </c>
      <c r="C341" s="296">
        <v>4634</v>
      </c>
      <c r="D341" s="296">
        <v>7939</v>
      </c>
    </row>
    <row r="342" spans="1:4">
      <c r="A342" s="297">
        <v>43586</v>
      </c>
      <c r="B342" s="298">
        <v>2.283E-2</v>
      </c>
      <c r="C342" s="296" t="s">
        <v>8</v>
      </c>
      <c r="D342" s="296">
        <v>7939</v>
      </c>
    </row>
    <row r="343" spans="1:4">
      <c r="A343" s="297">
        <v>43587</v>
      </c>
      <c r="B343" s="298">
        <v>2.2540000000000001E-2</v>
      </c>
      <c r="C343" s="296">
        <v>4285</v>
      </c>
      <c r="D343" s="296">
        <v>6935</v>
      </c>
    </row>
    <row r="344" spans="1:4">
      <c r="A344" s="297">
        <v>43588</v>
      </c>
      <c r="B344" s="298">
        <v>2.2689999999999998E-2</v>
      </c>
      <c r="C344" s="296">
        <v>3423</v>
      </c>
      <c r="D344" s="296">
        <v>6078</v>
      </c>
    </row>
    <row r="345" spans="1:4">
      <c r="A345" s="297">
        <v>43589</v>
      </c>
      <c r="B345" s="298">
        <v>2.2689999999999998E-2</v>
      </c>
      <c r="C345" s="296" t="s">
        <v>8</v>
      </c>
      <c r="D345" s="296">
        <v>6078</v>
      </c>
    </row>
    <row r="346" spans="1:4">
      <c r="A346" s="297">
        <v>43590</v>
      </c>
      <c r="B346" s="298">
        <v>2.2689999999999998E-2</v>
      </c>
      <c r="C346" s="296" t="s">
        <v>8</v>
      </c>
      <c r="D346" s="296">
        <v>6078</v>
      </c>
    </row>
    <row r="347" spans="1:4">
      <c r="A347" s="297">
        <v>43591</v>
      </c>
      <c r="B347" s="298">
        <v>2.256E-2</v>
      </c>
      <c r="C347" s="296">
        <v>3019</v>
      </c>
      <c r="D347" s="296">
        <v>5674</v>
      </c>
    </row>
    <row r="348" spans="1:4">
      <c r="A348" s="297">
        <v>43592</v>
      </c>
      <c r="B348" s="298">
        <v>2.2530000000000001E-2</v>
      </c>
      <c r="C348" s="296">
        <v>3045</v>
      </c>
      <c r="D348" s="296">
        <v>5700</v>
      </c>
    </row>
    <row r="349" spans="1:4">
      <c r="A349" s="297">
        <v>43593</v>
      </c>
      <c r="B349" s="298">
        <v>2.257E-2</v>
      </c>
      <c r="C349" s="296">
        <v>2786</v>
      </c>
      <c r="D349" s="296">
        <v>5691</v>
      </c>
    </row>
    <row r="350" spans="1:4">
      <c r="A350" s="297">
        <v>43594</v>
      </c>
      <c r="B350" s="298">
        <v>2.2519999999999998E-2</v>
      </c>
      <c r="C350" s="296">
        <v>3491</v>
      </c>
      <c r="D350" s="296">
        <v>6296</v>
      </c>
    </row>
    <row r="351" spans="1:4">
      <c r="A351" s="297">
        <v>43595</v>
      </c>
      <c r="B351" s="298">
        <v>2.2519999999999998E-2</v>
      </c>
      <c r="C351" s="296">
        <v>2909</v>
      </c>
      <c r="D351" s="296">
        <v>5709</v>
      </c>
    </row>
    <row r="352" spans="1:4">
      <c r="A352" s="297">
        <v>43596</v>
      </c>
      <c r="B352" s="298">
        <v>2.2519999999999998E-2</v>
      </c>
      <c r="C352" s="296" t="s">
        <v>8</v>
      </c>
      <c r="D352" s="296">
        <v>5709</v>
      </c>
    </row>
    <row r="353" spans="1:4">
      <c r="A353" s="297">
        <v>43597</v>
      </c>
      <c r="B353" s="298">
        <v>2.2519999999999998E-2</v>
      </c>
      <c r="C353" s="296" t="s">
        <v>8</v>
      </c>
      <c r="D353" s="296">
        <v>5709</v>
      </c>
    </row>
    <row r="354" spans="1:4">
      <c r="A354" s="297">
        <v>43598</v>
      </c>
      <c r="B354" s="298">
        <v>2.2530000000000001E-2</v>
      </c>
      <c r="C354" s="296">
        <v>3213</v>
      </c>
      <c r="D354" s="296">
        <v>6013</v>
      </c>
    </row>
    <row r="355" spans="1:4">
      <c r="A355" s="297">
        <v>43599</v>
      </c>
      <c r="B355" s="298">
        <v>2.2509999999999999E-2</v>
      </c>
      <c r="C355" s="296">
        <v>3405</v>
      </c>
      <c r="D355" s="296">
        <v>6210</v>
      </c>
    </row>
    <row r="356" spans="1:4">
      <c r="A356" s="297">
        <v>43600</v>
      </c>
      <c r="B356" s="298">
        <v>2.2509999999999999E-2</v>
      </c>
      <c r="C356" s="296">
        <v>3302</v>
      </c>
      <c r="D356" s="296">
        <v>6107</v>
      </c>
    </row>
    <row r="357" spans="1:4">
      <c r="A357" s="297">
        <v>43601</v>
      </c>
      <c r="B357" s="298">
        <v>2.2550000000000001E-2</v>
      </c>
      <c r="C357" s="296">
        <v>3721</v>
      </c>
      <c r="D357" s="296">
        <v>6526</v>
      </c>
    </row>
    <row r="358" spans="1:4">
      <c r="A358" s="297">
        <v>43602</v>
      </c>
      <c r="B358" s="298">
        <v>2.2499999999999999E-2</v>
      </c>
      <c r="C358" s="296">
        <v>2974</v>
      </c>
      <c r="D358" s="296">
        <v>5934</v>
      </c>
    </row>
    <row r="359" spans="1:4">
      <c r="A359" s="297">
        <v>43603</v>
      </c>
      <c r="B359" s="298">
        <v>2.2499999999999999E-2</v>
      </c>
      <c r="C359" s="296" t="s">
        <v>8</v>
      </c>
      <c r="D359" s="296">
        <v>5934</v>
      </c>
    </row>
    <row r="360" spans="1:4">
      <c r="A360" s="297">
        <v>43604</v>
      </c>
      <c r="B360" s="298">
        <v>2.2499999999999999E-2</v>
      </c>
      <c r="C360" s="296" t="s">
        <v>8</v>
      </c>
      <c r="D360" s="296">
        <v>5934</v>
      </c>
    </row>
    <row r="361" spans="1:4">
      <c r="A361" s="297">
        <v>43605</v>
      </c>
      <c r="B361" s="298">
        <v>2.256E-2</v>
      </c>
      <c r="C361" s="296">
        <v>1926</v>
      </c>
      <c r="D361" s="296">
        <v>4531</v>
      </c>
    </row>
    <row r="362" spans="1:4">
      <c r="A362" s="297">
        <v>43606</v>
      </c>
      <c r="B362" s="298">
        <v>2.2499999999999999E-2</v>
      </c>
      <c r="C362" s="296">
        <v>2239</v>
      </c>
      <c r="D362" s="296">
        <v>4749</v>
      </c>
    </row>
    <row r="363" spans="1:4">
      <c r="A363" s="297">
        <v>43607</v>
      </c>
      <c r="B363" s="298">
        <v>2.2499999999999999E-2</v>
      </c>
      <c r="C363" s="296">
        <v>2573</v>
      </c>
      <c r="D363" s="296">
        <v>5283</v>
      </c>
    </row>
    <row r="364" spans="1:4">
      <c r="A364" s="297">
        <v>43608</v>
      </c>
      <c r="B364" s="298">
        <v>2.256E-2</v>
      </c>
      <c r="C364" s="296">
        <v>3816</v>
      </c>
      <c r="D364" s="296">
        <v>7031</v>
      </c>
    </row>
    <row r="365" spans="1:4">
      <c r="A365" s="297">
        <v>43609</v>
      </c>
      <c r="B365" s="298">
        <v>2.2540000000000001E-2</v>
      </c>
      <c r="C365" s="296">
        <v>3726</v>
      </c>
      <c r="D365" s="296">
        <v>6926</v>
      </c>
    </row>
    <row r="366" spans="1:4">
      <c r="A366" s="297">
        <v>43610</v>
      </c>
      <c r="B366" s="298">
        <v>2.2540000000000001E-2</v>
      </c>
      <c r="C366" s="296" t="s">
        <v>8</v>
      </c>
      <c r="D366" s="296">
        <v>6926</v>
      </c>
    </row>
    <row r="367" spans="1:4">
      <c r="A367" s="297">
        <v>43611</v>
      </c>
      <c r="B367" s="298">
        <v>2.2540000000000001E-2</v>
      </c>
      <c r="C367" s="296" t="s">
        <v>8</v>
      </c>
      <c r="D367" s="296">
        <v>6926</v>
      </c>
    </row>
    <row r="368" spans="1:4">
      <c r="A368" s="297">
        <v>43612</v>
      </c>
      <c r="B368" s="298">
        <v>2.2540000000000001E-2</v>
      </c>
      <c r="C368" s="296">
        <v>3440</v>
      </c>
      <c r="D368" s="296">
        <v>6800</v>
      </c>
    </row>
    <row r="369" spans="1:4">
      <c r="A369" s="297">
        <v>43613</v>
      </c>
      <c r="B369" s="298">
        <v>2.2540000000000001E-2</v>
      </c>
      <c r="C369" s="296">
        <v>4568</v>
      </c>
      <c r="D369" s="296">
        <v>8163</v>
      </c>
    </row>
    <row r="370" spans="1:4">
      <c r="A370" s="297">
        <v>43614</v>
      </c>
      <c r="B370" s="298">
        <v>2.256E-2</v>
      </c>
      <c r="C370" s="296">
        <v>4133</v>
      </c>
      <c r="D370" s="296">
        <v>7828</v>
      </c>
    </row>
    <row r="371" spans="1:4">
      <c r="A371" s="297">
        <v>43615</v>
      </c>
      <c r="B371" s="298">
        <v>2.266E-2</v>
      </c>
      <c r="C371" s="296">
        <v>5149</v>
      </c>
      <c r="D371" s="296">
        <v>7944</v>
      </c>
    </row>
    <row r="372" spans="1:4">
      <c r="A372" s="297">
        <v>43616</v>
      </c>
      <c r="B372" s="298">
        <v>2.2679999999999999E-2</v>
      </c>
      <c r="C372" s="296">
        <v>5341</v>
      </c>
      <c r="D372" s="296">
        <v>7891</v>
      </c>
    </row>
    <row r="373" spans="1:4">
      <c r="A373" s="297">
        <v>43617</v>
      </c>
      <c r="B373" s="298">
        <v>2.2679999999999999E-2</v>
      </c>
      <c r="C373" s="296" t="s">
        <v>8</v>
      </c>
      <c r="D373" s="296">
        <v>7891</v>
      </c>
    </row>
    <row r="374" spans="1:4">
      <c r="A374" s="297">
        <v>43618</v>
      </c>
      <c r="B374" s="298">
        <v>2.2679999999999999E-2</v>
      </c>
      <c r="C374" s="296" t="s">
        <v>8</v>
      </c>
      <c r="D374" s="296">
        <v>7891</v>
      </c>
    </row>
    <row r="375" spans="1:4">
      <c r="A375" s="297">
        <v>43619</v>
      </c>
      <c r="B375" s="298">
        <v>2.2669999999999999E-2</v>
      </c>
      <c r="C375" s="296">
        <v>3635</v>
      </c>
      <c r="D375" s="296">
        <v>7685</v>
      </c>
    </row>
    <row r="376" spans="1:4">
      <c r="A376" s="297">
        <v>43620</v>
      </c>
      <c r="B376" s="298">
        <v>2.2839999999999999E-2</v>
      </c>
      <c r="C376" s="296">
        <v>4241</v>
      </c>
      <c r="D376" s="296">
        <v>8111</v>
      </c>
    </row>
    <row r="377" spans="1:4">
      <c r="A377" s="297">
        <v>43621</v>
      </c>
      <c r="B377" s="298">
        <v>2.2839999999999999E-2</v>
      </c>
      <c r="C377" s="296" t="s">
        <v>8</v>
      </c>
      <c r="D377" s="296">
        <v>8111</v>
      </c>
    </row>
    <row r="378" spans="1:4">
      <c r="A378" s="297">
        <v>43622</v>
      </c>
      <c r="B378" s="298">
        <v>2.2839999999999999E-2</v>
      </c>
      <c r="C378" s="296" t="s">
        <v>8</v>
      </c>
      <c r="D378" s="296">
        <v>8111</v>
      </c>
    </row>
    <row r="379" spans="1:4">
      <c r="A379" s="297">
        <v>43623</v>
      </c>
      <c r="B379" s="298">
        <v>2.2839999999999999E-2</v>
      </c>
      <c r="C379" s="296" t="s">
        <v>8</v>
      </c>
      <c r="D379" s="296">
        <v>8111</v>
      </c>
    </row>
    <row r="380" spans="1:4">
      <c r="A380" s="297">
        <v>43624</v>
      </c>
      <c r="B380" s="298">
        <v>2.2839999999999999E-2</v>
      </c>
      <c r="C380" s="296" t="s">
        <v>8</v>
      </c>
      <c r="D380" s="296">
        <v>8111</v>
      </c>
    </row>
    <row r="381" spans="1:4">
      <c r="A381" s="297">
        <v>43625</v>
      </c>
      <c r="B381" s="298">
        <v>2.2839999999999999E-2</v>
      </c>
      <c r="C381" s="296" t="s">
        <v>8</v>
      </c>
      <c r="D381" s="296">
        <v>8111</v>
      </c>
    </row>
    <row r="382" spans="1:4">
      <c r="A382" s="297">
        <v>43626</v>
      </c>
      <c r="B382" s="298">
        <v>2.2530000000000001E-2</v>
      </c>
      <c r="C382" s="296">
        <v>2826</v>
      </c>
      <c r="D382" s="296">
        <v>5836</v>
      </c>
    </row>
    <row r="383" spans="1:4">
      <c r="A383" s="297">
        <v>43627</v>
      </c>
      <c r="B383" s="298">
        <v>2.2689999999999998E-2</v>
      </c>
      <c r="C383" s="296">
        <v>3797</v>
      </c>
      <c r="D383" s="296">
        <v>6807</v>
      </c>
    </row>
    <row r="384" spans="1:4">
      <c r="A384" s="297">
        <v>43628</v>
      </c>
      <c r="B384" s="298">
        <v>2.273E-2</v>
      </c>
      <c r="C384" s="296">
        <v>3029</v>
      </c>
      <c r="D384" s="296">
        <v>6489</v>
      </c>
    </row>
    <row r="385" spans="1:4">
      <c r="A385" s="297">
        <v>43629</v>
      </c>
      <c r="B385" s="298">
        <v>2.256E-2</v>
      </c>
      <c r="C385" s="296">
        <v>3237</v>
      </c>
      <c r="D385" s="296">
        <v>5997</v>
      </c>
    </row>
    <row r="386" spans="1:4">
      <c r="A386" s="297">
        <v>43630</v>
      </c>
      <c r="B386" s="298">
        <v>2.2550000000000001E-2</v>
      </c>
      <c r="C386" s="296">
        <v>2740</v>
      </c>
      <c r="D386" s="296">
        <v>5650</v>
      </c>
    </row>
    <row r="387" spans="1:4">
      <c r="A387" s="297">
        <v>43631</v>
      </c>
      <c r="B387" s="298">
        <v>2.2550000000000001E-2</v>
      </c>
      <c r="C387" s="296" t="s">
        <v>8</v>
      </c>
      <c r="D387" s="296">
        <v>5650</v>
      </c>
    </row>
    <row r="388" spans="1:4">
      <c r="A388" s="297">
        <v>43632</v>
      </c>
      <c r="B388" s="298">
        <v>2.2550000000000001E-2</v>
      </c>
      <c r="C388" s="296" t="s">
        <v>8</v>
      </c>
      <c r="D388" s="296">
        <v>5650</v>
      </c>
    </row>
    <row r="389" spans="1:4">
      <c r="A389" s="297">
        <v>43633</v>
      </c>
      <c r="B389" s="298">
        <v>2.2519999999999998E-2</v>
      </c>
      <c r="C389" s="296">
        <v>2798</v>
      </c>
      <c r="D389" s="296">
        <v>6358</v>
      </c>
    </row>
    <row r="390" spans="1:4">
      <c r="A390" s="297">
        <v>43634</v>
      </c>
      <c r="B390" s="298">
        <v>2.2499999999999999E-2</v>
      </c>
      <c r="C390" s="296">
        <v>3510</v>
      </c>
      <c r="D390" s="296">
        <v>7370</v>
      </c>
    </row>
    <row r="391" spans="1:4">
      <c r="A391" s="297">
        <v>43635</v>
      </c>
      <c r="B391" s="298">
        <v>2.2499999999999999E-2</v>
      </c>
      <c r="C391" s="296">
        <v>3493</v>
      </c>
      <c r="D391" s="296">
        <v>6903</v>
      </c>
    </row>
    <row r="392" spans="1:4">
      <c r="A392" s="297">
        <v>43636</v>
      </c>
      <c r="B392" s="298">
        <v>2.307E-2</v>
      </c>
      <c r="C392" s="296">
        <v>4161</v>
      </c>
      <c r="D392" s="296">
        <v>7891</v>
      </c>
    </row>
    <row r="393" spans="1:4">
      <c r="A393" s="297">
        <v>43637</v>
      </c>
      <c r="B393" s="298">
        <v>2.2669999999999999E-2</v>
      </c>
      <c r="C393" s="296">
        <v>2132</v>
      </c>
      <c r="D393" s="296">
        <v>5872</v>
      </c>
    </row>
    <row r="394" spans="1:4">
      <c r="A394" s="297">
        <v>43638</v>
      </c>
      <c r="B394" s="298">
        <v>2.2669999999999999E-2</v>
      </c>
      <c r="C394" s="296" t="s">
        <v>8</v>
      </c>
      <c r="D394" s="296">
        <v>5872</v>
      </c>
    </row>
    <row r="395" spans="1:4">
      <c r="A395" s="297">
        <v>43639</v>
      </c>
      <c r="B395" s="298">
        <v>2.2669999999999999E-2</v>
      </c>
      <c r="C395" s="296" t="s">
        <v>8</v>
      </c>
      <c r="D395" s="296">
        <v>5872</v>
      </c>
    </row>
    <row r="396" spans="1:4">
      <c r="A396" s="297">
        <v>43640</v>
      </c>
      <c r="B396" s="298">
        <v>2.256E-2</v>
      </c>
      <c r="C396" s="296">
        <v>1886</v>
      </c>
      <c r="D396" s="296">
        <v>6426</v>
      </c>
    </row>
    <row r="397" spans="1:4">
      <c r="A397" s="297">
        <v>43641</v>
      </c>
      <c r="B397" s="298">
        <v>2.2579999999999999E-2</v>
      </c>
      <c r="C397" s="296">
        <v>3344</v>
      </c>
      <c r="D397" s="296">
        <v>7884</v>
      </c>
    </row>
    <row r="398" spans="1:4">
      <c r="A398" s="297">
        <v>43642</v>
      </c>
      <c r="B398" s="298">
        <v>2.2620000000000001E-2</v>
      </c>
      <c r="C398" s="296">
        <v>2891</v>
      </c>
      <c r="D398" s="296">
        <v>7431</v>
      </c>
    </row>
    <row r="399" spans="1:4">
      <c r="A399" s="297">
        <v>43643</v>
      </c>
      <c r="B399" s="298">
        <v>2.265E-2</v>
      </c>
      <c r="C399" s="296">
        <v>4046</v>
      </c>
      <c r="D399" s="296">
        <v>8286</v>
      </c>
    </row>
    <row r="400" spans="1:4">
      <c r="A400" s="297">
        <v>43644</v>
      </c>
      <c r="B400" s="298">
        <v>2.29E-2</v>
      </c>
      <c r="C400" s="296">
        <v>6276</v>
      </c>
      <c r="D400" s="296">
        <v>8886</v>
      </c>
    </row>
    <row r="401" spans="1:4">
      <c r="A401" s="297">
        <v>43645</v>
      </c>
      <c r="B401" s="298">
        <v>2.29E-2</v>
      </c>
      <c r="C401" s="296" t="s">
        <v>8</v>
      </c>
      <c r="D401" s="296">
        <v>8886</v>
      </c>
    </row>
    <row r="402" spans="1:4">
      <c r="A402" s="297">
        <v>43646</v>
      </c>
      <c r="B402" s="298">
        <v>2.29E-2</v>
      </c>
      <c r="C402" s="296" t="s">
        <v>8</v>
      </c>
      <c r="D402" s="296">
        <v>8886</v>
      </c>
    </row>
    <row r="403" spans="1:4">
      <c r="A403" s="297">
        <v>43647</v>
      </c>
      <c r="B403" s="298">
        <v>2.2679999999999999E-2</v>
      </c>
      <c r="C403" s="296">
        <v>4978</v>
      </c>
      <c r="D403" s="296">
        <v>8408</v>
      </c>
    </row>
    <row r="404" spans="1:4">
      <c r="A404" s="297">
        <v>43648</v>
      </c>
      <c r="B404" s="298">
        <v>2.256E-2</v>
      </c>
      <c r="C404" s="296">
        <v>4987</v>
      </c>
      <c r="D404" s="296">
        <v>8237</v>
      </c>
    </row>
    <row r="405" spans="1:4">
      <c r="A405" s="297">
        <v>43649</v>
      </c>
      <c r="B405" s="298">
        <v>2.256E-2</v>
      </c>
      <c r="C405" s="296">
        <v>4738</v>
      </c>
      <c r="D405" s="296">
        <v>7988</v>
      </c>
    </row>
    <row r="406" spans="1:4">
      <c r="A406" s="297">
        <v>43650</v>
      </c>
      <c r="B406" s="298">
        <v>2.2499999999999999E-2</v>
      </c>
      <c r="C406" s="296">
        <v>3209</v>
      </c>
      <c r="D406" s="296">
        <v>6459</v>
      </c>
    </row>
    <row r="407" spans="1:4">
      <c r="A407" s="297">
        <v>43651</v>
      </c>
      <c r="B407" s="298">
        <v>2.2550000000000001E-2</v>
      </c>
      <c r="C407" s="296">
        <v>3316</v>
      </c>
      <c r="D407" s="296">
        <v>7026</v>
      </c>
    </row>
    <row r="408" spans="1:4">
      <c r="A408" s="297">
        <v>43652</v>
      </c>
      <c r="B408" s="298">
        <v>2.2550000000000001E-2</v>
      </c>
      <c r="C408" s="296" t="s">
        <v>8</v>
      </c>
      <c r="D408" s="296">
        <v>7026</v>
      </c>
    </row>
    <row r="409" spans="1:4">
      <c r="A409" s="297">
        <v>43653</v>
      </c>
      <c r="B409" s="298">
        <v>2.2550000000000001E-2</v>
      </c>
      <c r="C409" s="296" t="s">
        <v>8</v>
      </c>
      <c r="D409" s="296">
        <v>7026</v>
      </c>
    </row>
    <row r="410" spans="1:4">
      <c r="A410" s="297">
        <v>43654</v>
      </c>
      <c r="B410" s="298">
        <v>2.2519999999999998E-2</v>
      </c>
      <c r="C410" s="296">
        <v>3769</v>
      </c>
      <c r="D410" s="296">
        <v>7529</v>
      </c>
    </row>
    <row r="411" spans="1:4">
      <c r="A411" s="297">
        <v>43655</v>
      </c>
      <c r="B411" s="298">
        <v>2.2530000000000001E-2</v>
      </c>
      <c r="C411" s="296">
        <v>3053</v>
      </c>
      <c r="D411" s="296">
        <v>6813</v>
      </c>
    </row>
    <row r="412" spans="1:4">
      <c r="A412" s="297">
        <v>43656</v>
      </c>
      <c r="B412" s="298">
        <v>2.256E-2</v>
      </c>
      <c r="C412" s="296">
        <v>3566</v>
      </c>
      <c r="D412" s="296">
        <v>7276</v>
      </c>
    </row>
    <row r="413" spans="1:4">
      <c r="A413" s="297">
        <v>43657</v>
      </c>
      <c r="B413" s="298">
        <v>2.2550000000000001E-2</v>
      </c>
      <c r="C413" s="296">
        <v>3921</v>
      </c>
      <c r="D413" s="296">
        <v>7631</v>
      </c>
    </row>
    <row r="414" spans="1:4">
      <c r="A414" s="297">
        <v>43658</v>
      </c>
      <c r="B414" s="298">
        <v>2.264E-2</v>
      </c>
      <c r="C414" s="296">
        <v>4148</v>
      </c>
      <c r="D414" s="296">
        <v>7758</v>
      </c>
    </row>
    <row r="415" spans="1:4">
      <c r="A415" s="297">
        <v>43659</v>
      </c>
      <c r="B415" s="298">
        <v>2.264E-2</v>
      </c>
      <c r="C415" s="296" t="s">
        <v>8</v>
      </c>
      <c r="D415" s="296">
        <v>7758</v>
      </c>
    </row>
    <row r="416" spans="1:4">
      <c r="A416" s="297">
        <v>43660</v>
      </c>
      <c r="B416" s="298">
        <v>2.264E-2</v>
      </c>
      <c r="C416" s="296" t="s">
        <v>8</v>
      </c>
      <c r="D416" s="296">
        <v>7758</v>
      </c>
    </row>
    <row r="417" spans="1:4">
      <c r="A417" s="297">
        <v>43661</v>
      </c>
      <c r="B417" s="298">
        <v>2.2679999999999999E-2</v>
      </c>
      <c r="C417" s="296">
        <v>2925</v>
      </c>
      <c r="D417" s="296">
        <v>5275</v>
      </c>
    </row>
    <row r="418" spans="1:4">
      <c r="A418" s="297">
        <v>43662</v>
      </c>
      <c r="B418" s="298">
        <v>2.2579999999999999E-2</v>
      </c>
      <c r="C418" s="296">
        <v>2430</v>
      </c>
      <c r="D418" s="296">
        <v>4560</v>
      </c>
    </row>
    <row r="419" spans="1:4">
      <c r="A419" s="297">
        <v>43663</v>
      </c>
      <c r="B419" s="298">
        <v>2.2509999999999999E-2</v>
      </c>
      <c r="C419" s="296">
        <v>2184</v>
      </c>
      <c r="D419" s="296">
        <v>4414</v>
      </c>
    </row>
    <row r="420" spans="1:4">
      <c r="A420" s="297">
        <v>43664</v>
      </c>
      <c r="B420" s="298">
        <v>2.2599999999999999E-2</v>
      </c>
      <c r="C420" s="296">
        <v>3178</v>
      </c>
      <c r="D420" s="296">
        <v>5408</v>
      </c>
    </row>
    <row r="421" spans="1:4">
      <c r="A421" s="297">
        <v>43665</v>
      </c>
      <c r="B421" s="298">
        <v>2.264E-2</v>
      </c>
      <c r="C421" s="296">
        <v>3659</v>
      </c>
      <c r="D421" s="296">
        <v>5809</v>
      </c>
    </row>
    <row r="422" spans="1:4">
      <c r="A422" s="297">
        <v>43666</v>
      </c>
      <c r="B422" s="298">
        <v>2.264E-2</v>
      </c>
      <c r="C422" s="296" t="s">
        <v>8</v>
      </c>
      <c r="D422" s="296">
        <v>5809</v>
      </c>
    </row>
    <row r="423" spans="1:4">
      <c r="A423" s="297">
        <v>43667</v>
      </c>
      <c r="B423" s="298">
        <v>2.264E-2</v>
      </c>
      <c r="C423" s="296" t="s">
        <v>8</v>
      </c>
      <c r="D423" s="296">
        <v>5809</v>
      </c>
    </row>
    <row r="424" spans="1:4">
      <c r="A424" s="297">
        <v>43668</v>
      </c>
      <c r="B424" s="298">
        <v>2.2550000000000001E-2</v>
      </c>
      <c r="C424" s="296">
        <v>4429</v>
      </c>
      <c r="D424" s="296">
        <v>6529</v>
      </c>
    </row>
    <row r="425" spans="1:4">
      <c r="A425" s="297">
        <v>43669</v>
      </c>
      <c r="B425" s="298">
        <v>2.2499999999999999E-2</v>
      </c>
      <c r="C425" s="296">
        <v>4126</v>
      </c>
      <c r="D425" s="296">
        <v>6226</v>
      </c>
    </row>
    <row r="426" spans="1:4">
      <c r="A426" s="297">
        <v>43670</v>
      </c>
      <c r="B426" s="298">
        <v>2.2499999999999999E-2</v>
      </c>
      <c r="C426" s="296">
        <v>3079</v>
      </c>
      <c r="D426" s="296">
        <v>5234</v>
      </c>
    </row>
    <row r="427" spans="1:4">
      <c r="A427" s="297">
        <v>43671</v>
      </c>
      <c r="B427" s="298">
        <v>2.265E-2</v>
      </c>
      <c r="C427" s="296">
        <v>4324</v>
      </c>
      <c r="D427" s="296">
        <v>6474</v>
      </c>
    </row>
    <row r="428" spans="1:4">
      <c r="A428" s="297">
        <v>43672</v>
      </c>
      <c r="B428" s="298">
        <v>2.2630000000000001E-2</v>
      </c>
      <c r="C428" s="296">
        <v>4129</v>
      </c>
      <c r="D428" s="296">
        <v>6319</v>
      </c>
    </row>
    <row r="429" spans="1:4">
      <c r="A429" s="297">
        <v>43673</v>
      </c>
      <c r="B429" s="298">
        <v>2.2630000000000001E-2</v>
      </c>
      <c r="C429" s="296" t="s">
        <v>8</v>
      </c>
      <c r="D429" s="296">
        <v>6319</v>
      </c>
    </row>
    <row r="430" spans="1:4">
      <c r="A430" s="297">
        <v>43674</v>
      </c>
      <c r="B430" s="298">
        <v>2.2630000000000001E-2</v>
      </c>
      <c r="C430" s="296" t="s">
        <v>8</v>
      </c>
      <c r="D430" s="296">
        <v>6319</v>
      </c>
    </row>
    <row r="431" spans="1:4">
      <c r="A431" s="297">
        <v>43675</v>
      </c>
      <c r="B431" s="298">
        <v>2.2700000000000001E-2</v>
      </c>
      <c r="C431" s="296">
        <v>3690</v>
      </c>
      <c r="D431" s="296">
        <v>5880</v>
      </c>
    </row>
    <row r="432" spans="1:4">
      <c r="A432" s="297">
        <v>43676</v>
      </c>
      <c r="B432" s="298">
        <v>2.2700000000000001E-2</v>
      </c>
      <c r="C432" s="296" t="s">
        <v>8</v>
      </c>
      <c r="D432" s="296">
        <v>5880</v>
      </c>
    </row>
    <row r="433" spans="1:4">
      <c r="A433" s="297">
        <v>43677</v>
      </c>
      <c r="B433" s="298">
        <v>2.2970000000000001E-2</v>
      </c>
      <c r="C433" s="296">
        <v>3457</v>
      </c>
      <c r="D433" s="296">
        <v>5212</v>
      </c>
    </row>
    <row r="434" spans="1:4">
      <c r="A434" s="297">
        <v>43678</v>
      </c>
      <c r="B434" s="298">
        <v>2.317E-2</v>
      </c>
      <c r="C434" s="296">
        <v>2601</v>
      </c>
      <c r="D434" s="296">
        <v>5111</v>
      </c>
    </row>
    <row r="435" spans="1:4">
      <c r="A435" s="297">
        <v>43679</v>
      </c>
      <c r="B435" s="298">
        <v>2.315E-2</v>
      </c>
      <c r="C435" s="296">
        <v>4244</v>
      </c>
      <c r="D435" s="296">
        <v>8099</v>
      </c>
    </row>
    <row r="436" spans="1:4">
      <c r="A436" s="297">
        <v>43680</v>
      </c>
      <c r="B436" s="298">
        <v>2.315E-2</v>
      </c>
      <c r="C436" s="296" t="s">
        <v>8</v>
      </c>
      <c r="D436" s="296">
        <v>8099</v>
      </c>
    </row>
    <row r="437" spans="1:4">
      <c r="A437" s="297">
        <v>43681</v>
      </c>
      <c r="B437" s="298">
        <v>2.315E-2</v>
      </c>
      <c r="C437" s="296" t="s">
        <v>8</v>
      </c>
      <c r="D437" s="296">
        <v>8099</v>
      </c>
    </row>
    <row r="438" spans="1:4">
      <c r="A438" s="297">
        <v>43682</v>
      </c>
      <c r="B438" s="298">
        <v>2.3109999999999999E-2</v>
      </c>
      <c r="C438" s="296">
        <v>3257</v>
      </c>
      <c r="D438" s="296">
        <v>7812</v>
      </c>
    </row>
    <row r="439" spans="1:4">
      <c r="A439" s="297">
        <v>43683</v>
      </c>
      <c r="B439" s="298">
        <v>2.2669999999999999E-2</v>
      </c>
      <c r="C439" s="296">
        <v>2144</v>
      </c>
      <c r="D439" s="296">
        <v>7599</v>
      </c>
    </row>
    <row r="440" spans="1:4">
      <c r="A440" s="297">
        <v>43684</v>
      </c>
      <c r="B440" s="298">
        <v>2.2849999999999999E-2</v>
      </c>
      <c r="C440" s="296">
        <v>2995</v>
      </c>
      <c r="D440" s="296">
        <v>8450</v>
      </c>
    </row>
    <row r="441" spans="1:4">
      <c r="A441" s="297">
        <v>43685</v>
      </c>
      <c r="B441" s="298">
        <v>2.358E-2</v>
      </c>
      <c r="C441" s="296">
        <v>2886</v>
      </c>
      <c r="D441" s="296">
        <v>7241</v>
      </c>
    </row>
    <row r="442" spans="1:4">
      <c r="A442" s="297">
        <v>43686</v>
      </c>
      <c r="B442" s="298">
        <v>2.8570000000000002E-2</v>
      </c>
      <c r="C442" s="296">
        <v>2199</v>
      </c>
      <c r="D442" s="296">
        <v>6534</v>
      </c>
    </row>
    <row r="443" spans="1:4">
      <c r="A443" s="297">
        <v>43687</v>
      </c>
      <c r="B443" s="298">
        <v>2.8570000000000002E-2</v>
      </c>
      <c r="C443" s="296" t="s">
        <v>8</v>
      </c>
      <c r="D443" s="296">
        <v>6534</v>
      </c>
    </row>
    <row r="444" spans="1:4">
      <c r="A444" s="297">
        <v>43688</v>
      </c>
      <c r="B444" s="298">
        <v>2.8570000000000002E-2</v>
      </c>
      <c r="C444" s="296" t="s">
        <v>8</v>
      </c>
      <c r="D444" s="296">
        <v>6534</v>
      </c>
    </row>
    <row r="445" spans="1:4">
      <c r="A445" s="297">
        <v>43689</v>
      </c>
      <c r="B445" s="298">
        <v>2.8570000000000002E-2</v>
      </c>
      <c r="C445" s="296" t="s">
        <v>8</v>
      </c>
      <c r="D445" s="296">
        <v>6534</v>
      </c>
    </row>
    <row r="446" spans="1:4">
      <c r="A446" s="297">
        <v>43690</v>
      </c>
      <c r="B446" s="298">
        <v>2.8570000000000002E-2</v>
      </c>
      <c r="C446" s="296" t="s">
        <v>8</v>
      </c>
      <c r="D446" s="296">
        <v>6534</v>
      </c>
    </row>
    <row r="447" spans="1:4">
      <c r="A447" s="297">
        <v>43691</v>
      </c>
      <c r="B447" s="298">
        <v>2.8570000000000002E-2</v>
      </c>
      <c r="C447" s="296" t="s">
        <v>8</v>
      </c>
      <c r="D447" s="296">
        <v>6534</v>
      </c>
    </row>
    <row r="448" spans="1:4">
      <c r="A448" s="297">
        <v>43692</v>
      </c>
      <c r="B448" s="298">
        <v>2.4240000000000001E-2</v>
      </c>
      <c r="C448" s="296">
        <v>2937</v>
      </c>
      <c r="D448" s="296">
        <v>6522</v>
      </c>
    </row>
    <row r="449" spans="1:4">
      <c r="A449" s="297">
        <v>43693</v>
      </c>
      <c r="B449" s="298">
        <v>2.3820000000000001E-2</v>
      </c>
      <c r="C449" s="296">
        <v>6060</v>
      </c>
      <c r="D449" s="296">
        <v>9610</v>
      </c>
    </row>
    <row r="450" spans="1:4">
      <c r="A450" s="297">
        <v>43694</v>
      </c>
      <c r="B450" s="298">
        <v>2.3820000000000001E-2</v>
      </c>
      <c r="C450" s="296" t="s">
        <v>8</v>
      </c>
      <c r="D450" s="296">
        <v>9610</v>
      </c>
    </row>
    <row r="451" spans="1:4">
      <c r="A451" s="297">
        <v>43695</v>
      </c>
      <c r="B451" s="298">
        <v>2.3820000000000001E-2</v>
      </c>
      <c r="C451" s="296" t="s">
        <v>8</v>
      </c>
      <c r="D451" s="296">
        <v>9610</v>
      </c>
    </row>
    <row r="452" spans="1:4">
      <c r="A452" s="297">
        <v>43696</v>
      </c>
      <c r="B452" s="298">
        <v>2.384E-2</v>
      </c>
      <c r="C452" s="296">
        <v>4633</v>
      </c>
      <c r="D452" s="296">
        <v>8183</v>
      </c>
    </row>
    <row r="453" spans="1:4">
      <c r="A453" s="297">
        <v>43697</v>
      </c>
      <c r="B453" s="298">
        <v>2.384E-2</v>
      </c>
      <c r="C453" s="296" t="s">
        <v>8</v>
      </c>
      <c r="D453" s="296">
        <v>8183</v>
      </c>
    </row>
    <row r="454" spans="1:4">
      <c r="A454" s="297">
        <v>43698</v>
      </c>
      <c r="B454" s="298">
        <v>2.384E-2</v>
      </c>
      <c r="C454" s="296" t="s">
        <v>8</v>
      </c>
      <c r="D454" s="296">
        <v>8183</v>
      </c>
    </row>
    <row r="455" spans="1:4">
      <c r="A455" s="297">
        <v>43699</v>
      </c>
      <c r="B455" s="298">
        <v>2.334E-2</v>
      </c>
      <c r="C455" s="296">
        <v>5664</v>
      </c>
      <c r="D455" s="296">
        <v>9214</v>
      </c>
    </row>
    <row r="456" spans="1:4">
      <c r="A456" s="297">
        <v>43700</v>
      </c>
      <c r="B456" s="298">
        <v>2.281E-2</v>
      </c>
      <c r="C456" s="296">
        <v>5865</v>
      </c>
      <c r="D456" s="296">
        <v>8165</v>
      </c>
    </row>
    <row r="457" spans="1:4">
      <c r="A457" s="297">
        <v>43701</v>
      </c>
      <c r="B457" s="298">
        <v>2.281E-2</v>
      </c>
      <c r="C457" s="296" t="s">
        <v>8</v>
      </c>
      <c r="D457" s="296">
        <v>8165</v>
      </c>
    </row>
    <row r="458" spans="1:4">
      <c r="A458" s="297">
        <v>43702</v>
      </c>
      <c r="B458" s="298">
        <v>2.281E-2</v>
      </c>
      <c r="C458" s="296" t="s">
        <v>8</v>
      </c>
      <c r="D458" s="296">
        <v>8165</v>
      </c>
    </row>
    <row r="459" spans="1:4">
      <c r="A459" s="297">
        <v>43703</v>
      </c>
      <c r="B459" s="298">
        <v>2.257E-2</v>
      </c>
      <c r="C459" s="296">
        <v>3485</v>
      </c>
      <c r="D459" s="296">
        <v>7255</v>
      </c>
    </row>
    <row r="460" spans="1:4">
      <c r="A460" s="297">
        <v>43704</v>
      </c>
      <c r="B460" s="298">
        <v>2.2499999999999999E-2</v>
      </c>
      <c r="C460" s="296">
        <v>2414</v>
      </c>
      <c r="D460" s="296">
        <v>6484</v>
      </c>
    </row>
    <row r="461" spans="1:4">
      <c r="A461" s="297">
        <v>43705</v>
      </c>
      <c r="B461" s="298">
        <v>2.2499999999999999E-2</v>
      </c>
      <c r="C461" s="296">
        <v>2178</v>
      </c>
      <c r="D461" s="296">
        <v>6348</v>
      </c>
    </row>
    <row r="462" spans="1:4">
      <c r="A462" s="297">
        <v>43706</v>
      </c>
      <c r="B462" s="298">
        <v>2.2579999999999999E-2</v>
      </c>
      <c r="C462" s="296">
        <v>3916</v>
      </c>
      <c r="D462" s="296">
        <v>7616</v>
      </c>
    </row>
    <row r="463" spans="1:4">
      <c r="A463" s="297">
        <v>43707</v>
      </c>
      <c r="B463" s="298">
        <v>2.2929999999999999E-2</v>
      </c>
      <c r="C463" s="296">
        <v>3781</v>
      </c>
      <c r="D463" s="296">
        <v>7391</v>
      </c>
    </row>
    <row r="464" spans="1:4">
      <c r="A464" s="297">
        <v>43708</v>
      </c>
      <c r="B464" s="298">
        <v>2.2929999999999999E-2</v>
      </c>
      <c r="C464" s="296" t="s">
        <v>8</v>
      </c>
      <c r="D464" s="296">
        <v>7391</v>
      </c>
    </row>
    <row r="465" spans="1:4">
      <c r="A465" s="297">
        <v>43709</v>
      </c>
      <c r="B465" s="298">
        <v>2.2929999999999999E-2</v>
      </c>
      <c r="C465" s="296" t="s">
        <v>8</v>
      </c>
      <c r="D465" s="296">
        <v>7391</v>
      </c>
    </row>
    <row r="466" spans="1:4">
      <c r="A466" s="297">
        <v>43710</v>
      </c>
      <c r="B466" s="298">
        <v>2.2499999999999999E-2</v>
      </c>
      <c r="C466" s="296">
        <v>2450</v>
      </c>
      <c r="D466" s="296">
        <v>7310</v>
      </c>
    </row>
    <row r="467" spans="1:4">
      <c r="A467" s="297">
        <v>43711</v>
      </c>
      <c r="B467" s="298">
        <v>2.256E-2</v>
      </c>
      <c r="C467" s="296">
        <v>3097</v>
      </c>
      <c r="D467" s="296">
        <v>7477</v>
      </c>
    </row>
    <row r="468" spans="1:4">
      <c r="A468" s="297">
        <v>43712</v>
      </c>
      <c r="B468" s="298">
        <v>2.2610000000000002E-2</v>
      </c>
      <c r="C468" s="296">
        <v>2773</v>
      </c>
      <c r="D468" s="296">
        <v>7053</v>
      </c>
    </row>
    <row r="469" spans="1:4">
      <c r="A469" s="297">
        <v>43713</v>
      </c>
      <c r="B469" s="298">
        <v>2.2550000000000001E-2</v>
      </c>
      <c r="C469" s="296">
        <v>2749</v>
      </c>
      <c r="D469" s="296">
        <v>6479</v>
      </c>
    </row>
    <row r="470" spans="1:4">
      <c r="A470" s="297">
        <v>43714</v>
      </c>
      <c r="B470" s="298">
        <v>2.257E-2</v>
      </c>
      <c r="C470" s="296">
        <v>5045</v>
      </c>
      <c r="D470" s="296">
        <v>8635</v>
      </c>
    </row>
    <row r="471" spans="1:4">
      <c r="A471" s="297">
        <v>43715</v>
      </c>
      <c r="B471" s="298">
        <v>2.257E-2</v>
      </c>
      <c r="C471" s="296" t="s">
        <v>8</v>
      </c>
      <c r="D471" s="296">
        <v>8635</v>
      </c>
    </row>
    <row r="472" spans="1:4">
      <c r="A472" s="297">
        <v>43716</v>
      </c>
      <c r="B472" s="298">
        <v>2.257E-2</v>
      </c>
      <c r="C472" s="296" t="s">
        <v>8</v>
      </c>
      <c r="D472" s="296">
        <v>8635</v>
      </c>
    </row>
    <row r="473" spans="1:4">
      <c r="A473" s="297">
        <v>43717</v>
      </c>
      <c r="B473" s="298">
        <v>2.2589999999999999E-2</v>
      </c>
      <c r="C473" s="296">
        <v>5117</v>
      </c>
      <c r="D473" s="296">
        <v>8117</v>
      </c>
    </row>
    <row r="474" spans="1:4">
      <c r="A474" s="297">
        <v>43718</v>
      </c>
      <c r="B474" s="298">
        <v>2.2550000000000001E-2</v>
      </c>
      <c r="C474" s="296">
        <v>5455</v>
      </c>
      <c r="D474" s="296">
        <v>8795</v>
      </c>
    </row>
    <row r="475" spans="1:4">
      <c r="A475" s="297">
        <v>43719</v>
      </c>
      <c r="B475" s="298">
        <v>2.2499999999999999E-2</v>
      </c>
      <c r="C475" s="296">
        <v>4630</v>
      </c>
      <c r="D475" s="296">
        <v>8420</v>
      </c>
    </row>
    <row r="476" spans="1:4">
      <c r="A476" s="297">
        <v>43720</v>
      </c>
      <c r="B476" s="298">
        <v>2.2530000000000001E-2</v>
      </c>
      <c r="C476" s="296">
        <v>3473</v>
      </c>
      <c r="D476" s="296">
        <v>7133</v>
      </c>
    </row>
    <row r="477" spans="1:4">
      <c r="A477" s="297">
        <v>43721</v>
      </c>
      <c r="B477" s="298">
        <v>2.2870000000000001E-2</v>
      </c>
      <c r="C477" s="296">
        <v>3644</v>
      </c>
      <c r="D477" s="296">
        <v>7434</v>
      </c>
    </row>
    <row r="478" spans="1:4">
      <c r="A478" s="297">
        <v>43722</v>
      </c>
      <c r="B478" s="298">
        <v>2.2870000000000001E-2</v>
      </c>
      <c r="C478" s="296" t="s">
        <v>8</v>
      </c>
      <c r="D478" s="296">
        <v>7434</v>
      </c>
    </row>
    <row r="479" spans="1:4">
      <c r="A479" s="297">
        <v>43723</v>
      </c>
      <c r="B479" s="298">
        <v>2.2870000000000001E-2</v>
      </c>
      <c r="C479" s="296" t="s">
        <v>8</v>
      </c>
      <c r="D479" s="296">
        <v>7434</v>
      </c>
    </row>
    <row r="480" spans="1:4">
      <c r="A480" s="297">
        <v>43724</v>
      </c>
      <c r="B480" s="298">
        <v>2.3009999999999999E-2</v>
      </c>
      <c r="C480" s="296">
        <v>5311</v>
      </c>
      <c r="D480" s="296">
        <v>8901</v>
      </c>
    </row>
    <row r="481" spans="1:4">
      <c r="A481" s="297">
        <v>43725</v>
      </c>
      <c r="B481" s="298">
        <v>2.273E-2</v>
      </c>
      <c r="C481" s="296">
        <v>3948</v>
      </c>
      <c r="D481" s="296">
        <v>7288</v>
      </c>
    </row>
    <row r="482" spans="1:4">
      <c r="A482" s="297">
        <v>43726</v>
      </c>
      <c r="B482" s="298">
        <v>2.256E-2</v>
      </c>
      <c r="C482" s="296">
        <v>4483</v>
      </c>
      <c r="D482" s="296">
        <v>8323</v>
      </c>
    </row>
    <row r="483" spans="1:4">
      <c r="A483" s="297">
        <v>43727</v>
      </c>
      <c r="B483" s="298">
        <v>2.2550000000000001E-2</v>
      </c>
      <c r="C483" s="296">
        <v>2452</v>
      </c>
      <c r="D483" s="296">
        <v>6252</v>
      </c>
    </row>
    <row r="484" spans="1:4">
      <c r="A484" s="297">
        <v>43728</v>
      </c>
      <c r="B484" s="298">
        <v>2.257E-2</v>
      </c>
      <c r="C484" s="296">
        <v>3857</v>
      </c>
      <c r="D484" s="296">
        <v>8927</v>
      </c>
    </row>
    <row r="485" spans="1:4">
      <c r="A485" s="297">
        <v>43729</v>
      </c>
      <c r="B485" s="298">
        <v>2.257E-2</v>
      </c>
      <c r="C485" s="296" t="s">
        <v>8</v>
      </c>
      <c r="D485" s="296">
        <v>8927</v>
      </c>
    </row>
    <row r="486" spans="1:4">
      <c r="A486" s="297">
        <v>43730</v>
      </c>
      <c r="B486" s="298">
        <v>2.257E-2</v>
      </c>
      <c r="C486" s="296" t="s">
        <v>8</v>
      </c>
      <c r="D486" s="296">
        <v>8927</v>
      </c>
    </row>
    <row r="487" spans="1:4">
      <c r="A487" s="297">
        <v>43731</v>
      </c>
      <c r="B487" s="298">
        <v>2.2499999999999999E-2</v>
      </c>
      <c r="C487" s="296">
        <v>2202</v>
      </c>
      <c r="D487" s="296">
        <v>7722</v>
      </c>
    </row>
    <row r="488" spans="1:4">
      <c r="A488" s="297">
        <v>43732</v>
      </c>
      <c r="B488" s="298">
        <v>2.2499999999999999E-2</v>
      </c>
      <c r="C488" s="296">
        <v>2555</v>
      </c>
      <c r="D488" s="296">
        <v>8075</v>
      </c>
    </row>
    <row r="489" spans="1:4">
      <c r="A489" s="297">
        <v>43733</v>
      </c>
      <c r="B489" s="298">
        <v>2.2499999999999999E-2</v>
      </c>
      <c r="C489" s="296">
        <v>3413</v>
      </c>
      <c r="D489" s="296">
        <v>9033</v>
      </c>
    </row>
    <row r="490" spans="1:4">
      <c r="A490" s="297">
        <v>43734</v>
      </c>
      <c r="B490" s="298">
        <v>2.2550000000000001E-2</v>
      </c>
      <c r="C490" s="296">
        <v>3872</v>
      </c>
      <c r="D490" s="296">
        <v>8742</v>
      </c>
    </row>
    <row r="491" spans="1:4">
      <c r="A491" s="297">
        <v>43735</v>
      </c>
      <c r="B491" s="298">
        <v>2.2679999999999999E-2</v>
      </c>
      <c r="C491" s="296">
        <v>3573</v>
      </c>
      <c r="D491" s="296">
        <v>7743</v>
      </c>
    </row>
    <row r="492" spans="1:4">
      <c r="A492" s="297">
        <v>43736</v>
      </c>
      <c r="B492" s="298">
        <v>2.2679999999999999E-2</v>
      </c>
      <c r="C492" s="296" t="s">
        <v>8</v>
      </c>
      <c r="D492" s="296">
        <v>7743</v>
      </c>
    </row>
    <row r="493" spans="1:4">
      <c r="A493" s="297">
        <v>43737</v>
      </c>
      <c r="B493" s="298">
        <v>2.2679999999999999E-2</v>
      </c>
      <c r="C493" s="296" t="s">
        <v>8</v>
      </c>
      <c r="D493" s="296">
        <v>7743</v>
      </c>
    </row>
    <row r="494" spans="1:4">
      <c r="A494" s="297">
        <v>43738</v>
      </c>
      <c r="B494" s="298">
        <v>2.298E-2</v>
      </c>
      <c r="C494" s="296">
        <v>3218</v>
      </c>
      <c r="D494" s="296">
        <v>6943</v>
      </c>
    </row>
    <row r="495" spans="1:4">
      <c r="A495" s="297">
        <v>43739</v>
      </c>
      <c r="B495" s="298">
        <v>2.2499999999999999E-2</v>
      </c>
      <c r="C495" s="296">
        <v>2323</v>
      </c>
      <c r="D495" s="296">
        <v>6478</v>
      </c>
    </row>
    <row r="496" spans="1:4">
      <c r="A496" s="297">
        <v>43740</v>
      </c>
      <c r="B496" s="298">
        <v>2.2499999999999999E-2</v>
      </c>
      <c r="C496" s="296">
        <v>2514</v>
      </c>
      <c r="D496" s="296">
        <v>5969</v>
      </c>
    </row>
    <row r="497" spans="1:4">
      <c r="A497" s="297">
        <v>43741</v>
      </c>
      <c r="B497" s="298">
        <v>2.2499999999999999E-2</v>
      </c>
      <c r="C497" s="296">
        <v>2548</v>
      </c>
      <c r="D497" s="296">
        <v>6253</v>
      </c>
    </row>
    <row r="498" spans="1:4">
      <c r="A498" s="297">
        <v>43742</v>
      </c>
      <c r="B498" s="298">
        <v>2.2550000000000001E-2</v>
      </c>
      <c r="C498" s="296">
        <v>3283</v>
      </c>
      <c r="D498" s="296">
        <v>7353</v>
      </c>
    </row>
    <row r="499" spans="1:4">
      <c r="A499" s="297">
        <v>43743</v>
      </c>
      <c r="B499" s="298">
        <v>2.2550000000000001E-2</v>
      </c>
      <c r="C499" s="296" t="s">
        <v>8</v>
      </c>
      <c r="D499" s="296">
        <v>7353</v>
      </c>
    </row>
    <row r="500" spans="1:4">
      <c r="A500" s="297">
        <v>43744</v>
      </c>
      <c r="B500" s="298">
        <v>2.2550000000000001E-2</v>
      </c>
      <c r="C500" s="296" t="s">
        <v>8</v>
      </c>
      <c r="D500" s="296">
        <v>7353</v>
      </c>
    </row>
    <row r="501" spans="1:4">
      <c r="A501" s="297">
        <v>43745</v>
      </c>
      <c r="B501" s="298">
        <v>2.2579999999999999E-2</v>
      </c>
      <c r="C501" s="296">
        <v>3064</v>
      </c>
      <c r="D501" s="296">
        <v>7234</v>
      </c>
    </row>
    <row r="502" spans="1:4">
      <c r="A502" s="297">
        <v>43746</v>
      </c>
      <c r="B502" s="298">
        <v>2.2540000000000001E-2</v>
      </c>
      <c r="C502" s="296">
        <v>3927</v>
      </c>
      <c r="D502" s="296">
        <v>8097</v>
      </c>
    </row>
    <row r="503" spans="1:4">
      <c r="A503" s="297">
        <v>43747</v>
      </c>
      <c r="B503" s="298">
        <v>2.2550000000000001E-2</v>
      </c>
      <c r="C503" s="296">
        <v>4774</v>
      </c>
      <c r="D503" s="296">
        <v>8944</v>
      </c>
    </row>
    <row r="504" spans="1:4">
      <c r="A504" s="297">
        <v>43748</v>
      </c>
      <c r="B504" s="298">
        <v>2.257E-2</v>
      </c>
      <c r="C504" s="296">
        <v>5298</v>
      </c>
      <c r="D504" s="296">
        <v>8968</v>
      </c>
    </row>
    <row r="505" spans="1:4">
      <c r="A505" s="297">
        <v>43749</v>
      </c>
      <c r="B505" s="298">
        <v>2.2540000000000001E-2</v>
      </c>
      <c r="C505" s="296">
        <v>4538</v>
      </c>
      <c r="D505" s="296">
        <v>8008</v>
      </c>
    </row>
    <row r="506" spans="1:4">
      <c r="A506" s="297">
        <v>43750</v>
      </c>
      <c r="B506" s="298">
        <v>2.2540000000000001E-2</v>
      </c>
      <c r="C506" s="296" t="s">
        <v>8</v>
      </c>
      <c r="D506" s="296">
        <v>8008</v>
      </c>
    </row>
    <row r="507" spans="1:4">
      <c r="A507" s="297">
        <v>43751</v>
      </c>
      <c r="B507" s="298">
        <v>2.2540000000000001E-2</v>
      </c>
      <c r="C507" s="296" t="s">
        <v>8</v>
      </c>
      <c r="D507" s="296">
        <v>8008</v>
      </c>
    </row>
    <row r="508" spans="1:4">
      <c r="A508" s="297">
        <v>43752</v>
      </c>
      <c r="B508" s="298">
        <v>2.2710000000000001E-2</v>
      </c>
      <c r="C508" s="296">
        <v>5308</v>
      </c>
      <c r="D508" s="296">
        <v>8478</v>
      </c>
    </row>
    <row r="509" spans="1:4">
      <c r="A509" s="297">
        <v>43753</v>
      </c>
      <c r="B509" s="298">
        <v>2.2700000000000001E-2</v>
      </c>
      <c r="C509" s="296">
        <v>4348</v>
      </c>
      <c r="D509" s="296">
        <v>7788</v>
      </c>
    </row>
    <row r="510" spans="1:4">
      <c r="A510" s="297">
        <v>43754</v>
      </c>
      <c r="B510" s="298">
        <v>2.256E-2</v>
      </c>
      <c r="C510" s="296">
        <v>2799</v>
      </c>
      <c r="D510" s="296">
        <v>6389</v>
      </c>
    </row>
    <row r="511" spans="1:4">
      <c r="A511" s="297">
        <v>43755</v>
      </c>
      <c r="B511" s="298">
        <v>2.2550000000000001E-2</v>
      </c>
      <c r="C511" s="296">
        <v>3039</v>
      </c>
      <c r="D511" s="296">
        <v>7009</v>
      </c>
    </row>
    <row r="512" spans="1:4">
      <c r="A512" s="297">
        <v>43756</v>
      </c>
      <c r="B512" s="298">
        <v>2.2579999999999999E-2</v>
      </c>
      <c r="C512" s="296">
        <v>3660</v>
      </c>
      <c r="D512" s="296">
        <v>7630</v>
      </c>
    </row>
    <row r="513" spans="1:4">
      <c r="A513" s="297">
        <v>43757</v>
      </c>
      <c r="B513" s="298">
        <v>2.2579999999999999E-2</v>
      </c>
      <c r="C513" s="296" t="s">
        <v>8</v>
      </c>
      <c r="D513" s="296">
        <v>7630</v>
      </c>
    </row>
    <row r="514" spans="1:4">
      <c r="A514" s="297">
        <v>43758</v>
      </c>
      <c r="B514" s="298">
        <v>2.2579999999999999E-2</v>
      </c>
      <c r="C514" s="296" t="s">
        <v>8</v>
      </c>
      <c r="D514" s="296">
        <v>7630</v>
      </c>
    </row>
    <row r="515" spans="1:4">
      <c r="A515" s="297">
        <v>43759</v>
      </c>
      <c r="B515" s="298">
        <v>2.2499999999999999E-2</v>
      </c>
      <c r="C515" s="296">
        <v>2738</v>
      </c>
      <c r="D515" s="296">
        <v>7383</v>
      </c>
    </row>
    <row r="516" spans="1:4">
      <c r="A516" s="297">
        <v>43760</v>
      </c>
      <c r="B516" s="298">
        <v>2.2499999999999999E-2</v>
      </c>
      <c r="C516" s="296">
        <v>2517</v>
      </c>
      <c r="D516" s="296">
        <v>7662</v>
      </c>
    </row>
    <row r="517" spans="1:4">
      <c r="A517" s="297">
        <v>43761</v>
      </c>
      <c r="B517" s="298">
        <v>2.2499999999999999E-2</v>
      </c>
      <c r="C517" s="296">
        <v>3922</v>
      </c>
      <c r="D517" s="296">
        <v>9067</v>
      </c>
    </row>
    <row r="518" spans="1:4">
      <c r="A518" s="297">
        <v>43762</v>
      </c>
      <c r="B518" s="298">
        <v>2.2499999999999999E-2</v>
      </c>
      <c r="C518" s="296">
        <v>3797</v>
      </c>
      <c r="D518" s="296">
        <v>8812</v>
      </c>
    </row>
    <row r="519" spans="1:4">
      <c r="A519" s="297">
        <v>43763</v>
      </c>
      <c r="B519" s="298">
        <v>2.2499999999999999E-2</v>
      </c>
      <c r="C519" s="296">
        <v>2456</v>
      </c>
      <c r="D519" s="296">
        <v>7411</v>
      </c>
    </row>
    <row r="520" spans="1:4">
      <c r="A520" s="297">
        <v>43764</v>
      </c>
      <c r="B520" s="298">
        <v>2.2499999999999999E-2</v>
      </c>
      <c r="C520" s="296" t="s">
        <v>8</v>
      </c>
      <c r="D520" s="296">
        <v>7411</v>
      </c>
    </row>
    <row r="521" spans="1:4">
      <c r="A521" s="297">
        <v>43765</v>
      </c>
      <c r="B521" s="298">
        <v>2.2499999999999999E-2</v>
      </c>
      <c r="C521" s="296" t="s">
        <v>8</v>
      </c>
      <c r="D521" s="296">
        <v>7411</v>
      </c>
    </row>
    <row r="522" spans="1:4">
      <c r="A522" s="297">
        <v>43766</v>
      </c>
      <c r="B522" s="298">
        <v>2.2550000000000001E-2</v>
      </c>
      <c r="C522" s="296">
        <v>2784</v>
      </c>
      <c r="D522" s="296">
        <v>7659</v>
      </c>
    </row>
    <row r="523" spans="1:4">
      <c r="A523" s="297">
        <v>43767</v>
      </c>
      <c r="B523" s="298">
        <v>2.2599999999999999E-2</v>
      </c>
      <c r="C523" s="296">
        <v>2403</v>
      </c>
      <c r="D523" s="296">
        <v>7628</v>
      </c>
    </row>
    <row r="524" spans="1:4">
      <c r="A524" s="297">
        <v>43768</v>
      </c>
      <c r="B524" s="298">
        <v>2.2800000000000001E-2</v>
      </c>
      <c r="C524" s="296">
        <v>4380</v>
      </c>
      <c r="D524" s="296">
        <v>9605</v>
      </c>
    </row>
    <row r="525" spans="1:4">
      <c r="A525" s="297">
        <v>43769</v>
      </c>
      <c r="B525" s="298">
        <v>2.2939999999999999E-2</v>
      </c>
      <c r="C525" s="296">
        <v>2823</v>
      </c>
      <c r="D525" s="296">
        <v>6728</v>
      </c>
    </row>
    <row r="526" spans="1:4">
      <c r="A526" s="297">
        <v>43770</v>
      </c>
      <c r="B526" s="298">
        <v>2.2700000000000001E-2</v>
      </c>
      <c r="C526" s="296">
        <v>2892</v>
      </c>
      <c r="D526" s="296">
        <v>7342</v>
      </c>
    </row>
    <row r="527" spans="1:4">
      <c r="A527" s="297">
        <v>43771</v>
      </c>
      <c r="B527" s="298">
        <v>2.2700000000000001E-2</v>
      </c>
      <c r="C527" s="296" t="s">
        <v>8</v>
      </c>
      <c r="D527" s="296">
        <v>7342</v>
      </c>
    </row>
    <row r="528" spans="1:4">
      <c r="A528" s="297">
        <v>43772</v>
      </c>
      <c r="B528" s="298">
        <v>2.2700000000000001E-2</v>
      </c>
      <c r="C528" s="296" t="s">
        <v>8</v>
      </c>
      <c r="D528" s="296">
        <v>7342</v>
      </c>
    </row>
    <row r="529" spans="1:4">
      <c r="A529" s="297">
        <v>43773</v>
      </c>
      <c r="B529" s="298">
        <v>2.264E-2</v>
      </c>
      <c r="C529" s="296">
        <v>2445</v>
      </c>
      <c r="D529" s="296">
        <v>8295</v>
      </c>
    </row>
    <row r="530" spans="1:4">
      <c r="A530" s="297">
        <v>43774</v>
      </c>
      <c r="B530" s="298">
        <v>2.2610000000000002E-2</v>
      </c>
      <c r="C530" s="296">
        <v>3256</v>
      </c>
      <c r="D530" s="296">
        <v>8986</v>
      </c>
    </row>
    <row r="531" spans="1:4">
      <c r="A531" s="297">
        <v>43775</v>
      </c>
      <c r="B531" s="298">
        <v>2.2610000000000002E-2</v>
      </c>
      <c r="C531" s="296" t="s">
        <v>8</v>
      </c>
      <c r="D531" s="296">
        <v>8986</v>
      </c>
    </row>
    <row r="532" spans="1:4">
      <c r="A532" s="297">
        <v>43776</v>
      </c>
      <c r="B532" s="298">
        <v>2.3029999999999998E-2</v>
      </c>
      <c r="C532" s="296">
        <v>3569</v>
      </c>
      <c r="D532" s="296">
        <v>8099</v>
      </c>
    </row>
    <row r="533" spans="1:4">
      <c r="A533" s="297">
        <v>43777</v>
      </c>
      <c r="B533" s="298">
        <v>2.2630000000000001E-2</v>
      </c>
      <c r="C533" s="296">
        <v>3215</v>
      </c>
      <c r="D533" s="296">
        <v>7715</v>
      </c>
    </row>
    <row r="534" spans="1:4">
      <c r="A534" s="297">
        <v>43778</v>
      </c>
      <c r="B534" s="298">
        <v>2.2630000000000001E-2</v>
      </c>
      <c r="C534" s="296" t="s">
        <v>8</v>
      </c>
      <c r="D534" s="296">
        <v>7715</v>
      </c>
    </row>
    <row r="535" spans="1:4">
      <c r="A535" s="297">
        <v>43779</v>
      </c>
      <c r="B535" s="298">
        <v>2.2630000000000001E-2</v>
      </c>
      <c r="C535" s="296" t="s">
        <v>8</v>
      </c>
      <c r="D535" s="296">
        <v>7715</v>
      </c>
    </row>
    <row r="536" spans="1:4">
      <c r="A536" s="297">
        <v>43780</v>
      </c>
      <c r="B536" s="298">
        <v>2.2630000000000001E-2</v>
      </c>
      <c r="C536" s="296" t="s">
        <v>8</v>
      </c>
      <c r="D536" s="296">
        <v>7715</v>
      </c>
    </row>
    <row r="537" spans="1:4">
      <c r="A537" s="297">
        <v>43781</v>
      </c>
      <c r="B537" s="298">
        <v>2.2530000000000001E-2</v>
      </c>
      <c r="C537" s="296">
        <v>2442</v>
      </c>
      <c r="D537" s="296">
        <v>6942</v>
      </c>
    </row>
    <row r="538" spans="1:4">
      <c r="A538" s="297">
        <v>43782</v>
      </c>
      <c r="B538" s="298">
        <v>2.264E-2</v>
      </c>
      <c r="C538" s="296">
        <v>3215</v>
      </c>
      <c r="D538" s="296">
        <v>7715</v>
      </c>
    </row>
    <row r="539" spans="1:4">
      <c r="A539" s="297">
        <v>43783</v>
      </c>
      <c r="B539" s="298">
        <v>2.2530000000000001E-2</v>
      </c>
      <c r="C539" s="296">
        <v>2489</v>
      </c>
      <c r="D539" s="296">
        <v>6889</v>
      </c>
    </row>
    <row r="540" spans="1:4">
      <c r="A540" s="297">
        <v>43784</v>
      </c>
      <c r="B540" s="298">
        <v>2.2720000000000001E-2</v>
      </c>
      <c r="C540" s="296">
        <v>3506</v>
      </c>
      <c r="D540" s="296">
        <v>7896</v>
      </c>
    </row>
    <row r="541" spans="1:4">
      <c r="A541" s="297">
        <v>43785</v>
      </c>
      <c r="B541" s="298">
        <v>2.2720000000000001E-2</v>
      </c>
      <c r="C541" s="296" t="s">
        <v>8</v>
      </c>
      <c r="D541" s="296">
        <v>7896</v>
      </c>
    </row>
    <row r="542" spans="1:4">
      <c r="A542" s="297">
        <v>43786</v>
      </c>
      <c r="B542" s="298">
        <v>2.2720000000000001E-2</v>
      </c>
      <c r="C542" s="296" t="s">
        <v>8</v>
      </c>
      <c r="D542" s="296">
        <v>7896</v>
      </c>
    </row>
    <row r="543" spans="1:4">
      <c r="A543" s="297">
        <v>43787</v>
      </c>
      <c r="B543" s="298">
        <v>2.2720000000000001E-2</v>
      </c>
      <c r="C543" s="296" t="s">
        <v>8</v>
      </c>
      <c r="D543" s="296">
        <v>7896</v>
      </c>
    </row>
    <row r="544" spans="1:4">
      <c r="A544" s="297">
        <v>43788</v>
      </c>
      <c r="B544" s="298">
        <v>2.2519999999999998E-2</v>
      </c>
      <c r="C544" s="296">
        <v>2755</v>
      </c>
      <c r="D544" s="296">
        <v>7200</v>
      </c>
    </row>
    <row r="545" spans="1:4">
      <c r="A545" s="297">
        <v>43789</v>
      </c>
      <c r="B545" s="298">
        <v>2.2519999999999998E-2</v>
      </c>
      <c r="C545" s="296">
        <v>2722</v>
      </c>
      <c r="D545" s="296">
        <v>7167</v>
      </c>
    </row>
    <row r="546" spans="1:4">
      <c r="A546" s="297">
        <v>43790</v>
      </c>
      <c r="B546" s="298">
        <v>2.264E-2</v>
      </c>
      <c r="C546" s="296">
        <v>2672</v>
      </c>
      <c r="D546" s="296">
        <v>7117</v>
      </c>
    </row>
    <row r="547" spans="1:4">
      <c r="A547" s="297">
        <v>43791</v>
      </c>
      <c r="B547" s="298">
        <v>2.2679999999999999E-2</v>
      </c>
      <c r="C547" s="296">
        <v>3135</v>
      </c>
      <c r="D547" s="296">
        <v>7470</v>
      </c>
    </row>
    <row r="548" spans="1:4">
      <c r="A548" s="297">
        <v>43792</v>
      </c>
      <c r="B548" s="298">
        <v>2.2679999999999999E-2</v>
      </c>
      <c r="C548" s="296" t="s">
        <v>8</v>
      </c>
      <c r="D548" s="296">
        <v>7470</v>
      </c>
    </row>
    <row r="549" spans="1:4">
      <c r="A549" s="297">
        <v>43793</v>
      </c>
      <c r="B549" s="298">
        <v>2.2679999999999999E-2</v>
      </c>
      <c r="C549" s="296" t="s">
        <v>8</v>
      </c>
      <c r="D549" s="296">
        <v>7470</v>
      </c>
    </row>
    <row r="550" spans="1:4">
      <c r="A550" s="297">
        <v>43794</v>
      </c>
      <c r="B550" s="298">
        <v>2.2679999999999999E-2</v>
      </c>
      <c r="C550" s="296">
        <v>2564</v>
      </c>
      <c r="D550" s="296">
        <v>7619</v>
      </c>
    </row>
    <row r="551" spans="1:4">
      <c r="A551" s="297">
        <v>43795</v>
      </c>
      <c r="B551" s="298">
        <v>2.2769999999999999E-2</v>
      </c>
      <c r="C551" s="296">
        <v>3167</v>
      </c>
      <c r="D551" s="296">
        <v>8242</v>
      </c>
    </row>
    <row r="552" spans="1:4">
      <c r="A552" s="297">
        <v>43796</v>
      </c>
      <c r="B552" s="298">
        <v>2.2769999999999999E-2</v>
      </c>
      <c r="C552" s="296">
        <v>3179</v>
      </c>
      <c r="D552" s="296">
        <v>8254</v>
      </c>
    </row>
    <row r="553" spans="1:4">
      <c r="A553" s="297">
        <v>43797</v>
      </c>
      <c r="B553" s="298">
        <v>2.2530000000000001E-2</v>
      </c>
      <c r="C553" s="296">
        <v>2338</v>
      </c>
      <c r="D553" s="296">
        <v>6513</v>
      </c>
    </row>
    <row r="554" spans="1:4">
      <c r="A554" s="297">
        <v>43798</v>
      </c>
      <c r="B554" s="298">
        <v>2.2759999999999999E-2</v>
      </c>
      <c r="C554" s="296">
        <v>3780</v>
      </c>
      <c r="D554" s="296">
        <v>7330</v>
      </c>
    </row>
    <row r="555" spans="1:4">
      <c r="A555" s="297">
        <v>43799</v>
      </c>
      <c r="B555" s="298">
        <v>2.2759999999999999E-2</v>
      </c>
      <c r="C555" s="296" t="s">
        <v>8</v>
      </c>
      <c r="D555" s="296">
        <v>7330</v>
      </c>
    </row>
    <row r="556" spans="1:4">
      <c r="A556" s="297">
        <v>43800</v>
      </c>
      <c r="B556" s="298">
        <v>2.2759999999999999E-2</v>
      </c>
      <c r="C556" s="296" t="s">
        <v>8</v>
      </c>
      <c r="D556" s="296">
        <v>7330</v>
      </c>
    </row>
    <row r="557" spans="1:4">
      <c r="A557" s="297">
        <v>43801</v>
      </c>
      <c r="B557" s="298">
        <v>2.2499999999999999E-2</v>
      </c>
      <c r="C557" s="296">
        <v>2364</v>
      </c>
      <c r="D557" s="296">
        <v>5889</v>
      </c>
    </row>
    <row r="558" spans="1:4">
      <c r="A558" s="297">
        <v>43802</v>
      </c>
      <c r="B558" s="298">
        <v>2.2509999999999999E-2</v>
      </c>
      <c r="C558" s="296">
        <v>2681</v>
      </c>
      <c r="D558" s="296">
        <v>5756</v>
      </c>
    </row>
    <row r="559" spans="1:4">
      <c r="A559" s="297">
        <v>43803</v>
      </c>
      <c r="B559" s="298">
        <v>2.2499999999999999E-2</v>
      </c>
      <c r="C559" s="296">
        <v>3218</v>
      </c>
      <c r="D559" s="296">
        <v>6748</v>
      </c>
    </row>
    <row r="560" spans="1:4">
      <c r="A560" s="297">
        <v>43804</v>
      </c>
      <c r="B560" s="298">
        <v>2.2550000000000001E-2</v>
      </c>
      <c r="C560" s="296">
        <v>3924</v>
      </c>
      <c r="D560" s="296">
        <v>7714</v>
      </c>
    </row>
    <row r="561" spans="1:4">
      <c r="A561" s="297">
        <v>43805</v>
      </c>
      <c r="B561" s="298">
        <v>2.265E-2</v>
      </c>
      <c r="C561" s="296">
        <v>3611</v>
      </c>
      <c r="D561" s="296">
        <v>7486</v>
      </c>
    </row>
    <row r="562" spans="1:4">
      <c r="A562" s="297">
        <v>43806</v>
      </c>
      <c r="B562" s="298">
        <v>2.265E-2</v>
      </c>
      <c r="C562" s="296" t="s">
        <v>8</v>
      </c>
      <c r="D562" s="296">
        <v>7486</v>
      </c>
    </row>
    <row r="563" spans="1:4">
      <c r="A563" s="297">
        <v>43807</v>
      </c>
      <c r="B563" s="298">
        <v>2.265E-2</v>
      </c>
      <c r="C563" s="296" t="s">
        <v>8</v>
      </c>
      <c r="D563" s="296">
        <v>7486</v>
      </c>
    </row>
    <row r="564" spans="1:4">
      <c r="A564" s="297">
        <v>43808</v>
      </c>
      <c r="B564" s="298">
        <v>2.2509999999999999E-2</v>
      </c>
      <c r="C564" s="296">
        <v>2585</v>
      </c>
      <c r="D564" s="296">
        <v>6460</v>
      </c>
    </row>
    <row r="565" spans="1:4">
      <c r="A565" s="297">
        <v>43809</v>
      </c>
      <c r="B565" s="298">
        <v>2.2519999999999998E-2</v>
      </c>
      <c r="C565" s="296">
        <v>2605</v>
      </c>
      <c r="D565" s="296">
        <v>6380</v>
      </c>
    </row>
    <row r="566" spans="1:4">
      <c r="A566" s="297">
        <v>43810</v>
      </c>
      <c r="B566" s="298">
        <v>2.2540000000000001E-2</v>
      </c>
      <c r="C566" s="296">
        <v>2760</v>
      </c>
      <c r="D566" s="296">
        <v>6735</v>
      </c>
    </row>
    <row r="567" spans="1:4">
      <c r="A567" s="297">
        <v>43811</v>
      </c>
      <c r="B567" s="298">
        <v>2.2579999999999999E-2</v>
      </c>
      <c r="C567" s="296">
        <v>3964</v>
      </c>
      <c r="D567" s="296">
        <v>8639</v>
      </c>
    </row>
    <row r="568" spans="1:4">
      <c r="A568" s="297">
        <v>43812</v>
      </c>
      <c r="B568" s="298">
        <v>2.2540000000000001E-2</v>
      </c>
      <c r="C568" s="296">
        <v>4026</v>
      </c>
      <c r="D568" s="296">
        <v>8941</v>
      </c>
    </row>
    <row r="569" spans="1:4">
      <c r="A569" s="297">
        <v>43813</v>
      </c>
      <c r="B569" s="298">
        <v>2.2540000000000001E-2</v>
      </c>
      <c r="C569" s="296" t="s">
        <v>8</v>
      </c>
      <c r="D569" s="296">
        <v>8941</v>
      </c>
    </row>
    <row r="570" spans="1:4">
      <c r="A570" s="297">
        <v>43814</v>
      </c>
      <c r="B570" s="298">
        <v>2.2540000000000001E-2</v>
      </c>
      <c r="C570" s="296" t="s">
        <v>8</v>
      </c>
      <c r="D570" s="296">
        <v>8941</v>
      </c>
    </row>
    <row r="571" spans="1:4">
      <c r="A571" s="297">
        <v>43815</v>
      </c>
      <c r="B571" s="298">
        <v>2.2509999999999999E-2</v>
      </c>
      <c r="C571" s="296">
        <v>2546</v>
      </c>
      <c r="D571" s="296">
        <v>7611</v>
      </c>
    </row>
    <row r="572" spans="1:4">
      <c r="A572" s="297">
        <v>43816</v>
      </c>
      <c r="B572" s="298">
        <v>2.2499999999999999E-2</v>
      </c>
      <c r="C572" s="296">
        <v>3619</v>
      </c>
      <c r="D572" s="296">
        <v>8684</v>
      </c>
    </row>
    <row r="573" spans="1:4">
      <c r="A573" s="297">
        <v>43817</v>
      </c>
      <c r="B573" s="298">
        <v>2.2620000000000001E-2</v>
      </c>
      <c r="C573" s="296">
        <v>3843</v>
      </c>
      <c r="D573" s="296">
        <v>8978</v>
      </c>
    </row>
    <row r="574" spans="1:4">
      <c r="A574" s="297">
        <v>43818</v>
      </c>
      <c r="B574" s="298">
        <v>2.2839999999999999E-2</v>
      </c>
      <c r="C574" s="296">
        <v>5480</v>
      </c>
      <c r="D574" s="296">
        <v>9655</v>
      </c>
    </row>
    <row r="575" spans="1:4">
      <c r="A575" s="297">
        <v>43819</v>
      </c>
      <c r="B575" s="298">
        <v>2.3099999999999999E-2</v>
      </c>
      <c r="C575" s="296">
        <v>5716</v>
      </c>
      <c r="D575" s="296">
        <v>9671</v>
      </c>
    </row>
    <row r="576" spans="1:4">
      <c r="A576" s="297">
        <v>43820</v>
      </c>
      <c r="B576" s="298">
        <v>2.3099999999999999E-2</v>
      </c>
      <c r="C576" s="296" t="s">
        <v>8</v>
      </c>
      <c r="D576" s="296">
        <v>9671</v>
      </c>
    </row>
    <row r="577" spans="1:4">
      <c r="A577" s="297">
        <v>43821</v>
      </c>
      <c r="B577" s="298">
        <v>2.3099999999999999E-2</v>
      </c>
      <c r="C577" s="296" t="s">
        <v>8</v>
      </c>
      <c r="D577" s="296">
        <v>9671</v>
      </c>
    </row>
    <row r="578" spans="1:4">
      <c r="A578" s="297">
        <v>43822</v>
      </c>
      <c r="B578" s="298">
        <v>2.299E-2</v>
      </c>
      <c r="C578" s="296">
        <v>4325</v>
      </c>
      <c r="D578" s="296">
        <v>7880</v>
      </c>
    </row>
    <row r="579" spans="1:4">
      <c r="A579" s="297">
        <v>43823</v>
      </c>
      <c r="B579" s="298">
        <v>2.3460000000000002E-2</v>
      </c>
      <c r="C579" s="296">
        <v>4765</v>
      </c>
      <c r="D579" s="296">
        <v>8570</v>
      </c>
    </row>
    <row r="580" spans="1:4">
      <c r="A580" s="297">
        <v>43824</v>
      </c>
      <c r="B580" s="298">
        <v>2.2950000000000002E-2</v>
      </c>
      <c r="C580" s="296">
        <v>3489</v>
      </c>
      <c r="D580" s="296">
        <v>7344</v>
      </c>
    </row>
    <row r="581" spans="1:4">
      <c r="A581" s="297">
        <v>43825</v>
      </c>
      <c r="B581" s="298">
        <v>2.2519999999999998E-2</v>
      </c>
      <c r="C581" s="296">
        <v>4074</v>
      </c>
      <c r="D581" s="296">
        <v>7929</v>
      </c>
    </row>
    <row r="582" spans="1:4">
      <c r="A582" s="297">
        <v>43826</v>
      </c>
      <c r="B582" s="298">
        <v>2.2540000000000001E-2</v>
      </c>
      <c r="C582" s="296">
        <v>5310</v>
      </c>
      <c r="D582" s="296">
        <v>8695</v>
      </c>
    </row>
    <row r="583" spans="1:4">
      <c r="A583" s="297">
        <v>43827</v>
      </c>
      <c r="B583" s="298">
        <v>2.2540000000000001E-2</v>
      </c>
      <c r="C583" s="296" t="s">
        <v>8</v>
      </c>
      <c r="D583" s="296">
        <v>8695</v>
      </c>
    </row>
    <row r="584" spans="1:4">
      <c r="A584" s="297">
        <v>43828</v>
      </c>
      <c r="B584" s="298">
        <v>2.2540000000000001E-2</v>
      </c>
      <c r="C584" s="296" t="s">
        <v>8</v>
      </c>
      <c r="D584" s="296">
        <v>8695</v>
      </c>
    </row>
    <row r="585" spans="1:4">
      <c r="A585" s="297">
        <v>43829</v>
      </c>
      <c r="B585" s="298">
        <v>2.2540000000000001E-2</v>
      </c>
      <c r="C585" s="296">
        <v>6314</v>
      </c>
      <c r="D585" s="296">
        <v>9699</v>
      </c>
    </row>
    <row r="586" spans="1:4">
      <c r="A586" s="297">
        <v>43830</v>
      </c>
      <c r="B586" s="298">
        <v>2.2620000000000001E-2</v>
      </c>
      <c r="C586" s="296">
        <v>4242</v>
      </c>
      <c r="D586" s="296">
        <v>6727</v>
      </c>
    </row>
    <row r="587" spans="1:4">
      <c r="A587" s="297">
        <v>43831</v>
      </c>
      <c r="B587" s="298">
        <v>2.2620000000000001E-2</v>
      </c>
      <c r="C587" s="296" t="s">
        <v>8</v>
      </c>
      <c r="D587" s="296">
        <v>6727</v>
      </c>
    </row>
    <row r="588" spans="1:4">
      <c r="A588" s="297">
        <v>43832</v>
      </c>
      <c r="B588" s="298">
        <v>2.2499999999999999E-2</v>
      </c>
      <c r="C588" s="296">
        <v>3774</v>
      </c>
      <c r="D588" s="296">
        <v>6689</v>
      </c>
    </row>
    <row r="589" spans="1:4">
      <c r="A589" s="297">
        <v>43833</v>
      </c>
      <c r="B589" s="298">
        <v>2.2509999999999999E-2</v>
      </c>
      <c r="C589" s="296">
        <v>3580</v>
      </c>
      <c r="D589" s="296">
        <v>6495</v>
      </c>
    </row>
    <row r="590" spans="1:4">
      <c r="A590" s="297">
        <v>43834</v>
      </c>
      <c r="B590" s="298">
        <v>2.2509999999999999E-2</v>
      </c>
      <c r="C590" s="296" t="s">
        <v>8</v>
      </c>
      <c r="D590" s="296">
        <v>6495</v>
      </c>
    </row>
    <row r="591" spans="1:4">
      <c r="A591" s="297">
        <v>43835</v>
      </c>
      <c r="B591" s="298">
        <v>2.2509999999999999E-2</v>
      </c>
      <c r="C591" s="296" t="s">
        <v>8</v>
      </c>
      <c r="D591" s="296">
        <v>6495</v>
      </c>
    </row>
    <row r="592" spans="1:4">
      <c r="A592" s="297">
        <v>43836</v>
      </c>
      <c r="B592" s="298">
        <v>2.2499999999999999E-2</v>
      </c>
      <c r="C592" s="296">
        <v>2928</v>
      </c>
      <c r="D592" s="296">
        <v>5843</v>
      </c>
    </row>
    <row r="593" spans="1:4">
      <c r="A593" s="297">
        <v>43837</v>
      </c>
      <c r="B593" s="298">
        <v>2.2499999999999999E-2</v>
      </c>
      <c r="C593" s="296">
        <v>2950</v>
      </c>
      <c r="D593" s="296">
        <v>5715</v>
      </c>
    </row>
    <row r="594" spans="1:4">
      <c r="A594" s="297">
        <v>43838</v>
      </c>
      <c r="B594" s="298">
        <v>2.2499999999999999E-2</v>
      </c>
      <c r="C594" s="296">
        <v>2464</v>
      </c>
      <c r="D594" s="296">
        <v>5229</v>
      </c>
    </row>
    <row r="595" spans="1:4">
      <c r="A595" s="297">
        <v>43839</v>
      </c>
      <c r="B595" s="298">
        <v>2.2499999999999999E-2</v>
      </c>
      <c r="C595" s="296">
        <v>2756</v>
      </c>
      <c r="D595" s="296">
        <v>5521</v>
      </c>
    </row>
    <row r="596" spans="1:4">
      <c r="A596" s="297">
        <v>43840</v>
      </c>
      <c r="B596" s="298">
        <v>2.2499999999999999E-2</v>
      </c>
      <c r="C596" s="296">
        <v>2727</v>
      </c>
      <c r="D596" s="296">
        <v>5532</v>
      </c>
    </row>
    <row r="597" spans="1:4">
      <c r="A597" s="297">
        <v>43841</v>
      </c>
      <c r="B597" s="298">
        <v>2.2499999999999999E-2</v>
      </c>
      <c r="C597" s="296" t="s">
        <v>8</v>
      </c>
      <c r="D597" s="296">
        <v>5532</v>
      </c>
    </row>
    <row r="598" spans="1:4">
      <c r="A598" s="297">
        <v>43842</v>
      </c>
      <c r="B598" s="298">
        <v>2.2499999999999999E-2</v>
      </c>
      <c r="C598" s="296" t="s">
        <v>8</v>
      </c>
      <c r="D598" s="296">
        <v>5532</v>
      </c>
    </row>
    <row r="599" spans="1:4">
      <c r="A599" s="297">
        <v>43843</v>
      </c>
      <c r="B599" s="298">
        <v>2.2499999999999999E-2</v>
      </c>
      <c r="C599" s="296">
        <v>1615</v>
      </c>
      <c r="D599" s="296">
        <v>4420</v>
      </c>
    </row>
    <row r="600" spans="1:4">
      <c r="A600" s="297">
        <v>43844</v>
      </c>
      <c r="B600" s="298">
        <v>2.2499999999999999E-2</v>
      </c>
      <c r="C600" s="296">
        <v>2183</v>
      </c>
      <c r="D600" s="296">
        <v>5058</v>
      </c>
    </row>
    <row r="601" spans="1:4">
      <c r="A601" s="297">
        <v>43845</v>
      </c>
      <c r="B601" s="298">
        <v>2.2499999999999999E-2</v>
      </c>
      <c r="C601" s="296">
        <v>2048</v>
      </c>
      <c r="D601" s="296">
        <v>5223</v>
      </c>
    </row>
    <row r="602" spans="1:4">
      <c r="A602" s="297">
        <v>43846</v>
      </c>
      <c r="B602" s="298">
        <v>2.2499999999999999E-2</v>
      </c>
      <c r="C602" s="296">
        <v>3538</v>
      </c>
      <c r="D602" s="296">
        <v>6413</v>
      </c>
    </row>
    <row r="603" spans="1:4">
      <c r="A603" s="297">
        <v>43847</v>
      </c>
      <c r="B603" s="298">
        <v>2.2550000000000001E-2</v>
      </c>
      <c r="C603" s="296">
        <v>5610</v>
      </c>
      <c r="D603" s="296">
        <v>8465</v>
      </c>
    </row>
    <row r="604" spans="1:4">
      <c r="A604" s="297">
        <v>43848</v>
      </c>
      <c r="B604" s="298">
        <v>2.2550000000000001E-2</v>
      </c>
      <c r="C604" s="296" t="s">
        <v>8</v>
      </c>
      <c r="D604" s="296">
        <v>8465</v>
      </c>
    </row>
    <row r="605" spans="1:4">
      <c r="A605" s="297">
        <v>43849</v>
      </c>
      <c r="B605" s="298">
        <v>2.2550000000000001E-2</v>
      </c>
      <c r="C605" s="296" t="s">
        <v>8</v>
      </c>
      <c r="D605" s="296">
        <v>8465</v>
      </c>
    </row>
    <row r="606" spans="1:4">
      <c r="A606" s="297">
        <v>43850</v>
      </c>
      <c r="B606" s="298">
        <v>2.2499999999999999E-2</v>
      </c>
      <c r="C606" s="296">
        <v>4490</v>
      </c>
      <c r="D606" s="296">
        <v>7345</v>
      </c>
    </row>
    <row r="607" spans="1:4">
      <c r="A607" s="297">
        <v>43851</v>
      </c>
      <c r="B607" s="298">
        <v>2.2499999999999999E-2</v>
      </c>
      <c r="C607" s="296">
        <v>3033</v>
      </c>
      <c r="D607" s="296">
        <v>5888</v>
      </c>
    </row>
    <row r="608" spans="1:4">
      <c r="A608" s="297">
        <v>43852</v>
      </c>
      <c r="B608" s="298">
        <v>2.2589999999999999E-2</v>
      </c>
      <c r="C608" s="296">
        <v>3401</v>
      </c>
      <c r="D608" s="296">
        <v>6256</v>
      </c>
    </row>
    <row r="609" spans="1:4">
      <c r="A609" s="297">
        <v>43853</v>
      </c>
      <c r="B609" s="298">
        <v>2.2579999999999999E-2</v>
      </c>
      <c r="C609" s="296">
        <v>3040</v>
      </c>
      <c r="D609" s="296">
        <v>5525</v>
      </c>
    </row>
    <row r="610" spans="1:4">
      <c r="A610" s="297">
        <v>43854</v>
      </c>
      <c r="B610" s="298">
        <v>2.3019999999999999E-2</v>
      </c>
      <c r="C610" s="296">
        <v>4214</v>
      </c>
      <c r="D610" s="296">
        <v>6509</v>
      </c>
    </row>
    <row r="611" spans="1:4">
      <c r="A611" s="297">
        <v>43855</v>
      </c>
      <c r="B611" s="298">
        <v>2.3019999999999999E-2</v>
      </c>
      <c r="C611" s="296" t="s">
        <v>8</v>
      </c>
      <c r="D611" s="296">
        <v>6509</v>
      </c>
    </row>
    <row r="612" spans="1:4">
      <c r="A612" s="297">
        <v>43856</v>
      </c>
      <c r="B612" s="298">
        <v>2.3019999999999999E-2</v>
      </c>
      <c r="C612" s="296" t="s">
        <v>8</v>
      </c>
      <c r="D612" s="296">
        <v>6509</v>
      </c>
    </row>
    <row r="613" spans="1:4">
      <c r="A613" s="297">
        <v>43857</v>
      </c>
      <c r="B613" s="298">
        <v>2.2780000000000002E-2</v>
      </c>
      <c r="C613" s="296">
        <v>2575</v>
      </c>
      <c r="D613" s="296">
        <v>4870</v>
      </c>
    </row>
    <row r="614" spans="1:4">
      <c r="A614" s="297">
        <v>43858</v>
      </c>
      <c r="B614" s="298">
        <v>2.2800000000000001E-2</v>
      </c>
      <c r="C614" s="296">
        <v>2702</v>
      </c>
      <c r="D614" s="296">
        <v>4997</v>
      </c>
    </row>
    <row r="615" spans="1:4">
      <c r="A615" s="297">
        <v>43859</v>
      </c>
      <c r="B615" s="298">
        <v>2.2919999999999999E-2</v>
      </c>
      <c r="C615" s="296">
        <v>3086</v>
      </c>
      <c r="D615" s="296">
        <v>5381</v>
      </c>
    </row>
    <row r="616" spans="1:4">
      <c r="A616" s="297">
        <v>43860</v>
      </c>
      <c r="B616" s="298">
        <v>2.2509999999999999E-2</v>
      </c>
      <c r="C616" s="296">
        <v>3945</v>
      </c>
      <c r="D616" s="296">
        <v>6950</v>
      </c>
    </row>
    <row r="617" spans="1:4">
      <c r="A617" s="297">
        <v>43861</v>
      </c>
      <c r="B617" s="298">
        <v>2.2499999999999999E-2</v>
      </c>
      <c r="C617" s="296">
        <v>2399</v>
      </c>
      <c r="D617" s="296">
        <v>5524</v>
      </c>
    </row>
    <row r="618" spans="1:4">
      <c r="A618" s="297">
        <v>43862</v>
      </c>
      <c r="B618" s="298">
        <v>2.2499999999999999E-2</v>
      </c>
      <c r="C618" s="296" t="s">
        <v>8</v>
      </c>
      <c r="D618" s="296">
        <v>5524</v>
      </c>
    </row>
    <row r="619" spans="1:4">
      <c r="A619" s="297">
        <v>43863</v>
      </c>
      <c r="B619" s="298">
        <v>2.2499999999999999E-2</v>
      </c>
      <c r="C619" s="296" t="s">
        <v>8</v>
      </c>
      <c r="D619" s="296">
        <v>5524</v>
      </c>
    </row>
    <row r="620" spans="1:4">
      <c r="A620" s="297">
        <v>43864</v>
      </c>
      <c r="B620" s="298">
        <v>2.2499999999999999E-2</v>
      </c>
      <c r="C620" s="296">
        <v>3187</v>
      </c>
      <c r="D620" s="296">
        <v>5102</v>
      </c>
    </row>
    <row r="621" spans="1:4">
      <c r="A621" s="297">
        <v>43865</v>
      </c>
      <c r="B621" s="298">
        <v>2.2499999999999999E-2</v>
      </c>
      <c r="C621" s="296">
        <v>2900</v>
      </c>
      <c r="D621" s="296">
        <v>4815</v>
      </c>
    </row>
    <row r="622" spans="1:4">
      <c r="A622" s="297">
        <v>43866</v>
      </c>
      <c r="B622" s="298">
        <v>2.2499999999999999E-2</v>
      </c>
      <c r="C622" s="296">
        <v>3890</v>
      </c>
      <c r="D622" s="296">
        <v>6005</v>
      </c>
    </row>
    <row r="623" spans="1:4">
      <c r="A623" s="297">
        <v>43867</v>
      </c>
      <c r="B623" s="298">
        <v>2.2499999999999999E-2</v>
      </c>
      <c r="C623" s="296">
        <v>1856</v>
      </c>
      <c r="D623" s="296">
        <v>4021</v>
      </c>
    </row>
    <row r="624" spans="1:4">
      <c r="A624" s="297">
        <v>43868</v>
      </c>
      <c r="B624" s="298">
        <v>2.2499999999999999E-2</v>
      </c>
      <c r="C624" s="296">
        <v>1342</v>
      </c>
      <c r="D624" s="296">
        <v>3507</v>
      </c>
    </row>
    <row r="625" spans="1:4">
      <c r="A625" s="297">
        <v>43869</v>
      </c>
      <c r="B625" s="298">
        <v>2.2499999999999999E-2</v>
      </c>
      <c r="C625" s="296" t="s">
        <v>8</v>
      </c>
      <c r="D625" s="296">
        <v>3507</v>
      </c>
    </row>
    <row r="626" spans="1:4">
      <c r="A626" s="297">
        <v>43870</v>
      </c>
      <c r="B626" s="298">
        <v>2.2499999999999999E-2</v>
      </c>
      <c r="C626" s="296" t="s">
        <v>8</v>
      </c>
      <c r="D626" s="296">
        <v>3507</v>
      </c>
    </row>
    <row r="627" spans="1:4">
      <c r="A627" s="297">
        <v>43871</v>
      </c>
      <c r="B627" s="298">
        <v>2.2499999999999999E-2</v>
      </c>
      <c r="C627" s="296">
        <v>1339</v>
      </c>
      <c r="D627" s="296">
        <v>3504</v>
      </c>
    </row>
    <row r="628" spans="1:4">
      <c r="A628" s="297">
        <v>43872</v>
      </c>
      <c r="B628" s="298">
        <v>2.2499999999999999E-2</v>
      </c>
      <c r="C628" s="296">
        <v>1783</v>
      </c>
      <c r="D628" s="296">
        <v>3948</v>
      </c>
    </row>
    <row r="629" spans="1:4">
      <c r="A629" s="297">
        <v>43873</v>
      </c>
      <c r="B629" s="298">
        <v>2.2530000000000001E-2</v>
      </c>
      <c r="C629" s="296">
        <v>1845</v>
      </c>
      <c r="D629" s="296">
        <v>4310</v>
      </c>
    </row>
    <row r="630" spans="1:4">
      <c r="A630" s="297">
        <v>43874</v>
      </c>
      <c r="B630" s="298">
        <v>2.2499999999999999E-2</v>
      </c>
      <c r="C630" s="296">
        <v>1434</v>
      </c>
      <c r="D630" s="296">
        <v>3899</v>
      </c>
    </row>
    <row r="631" spans="1:4">
      <c r="A631" s="297">
        <v>43875</v>
      </c>
      <c r="B631" s="298">
        <v>2.2499999999999999E-2</v>
      </c>
      <c r="C631" s="296">
        <v>3182</v>
      </c>
      <c r="D631" s="296">
        <v>5447</v>
      </c>
    </row>
    <row r="632" spans="1:4">
      <c r="A632" s="297">
        <v>43876</v>
      </c>
      <c r="B632" s="298">
        <v>2.2499999999999999E-2</v>
      </c>
      <c r="C632" s="296">
        <v>0</v>
      </c>
      <c r="D632" s="296">
        <v>5447</v>
      </c>
    </row>
    <row r="633" spans="1:4">
      <c r="A633" s="297">
        <v>43877</v>
      </c>
      <c r="B633" s="298">
        <v>2.2499999999999999E-2</v>
      </c>
      <c r="C633" s="296">
        <v>0</v>
      </c>
      <c r="D633" s="296">
        <v>5447</v>
      </c>
    </row>
    <row r="634" spans="1:4">
      <c r="A634" s="297">
        <v>43878</v>
      </c>
      <c r="B634" s="298">
        <v>2.257E-2</v>
      </c>
      <c r="C634" s="296">
        <v>2359</v>
      </c>
      <c r="D634" s="296">
        <v>4624</v>
      </c>
    </row>
    <row r="635" spans="1:4">
      <c r="A635" s="297">
        <v>43879</v>
      </c>
      <c r="B635" s="298">
        <v>2.2499999999999999E-2</v>
      </c>
      <c r="C635" s="296">
        <v>2762</v>
      </c>
      <c r="D635" s="296">
        <v>5027</v>
      </c>
    </row>
    <row r="636" spans="1:4">
      <c r="A636" s="297">
        <v>43880</v>
      </c>
      <c r="B636" s="298">
        <v>2.2499999999999999E-2</v>
      </c>
      <c r="C636" s="296">
        <v>3377</v>
      </c>
      <c r="D636" s="296">
        <v>5692</v>
      </c>
    </row>
    <row r="637" spans="1:4">
      <c r="A637" s="297">
        <v>43881</v>
      </c>
      <c r="B637" s="298">
        <v>2.2499999999999999E-2</v>
      </c>
      <c r="C637" s="296">
        <v>3085</v>
      </c>
      <c r="D637" s="296">
        <v>5550</v>
      </c>
    </row>
    <row r="638" spans="1:4">
      <c r="A638" s="297">
        <v>43882</v>
      </c>
      <c r="B638" s="298">
        <v>2.2540000000000001E-2</v>
      </c>
      <c r="C638" s="296">
        <v>2527</v>
      </c>
      <c r="D638" s="296">
        <v>5092</v>
      </c>
    </row>
    <row r="639" spans="1:4">
      <c r="A639" s="297">
        <v>43883</v>
      </c>
      <c r="B639" s="298">
        <v>2.2540000000000001E-2</v>
      </c>
      <c r="C639" s="296" t="s">
        <v>8</v>
      </c>
      <c r="D639" s="296">
        <v>5092</v>
      </c>
    </row>
    <row r="640" spans="1:4">
      <c r="A640" s="297">
        <v>43884</v>
      </c>
      <c r="B640" s="298">
        <v>2.2540000000000001E-2</v>
      </c>
      <c r="C640" s="296" t="s">
        <v>8</v>
      </c>
      <c r="D640" s="296">
        <v>5092</v>
      </c>
    </row>
    <row r="641" spans="1:4">
      <c r="A641" s="297">
        <v>43885</v>
      </c>
      <c r="B641" s="298">
        <v>2.2499999999999999E-2</v>
      </c>
      <c r="C641" s="296">
        <v>3338</v>
      </c>
      <c r="D641" s="296">
        <v>5903</v>
      </c>
    </row>
    <row r="642" spans="1:4">
      <c r="A642" s="297">
        <v>43886</v>
      </c>
      <c r="B642" s="298">
        <v>2.2499999999999999E-2</v>
      </c>
      <c r="C642" s="296">
        <v>2105</v>
      </c>
      <c r="D642" s="296">
        <v>4670</v>
      </c>
    </row>
    <row r="643" spans="1:4">
      <c r="A643" s="297">
        <v>43887</v>
      </c>
      <c r="B643" s="298">
        <v>2.2499999999999999E-2</v>
      </c>
      <c r="C643" s="296">
        <v>2257</v>
      </c>
      <c r="D643" s="296">
        <v>4822</v>
      </c>
    </row>
    <row r="644" spans="1:4">
      <c r="A644" s="297">
        <v>43888</v>
      </c>
      <c r="B644" s="298">
        <v>2.2499999999999999E-2</v>
      </c>
      <c r="C644" s="296">
        <v>2402</v>
      </c>
      <c r="D644" s="296">
        <v>5367</v>
      </c>
    </row>
    <row r="645" spans="1:4">
      <c r="A645" s="297">
        <v>43889</v>
      </c>
      <c r="B645" s="298">
        <v>2.2499999999999999E-2</v>
      </c>
      <c r="C645" s="296">
        <v>2187</v>
      </c>
      <c r="D645" s="296">
        <v>5302</v>
      </c>
    </row>
    <row r="646" spans="1:4">
      <c r="A646" s="297">
        <v>43890</v>
      </c>
      <c r="B646" s="298">
        <v>2.2499999999999999E-2</v>
      </c>
      <c r="C646" s="296" t="s">
        <v>8</v>
      </c>
      <c r="D646" s="296">
        <v>5302</v>
      </c>
    </row>
    <row r="647" spans="1:4">
      <c r="A647" s="297">
        <v>43891</v>
      </c>
      <c r="B647" s="298">
        <v>2.2499999999999999E-2</v>
      </c>
      <c r="C647" s="296" t="s">
        <v>8</v>
      </c>
      <c r="D647" s="296">
        <v>5302</v>
      </c>
    </row>
    <row r="648" spans="1:4">
      <c r="A648" s="297">
        <v>43892</v>
      </c>
      <c r="B648" s="298">
        <v>2.2499999999999999E-2</v>
      </c>
      <c r="C648" s="296">
        <v>2351</v>
      </c>
      <c r="D648" s="296">
        <v>4516</v>
      </c>
    </row>
    <row r="649" spans="1:4">
      <c r="A649" s="297">
        <v>43893</v>
      </c>
      <c r="B649" s="298">
        <v>2.2499999999999999E-2</v>
      </c>
      <c r="C649" s="296">
        <v>2905</v>
      </c>
      <c r="D649" s="296">
        <v>5370</v>
      </c>
    </row>
    <row r="650" spans="1:4">
      <c r="A650" s="297">
        <v>43894</v>
      </c>
      <c r="B650" s="298">
        <v>2.2589999999999999E-2</v>
      </c>
      <c r="C650" s="296">
        <v>4416</v>
      </c>
      <c r="D650" s="296">
        <v>6681</v>
      </c>
    </row>
    <row r="651" spans="1:4">
      <c r="A651" s="297">
        <v>43895</v>
      </c>
      <c r="B651" s="298">
        <v>2.2610000000000002E-2</v>
      </c>
      <c r="C651" s="296">
        <v>4229</v>
      </c>
      <c r="D651" s="296">
        <v>6194</v>
      </c>
    </row>
    <row r="652" spans="1:4">
      <c r="A652" s="297">
        <v>43896</v>
      </c>
      <c r="B652" s="298">
        <v>2.2579999999999999E-2</v>
      </c>
      <c r="C652" s="296">
        <v>4712</v>
      </c>
      <c r="D652" s="296">
        <v>6477</v>
      </c>
    </row>
    <row r="653" spans="1:4">
      <c r="A653" s="297">
        <v>43897</v>
      </c>
      <c r="B653" s="298">
        <v>2.2579999999999999E-2</v>
      </c>
      <c r="C653" s="296" t="s">
        <v>8</v>
      </c>
      <c r="D653" s="296">
        <v>6477</v>
      </c>
    </row>
    <row r="654" spans="1:4">
      <c r="A654" s="297">
        <v>43898</v>
      </c>
      <c r="B654" s="298">
        <v>2.2579999999999999E-2</v>
      </c>
      <c r="C654" s="296" t="s">
        <v>8</v>
      </c>
      <c r="D654" s="296">
        <v>6477</v>
      </c>
    </row>
    <row r="655" spans="1:4">
      <c r="A655" s="297">
        <v>43899</v>
      </c>
      <c r="B655" s="298">
        <v>2.2499999999999999E-2</v>
      </c>
      <c r="C655" s="296">
        <v>4008</v>
      </c>
      <c r="D655" s="296">
        <v>5773</v>
      </c>
    </row>
    <row r="656" spans="1:4">
      <c r="A656" s="297">
        <v>43900</v>
      </c>
      <c r="B656" s="298">
        <v>2.2530000000000001E-2</v>
      </c>
      <c r="C656" s="296">
        <v>3067</v>
      </c>
      <c r="D656" s="296">
        <v>4832</v>
      </c>
    </row>
    <row r="657" spans="1:4">
      <c r="A657" s="297">
        <v>43901</v>
      </c>
      <c r="B657" s="298">
        <v>2.2499999999999999E-2</v>
      </c>
      <c r="C657" s="296">
        <v>2441</v>
      </c>
      <c r="D657" s="296">
        <v>4336</v>
      </c>
    </row>
    <row r="658" spans="1:4">
      <c r="A658" s="297">
        <v>43902</v>
      </c>
      <c r="B658" s="298">
        <v>2.2530000000000001E-2</v>
      </c>
      <c r="C658" s="296">
        <v>4172</v>
      </c>
      <c r="D658" s="296">
        <v>5717</v>
      </c>
    </row>
    <row r="659" spans="1:4">
      <c r="A659" s="297">
        <v>43903</v>
      </c>
      <c r="B659" s="298">
        <v>2.264E-2</v>
      </c>
      <c r="C659" s="296">
        <v>3586</v>
      </c>
      <c r="D659" s="296">
        <v>5131</v>
      </c>
    </row>
    <row r="660" spans="1:4">
      <c r="A660" s="297">
        <v>43904</v>
      </c>
      <c r="B660" s="298">
        <v>2.264E-2</v>
      </c>
      <c r="C660" s="296" t="s">
        <v>8</v>
      </c>
      <c r="D660" s="296">
        <v>5131</v>
      </c>
    </row>
    <row r="661" spans="1:4">
      <c r="A661" s="297">
        <v>43905</v>
      </c>
      <c r="B661" s="298">
        <v>2.264E-2</v>
      </c>
      <c r="C661" s="296" t="s">
        <v>8</v>
      </c>
      <c r="D661" s="296">
        <v>5131</v>
      </c>
    </row>
    <row r="662" spans="1:4">
      <c r="A662" s="297">
        <v>43906</v>
      </c>
      <c r="B662" s="298">
        <v>2.2790000000000001E-2</v>
      </c>
      <c r="C662" s="296">
        <v>5109</v>
      </c>
      <c r="D662" s="296">
        <v>6924</v>
      </c>
    </row>
    <row r="663" spans="1:4">
      <c r="A663" s="297">
        <v>43907</v>
      </c>
      <c r="B663" s="298">
        <v>2.2599999999999999E-2</v>
      </c>
      <c r="C663" s="296">
        <v>2366</v>
      </c>
      <c r="D663" s="296">
        <v>5181</v>
      </c>
    </row>
    <row r="664" spans="1:4">
      <c r="A664" s="297">
        <v>43908</v>
      </c>
      <c r="B664" s="298">
        <v>2.027E-2</v>
      </c>
      <c r="C664" s="296">
        <v>2947</v>
      </c>
      <c r="D664" s="296">
        <v>5762</v>
      </c>
    </row>
    <row r="665" spans="1:4">
      <c r="A665" s="297">
        <v>43909</v>
      </c>
      <c r="B665" s="298">
        <v>2.0039999999999999E-2</v>
      </c>
      <c r="C665" s="296">
        <v>4155</v>
      </c>
      <c r="D665" s="296">
        <v>6270</v>
      </c>
    </row>
    <row r="666" spans="1:4">
      <c r="A666" s="297">
        <v>43910</v>
      </c>
      <c r="B666" s="298">
        <v>2.0039999999999999E-2</v>
      </c>
      <c r="C666" s="296">
        <v>6051</v>
      </c>
      <c r="D666" s="296">
        <v>8166</v>
      </c>
    </row>
    <row r="667" spans="1:4">
      <c r="A667" s="297">
        <v>43911</v>
      </c>
      <c r="B667" s="298">
        <v>2.0039999999999999E-2</v>
      </c>
      <c r="C667" s="296" t="s">
        <v>8</v>
      </c>
      <c r="D667" s="296">
        <v>8166</v>
      </c>
    </row>
    <row r="668" spans="1:4">
      <c r="A668" s="297">
        <v>43912</v>
      </c>
      <c r="B668" s="298">
        <v>2.0039999999999999E-2</v>
      </c>
      <c r="C668" s="296" t="s">
        <v>8</v>
      </c>
      <c r="D668" s="296">
        <v>8166</v>
      </c>
    </row>
    <row r="669" spans="1:4">
      <c r="A669" s="297">
        <v>43913</v>
      </c>
      <c r="B669" s="298">
        <v>0.02</v>
      </c>
      <c r="C669" s="296">
        <v>5919</v>
      </c>
      <c r="D669" s="296">
        <v>7884</v>
      </c>
    </row>
    <row r="670" spans="1:4">
      <c r="A670" s="297">
        <v>43914</v>
      </c>
      <c r="B670" s="298">
        <v>0.02</v>
      </c>
      <c r="C670" s="296">
        <v>5739</v>
      </c>
      <c r="D670" s="296">
        <v>7704</v>
      </c>
    </row>
    <row r="671" spans="1:4">
      <c r="A671" s="297">
        <v>43915</v>
      </c>
      <c r="B671" s="298">
        <v>0.02</v>
      </c>
      <c r="C671" s="296">
        <v>5693</v>
      </c>
      <c r="D671" s="296">
        <v>7658</v>
      </c>
    </row>
    <row r="672" spans="1:4">
      <c r="A672" s="297">
        <v>43916</v>
      </c>
      <c r="B672" s="298">
        <v>0.02</v>
      </c>
      <c r="C672" s="296">
        <v>6099</v>
      </c>
      <c r="D672" s="296">
        <v>6854</v>
      </c>
    </row>
    <row r="673" spans="1:4">
      <c r="A673" s="297">
        <v>43917</v>
      </c>
      <c r="B673" s="298">
        <v>0.02</v>
      </c>
      <c r="C673" s="296">
        <v>3971</v>
      </c>
      <c r="D673" s="296">
        <v>4726</v>
      </c>
    </row>
    <row r="674" spans="1:4">
      <c r="A674" s="297">
        <v>43918</v>
      </c>
      <c r="B674" s="298">
        <v>0.02</v>
      </c>
      <c r="C674" s="296" t="s">
        <v>8</v>
      </c>
      <c r="D674" s="296">
        <v>4726</v>
      </c>
    </row>
    <row r="675" spans="1:4">
      <c r="A675" s="297">
        <v>43919</v>
      </c>
      <c r="B675" s="298">
        <v>0.02</v>
      </c>
      <c r="C675" s="296" t="s">
        <v>8</v>
      </c>
      <c r="D675" s="296">
        <v>4726</v>
      </c>
    </row>
    <row r="676" spans="1:4">
      <c r="A676" s="297">
        <v>43920</v>
      </c>
      <c r="B676" s="298">
        <v>0.02</v>
      </c>
      <c r="C676" s="296">
        <v>3937</v>
      </c>
      <c r="D676" s="296">
        <v>4692</v>
      </c>
    </row>
    <row r="677" spans="1:4">
      <c r="A677" s="297">
        <v>43921</v>
      </c>
      <c r="B677" s="298">
        <v>0.02</v>
      </c>
      <c r="C677" s="296">
        <v>2776</v>
      </c>
      <c r="D677" s="296">
        <v>3826</v>
      </c>
    </row>
    <row r="678" spans="1:4">
      <c r="A678" s="297">
        <v>43922</v>
      </c>
      <c r="B678" s="298">
        <v>0.02</v>
      </c>
      <c r="C678" s="296">
        <v>3887</v>
      </c>
      <c r="D678" s="296">
        <v>4537</v>
      </c>
    </row>
    <row r="679" spans="1:4">
      <c r="A679" s="297">
        <v>43923</v>
      </c>
      <c r="B679" s="298">
        <v>0.02</v>
      </c>
      <c r="C679" s="296">
        <v>3687</v>
      </c>
      <c r="D679" s="296">
        <v>4337</v>
      </c>
    </row>
    <row r="680" spans="1:4">
      <c r="A680" s="297">
        <v>43924</v>
      </c>
      <c r="B680" s="298">
        <v>2.0060000000000001E-2</v>
      </c>
      <c r="C680" s="296">
        <v>3958</v>
      </c>
      <c r="D680" s="296">
        <v>4608</v>
      </c>
    </row>
    <row r="681" spans="1:4">
      <c r="A681" s="297">
        <v>43925</v>
      </c>
      <c r="B681" s="298">
        <v>2.0060000000000001E-2</v>
      </c>
      <c r="C681" s="296" t="s">
        <v>8</v>
      </c>
      <c r="D681" s="296">
        <v>4608</v>
      </c>
    </row>
    <row r="682" spans="1:4">
      <c r="A682" s="297">
        <v>43926</v>
      </c>
      <c r="B682" s="298">
        <v>2.0060000000000001E-2</v>
      </c>
      <c r="C682" s="296" t="s">
        <v>8</v>
      </c>
      <c r="D682" s="296">
        <v>4608</v>
      </c>
    </row>
    <row r="683" spans="1:4">
      <c r="A683" s="297">
        <v>43927</v>
      </c>
      <c r="B683" s="298">
        <v>0.02</v>
      </c>
      <c r="C683" s="296">
        <v>3093</v>
      </c>
      <c r="D683" s="296">
        <v>3743</v>
      </c>
    </row>
    <row r="684" spans="1:4">
      <c r="A684" s="297">
        <v>43928</v>
      </c>
      <c r="B684" s="298">
        <v>0.02</v>
      </c>
      <c r="C684" s="296">
        <v>3454</v>
      </c>
      <c r="D684" s="296">
        <v>4204</v>
      </c>
    </row>
    <row r="685" spans="1:4">
      <c r="A685" s="297">
        <v>43929</v>
      </c>
      <c r="B685" s="298">
        <v>0.02</v>
      </c>
      <c r="C685" s="296">
        <v>3501</v>
      </c>
      <c r="D685" s="296">
        <v>4251</v>
      </c>
    </row>
    <row r="686" spans="1:4">
      <c r="A686" s="297">
        <v>43930</v>
      </c>
      <c r="B686" s="298">
        <v>2.0070000000000001E-2</v>
      </c>
      <c r="C686" s="296">
        <v>3443</v>
      </c>
      <c r="D686" s="296">
        <v>4193</v>
      </c>
    </row>
    <row r="687" spans="1:4">
      <c r="A687" s="297">
        <v>43931</v>
      </c>
      <c r="B687" s="298">
        <v>2.0060000000000001E-2</v>
      </c>
      <c r="C687" s="296">
        <v>3957</v>
      </c>
      <c r="D687" s="296">
        <v>4807</v>
      </c>
    </row>
    <row r="688" spans="1:4">
      <c r="A688" s="297">
        <v>43932</v>
      </c>
      <c r="B688" s="298">
        <v>2.0060000000000001E-2</v>
      </c>
      <c r="C688" s="296" t="s">
        <v>8</v>
      </c>
      <c r="D688" s="296">
        <v>4807</v>
      </c>
    </row>
    <row r="689" spans="1:4">
      <c r="A689" s="297">
        <v>43933</v>
      </c>
      <c r="B689" s="298">
        <v>2.0060000000000001E-2</v>
      </c>
      <c r="C689" s="296" t="s">
        <v>8</v>
      </c>
      <c r="D689" s="296">
        <v>4807</v>
      </c>
    </row>
    <row r="690" spans="1:4">
      <c r="A690" s="297">
        <v>43934</v>
      </c>
      <c r="B690" s="298">
        <v>2.0209999999999999E-2</v>
      </c>
      <c r="C690" s="296">
        <v>5186</v>
      </c>
      <c r="D690" s="296">
        <v>6036</v>
      </c>
    </row>
    <row r="691" spans="1:4">
      <c r="A691" s="297">
        <v>43935</v>
      </c>
      <c r="B691" s="298">
        <v>2.0160000000000001E-2</v>
      </c>
      <c r="C691" s="296">
        <v>4884</v>
      </c>
      <c r="D691" s="296">
        <v>5954</v>
      </c>
    </row>
    <row r="692" spans="1:4">
      <c r="A692" s="297">
        <v>43936</v>
      </c>
      <c r="B692" s="298">
        <v>2.0330000000000001E-2</v>
      </c>
      <c r="C692" s="296">
        <v>5538</v>
      </c>
      <c r="D692" s="296">
        <v>6958</v>
      </c>
    </row>
    <row r="693" spans="1:4">
      <c r="A693" s="297">
        <v>43937</v>
      </c>
      <c r="B693" s="298">
        <v>2.0199999999999999E-2</v>
      </c>
      <c r="C693" s="296">
        <v>4683</v>
      </c>
      <c r="D693" s="296">
        <v>6103</v>
      </c>
    </row>
    <row r="694" spans="1:4">
      <c r="A694" s="297">
        <v>43938</v>
      </c>
      <c r="B694" s="298">
        <v>2.019E-2</v>
      </c>
      <c r="C694" s="296">
        <v>4583</v>
      </c>
      <c r="D694" s="296">
        <v>5923</v>
      </c>
    </row>
    <row r="695" spans="1:4">
      <c r="A695" s="297">
        <v>43939</v>
      </c>
      <c r="B695" s="298">
        <v>2.019E-2</v>
      </c>
      <c r="C695" s="296" t="s">
        <v>8</v>
      </c>
      <c r="D695" s="296">
        <v>5923</v>
      </c>
    </row>
    <row r="696" spans="1:4">
      <c r="A696" s="297">
        <v>43940</v>
      </c>
      <c r="B696" s="298">
        <v>2.019E-2</v>
      </c>
      <c r="C696" s="296" t="s">
        <v>8</v>
      </c>
      <c r="D696" s="296">
        <v>5923</v>
      </c>
    </row>
    <row r="697" spans="1:4">
      <c r="A697" s="297">
        <v>43941</v>
      </c>
      <c r="B697" s="298">
        <v>2.0209999999999999E-2</v>
      </c>
      <c r="C697" s="296">
        <v>5337</v>
      </c>
      <c r="D697" s="296">
        <v>6677</v>
      </c>
    </row>
    <row r="698" spans="1:4">
      <c r="A698" s="297">
        <v>43942</v>
      </c>
      <c r="B698" s="298">
        <v>2.0310000000000002E-2</v>
      </c>
      <c r="C698" s="296">
        <v>4170</v>
      </c>
      <c r="D698" s="296">
        <v>5510</v>
      </c>
    </row>
    <row r="699" spans="1:4">
      <c r="A699" s="297">
        <v>43943</v>
      </c>
      <c r="B699" s="298">
        <v>2.0289999999999999E-2</v>
      </c>
      <c r="C699" s="296">
        <v>3470</v>
      </c>
      <c r="D699" s="296">
        <v>5385</v>
      </c>
    </row>
    <row r="700" spans="1:4">
      <c r="A700" s="297">
        <v>43944</v>
      </c>
      <c r="B700" s="298">
        <v>0.02</v>
      </c>
      <c r="C700" s="296">
        <v>2320</v>
      </c>
      <c r="D700" s="296">
        <v>4235</v>
      </c>
    </row>
    <row r="701" spans="1:4">
      <c r="A701" s="297">
        <v>43945</v>
      </c>
      <c r="B701" s="298">
        <v>0.02</v>
      </c>
      <c r="C701" s="296">
        <v>2670</v>
      </c>
      <c r="D701" s="296">
        <v>4165</v>
      </c>
    </row>
    <row r="702" spans="1:4">
      <c r="A702" s="297">
        <v>43946</v>
      </c>
      <c r="B702" s="298">
        <v>0.02</v>
      </c>
      <c r="C702" s="296" t="s">
        <v>8</v>
      </c>
      <c r="D702" s="296">
        <v>4165</v>
      </c>
    </row>
    <row r="703" spans="1:4">
      <c r="A703" s="297">
        <v>43947</v>
      </c>
      <c r="B703" s="298">
        <v>0.02</v>
      </c>
      <c r="C703" s="296" t="s">
        <v>8</v>
      </c>
      <c r="D703" s="296">
        <v>4165</v>
      </c>
    </row>
    <row r="704" spans="1:4">
      <c r="A704" s="297">
        <v>43948</v>
      </c>
      <c r="B704" s="298">
        <v>0.02</v>
      </c>
      <c r="C704" s="296">
        <v>2314</v>
      </c>
      <c r="D704" s="296">
        <v>3689</v>
      </c>
    </row>
    <row r="705" spans="1:4">
      <c r="A705" s="297">
        <v>43949</v>
      </c>
      <c r="B705" s="298">
        <v>2.001E-2</v>
      </c>
      <c r="C705" s="296">
        <v>2210</v>
      </c>
      <c r="D705" s="296">
        <v>3685</v>
      </c>
    </row>
    <row r="706" spans="1:4">
      <c r="A706" s="297">
        <v>43950</v>
      </c>
      <c r="B706" s="298">
        <v>0.02</v>
      </c>
      <c r="C706" s="296">
        <v>2895</v>
      </c>
      <c r="D706" s="296">
        <v>4470</v>
      </c>
    </row>
    <row r="707" spans="1:4">
      <c r="A707" s="297">
        <v>43951</v>
      </c>
      <c r="B707" s="298">
        <v>2.001E-2</v>
      </c>
      <c r="C707" s="296">
        <v>3424</v>
      </c>
      <c r="D707" s="296">
        <v>4899</v>
      </c>
    </row>
    <row r="708" spans="1:4">
      <c r="A708" s="297">
        <v>43952</v>
      </c>
      <c r="B708" s="298">
        <v>2.001E-2</v>
      </c>
      <c r="C708" s="296" t="s">
        <v>8</v>
      </c>
      <c r="D708" s="296">
        <v>4899</v>
      </c>
    </row>
    <row r="709" spans="1:4">
      <c r="A709" s="297">
        <v>43953</v>
      </c>
      <c r="B709" s="298">
        <v>2.001E-2</v>
      </c>
      <c r="C709" s="296" t="s">
        <v>8</v>
      </c>
      <c r="D709" s="296">
        <v>4899</v>
      </c>
    </row>
    <row r="710" spans="1:4">
      <c r="A710" s="297">
        <v>43954</v>
      </c>
      <c r="B710" s="298">
        <v>2.001E-2</v>
      </c>
      <c r="C710" s="296" t="s">
        <v>8</v>
      </c>
      <c r="D710" s="296">
        <v>4899</v>
      </c>
    </row>
    <row r="711" spans="1:4">
      <c r="A711" s="297">
        <v>43955</v>
      </c>
      <c r="B711" s="298">
        <v>0.02</v>
      </c>
      <c r="C711" s="296">
        <v>3354</v>
      </c>
      <c r="D711" s="296">
        <v>4129</v>
      </c>
    </row>
    <row r="712" spans="1:4">
      <c r="A712" s="297">
        <v>43956</v>
      </c>
      <c r="B712" s="298">
        <v>0.02</v>
      </c>
      <c r="C712" s="296">
        <v>3596</v>
      </c>
      <c r="D712" s="296">
        <v>4371</v>
      </c>
    </row>
    <row r="713" spans="1:4">
      <c r="A713" s="297">
        <v>43957</v>
      </c>
      <c r="B713" s="298">
        <v>0.02</v>
      </c>
      <c r="C713" s="296">
        <v>3636</v>
      </c>
      <c r="D713" s="296">
        <v>4336</v>
      </c>
    </row>
    <row r="714" spans="1:4">
      <c r="A714" s="297">
        <v>43958</v>
      </c>
      <c r="B714" s="298">
        <v>0.02</v>
      </c>
      <c r="C714" s="296">
        <v>3985</v>
      </c>
      <c r="D714" s="296">
        <v>4685</v>
      </c>
    </row>
    <row r="715" spans="1:4">
      <c r="A715" s="297">
        <v>43959</v>
      </c>
      <c r="B715" s="298">
        <v>0.02</v>
      </c>
      <c r="C715" s="296">
        <v>4781</v>
      </c>
      <c r="D715" s="296">
        <v>5481</v>
      </c>
    </row>
    <row r="716" spans="1:4">
      <c r="A716" s="297">
        <v>43960</v>
      </c>
      <c r="B716" s="298">
        <v>0.02</v>
      </c>
      <c r="C716" s="296" t="s">
        <v>8</v>
      </c>
      <c r="D716" s="296">
        <v>5481</v>
      </c>
    </row>
    <row r="717" spans="1:4">
      <c r="A717" s="297">
        <v>43961</v>
      </c>
      <c r="B717" s="298">
        <v>0.02</v>
      </c>
      <c r="C717" s="296" t="s">
        <v>8</v>
      </c>
      <c r="D717" s="296">
        <v>5481</v>
      </c>
    </row>
    <row r="718" spans="1:4">
      <c r="A718" s="297">
        <v>43962</v>
      </c>
      <c r="B718" s="298">
        <v>0.02</v>
      </c>
      <c r="C718" s="296">
        <v>3161</v>
      </c>
      <c r="D718" s="296">
        <v>4361</v>
      </c>
    </row>
    <row r="719" spans="1:4">
      <c r="A719" s="297">
        <v>43963</v>
      </c>
      <c r="B719" s="298">
        <v>0.02</v>
      </c>
      <c r="C719" s="296">
        <v>3512</v>
      </c>
      <c r="D719" s="296">
        <v>4712</v>
      </c>
    </row>
    <row r="720" spans="1:4">
      <c r="A720" s="297">
        <v>43964</v>
      </c>
      <c r="B720" s="298">
        <v>2.001E-2</v>
      </c>
      <c r="C720" s="296">
        <v>4693</v>
      </c>
      <c r="D720" s="296">
        <v>5893</v>
      </c>
    </row>
    <row r="721" spans="1:4">
      <c r="A721" s="297">
        <v>43965</v>
      </c>
      <c r="B721" s="298">
        <v>0.02</v>
      </c>
      <c r="C721" s="296">
        <v>4527</v>
      </c>
      <c r="D721" s="296">
        <v>5957</v>
      </c>
    </row>
    <row r="722" spans="1:4">
      <c r="A722" s="297">
        <v>43966</v>
      </c>
      <c r="B722" s="298">
        <v>2.0029999999999999E-2</v>
      </c>
      <c r="C722" s="296">
        <v>5929</v>
      </c>
      <c r="D722" s="296">
        <v>7359</v>
      </c>
    </row>
    <row r="723" spans="1:4">
      <c r="A723" s="297">
        <v>43967</v>
      </c>
      <c r="B723" s="298">
        <v>2.0029999999999999E-2</v>
      </c>
      <c r="C723" s="296" t="s">
        <v>8</v>
      </c>
      <c r="D723" s="296">
        <v>7359</v>
      </c>
    </row>
    <row r="724" spans="1:4">
      <c r="A724" s="297">
        <v>43968</v>
      </c>
      <c r="B724" s="298">
        <v>2.0029999999999999E-2</v>
      </c>
      <c r="C724" s="296" t="s">
        <v>8</v>
      </c>
      <c r="D724" s="296">
        <v>7359</v>
      </c>
    </row>
    <row r="725" spans="1:4">
      <c r="A725" s="297">
        <v>43969</v>
      </c>
      <c r="B725" s="298">
        <v>0.02</v>
      </c>
      <c r="C725" s="296">
        <v>7660</v>
      </c>
      <c r="D725" s="296">
        <v>9090</v>
      </c>
    </row>
    <row r="726" spans="1:4">
      <c r="A726" s="297">
        <v>43970</v>
      </c>
      <c r="B726" s="298">
        <v>0.02</v>
      </c>
      <c r="C726" s="296">
        <v>5906</v>
      </c>
      <c r="D726" s="296">
        <v>7336</v>
      </c>
    </row>
    <row r="727" spans="1:4">
      <c r="A727" s="297">
        <v>43971</v>
      </c>
      <c r="B727" s="298">
        <v>0.02</v>
      </c>
      <c r="C727" s="296">
        <v>8288</v>
      </c>
      <c r="D727" s="296">
        <v>9718</v>
      </c>
    </row>
    <row r="728" spans="1:4">
      <c r="A728" s="297">
        <v>43972</v>
      </c>
      <c r="B728" s="298">
        <v>0.02</v>
      </c>
      <c r="C728" s="296">
        <v>5481</v>
      </c>
      <c r="D728" s="296">
        <v>6711</v>
      </c>
    </row>
    <row r="729" spans="1:4">
      <c r="A729" s="297">
        <v>43973</v>
      </c>
      <c r="B729" s="298">
        <v>0.02</v>
      </c>
      <c r="C729" s="296">
        <v>2760</v>
      </c>
      <c r="D729" s="296">
        <v>5240</v>
      </c>
    </row>
    <row r="730" spans="1:4">
      <c r="A730" s="297">
        <v>43974</v>
      </c>
      <c r="B730" s="298">
        <v>0.02</v>
      </c>
      <c r="C730" s="296">
        <v>0</v>
      </c>
      <c r="D730" s="296">
        <v>5240</v>
      </c>
    </row>
    <row r="731" spans="1:4">
      <c r="A731" s="297">
        <v>43975</v>
      </c>
      <c r="B731" s="298">
        <v>0.02</v>
      </c>
      <c r="C731" s="296">
        <v>0</v>
      </c>
      <c r="D731" s="296">
        <v>5240</v>
      </c>
    </row>
    <row r="732" spans="1:4">
      <c r="A732" s="297">
        <v>43976</v>
      </c>
      <c r="B732" s="298">
        <v>0.02</v>
      </c>
      <c r="C732" s="296">
        <v>0</v>
      </c>
      <c r="D732" s="296">
        <v>5240</v>
      </c>
    </row>
    <row r="733" spans="1:4">
      <c r="A733" s="297">
        <v>43977</v>
      </c>
      <c r="B733" s="298">
        <v>0.02</v>
      </c>
      <c r="C733" s="296">
        <v>3800</v>
      </c>
      <c r="D733" s="296">
        <v>5680</v>
      </c>
    </row>
    <row r="734" spans="1:4">
      <c r="A734" s="297">
        <v>43978</v>
      </c>
      <c r="B734" s="298">
        <v>0.02</v>
      </c>
      <c r="C734" s="296">
        <v>5999</v>
      </c>
      <c r="D734" s="296">
        <v>6929</v>
      </c>
    </row>
    <row r="735" spans="1:4">
      <c r="A735" s="297">
        <v>43979</v>
      </c>
      <c r="B735" s="298">
        <v>0.02</v>
      </c>
      <c r="C735" s="296">
        <v>3081</v>
      </c>
      <c r="D735" s="296">
        <v>4011</v>
      </c>
    </row>
    <row r="736" spans="1:4">
      <c r="A736" s="297">
        <v>43980</v>
      </c>
      <c r="B736" s="298">
        <v>0.02</v>
      </c>
      <c r="C736" s="296">
        <v>3455</v>
      </c>
      <c r="D736" s="296">
        <v>4685</v>
      </c>
    </row>
    <row r="737" spans="1:4">
      <c r="A737" s="297">
        <v>43981</v>
      </c>
      <c r="B737" s="298">
        <v>0.02</v>
      </c>
      <c r="C737" s="296" t="s">
        <v>8</v>
      </c>
      <c r="D737" s="296">
        <v>4685</v>
      </c>
    </row>
    <row r="738" spans="1:4">
      <c r="A738" s="297">
        <v>43982</v>
      </c>
      <c r="B738" s="298">
        <v>0.02</v>
      </c>
      <c r="C738" s="296" t="s">
        <v>8</v>
      </c>
      <c r="D738" s="296">
        <v>4685</v>
      </c>
    </row>
    <row r="739" spans="1:4">
      <c r="A739" s="297">
        <v>43983</v>
      </c>
      <c r="B739" s="298">
        <v>0.02</v>
      </c>
      <c r="C739" s="296">
        <v>5150</v>
      </c>
      <c r="D739" s="296">
        <v>6080</v>
      </c>
    </row>
    <row r="740" spans="1:4">
      <c r="A740" s="297">
        <v>43984</v>
      </c>
      <c r="B740" s="298">
        <v>2.001E-2</v>
      </c>
      <c r="C740" s="296">
        <v>5280</v>
      </c>
      <c r="D740" s="296">
        <v>7610</v>
      </c>
    </row>
    <row r="741" spans="1:4">
      <c r="A741" s="297">
        <v>43985</v>
      </c>
      <c r="B741" s="298">
        <v>0.02</v>
      </c>
      <c r="C741" s="296">
        <v>5223</v>
      </c>
      <c r="D741" s="296">
        <v>7503</v>
      </c>
    </row>
    <row r="742" spans="1:4">
      <c r="A742" s="297">
        <v>43986</v>
      </c>
      <c r="B742" s="298">
        <v>0.02</v>
      </c>
      <c r="C742" s="296">
        <v>3656</v>
      </c>
      <c r="D742" s="296">
        <v>4536</v>
      </c>
    </row>
    <row r="743" spans="1:4">
      <c r="A743" s="297">
        <v>43987</v>
      </c>
      <c r="B743" s="298">
        <v>0.02</v>
      </c>
      <c r="C743" s="296">
        <v>3783</v>
      </c>
      <c r="D743" s="296">
        <v>4663</v>
      </c>
    </row>
    <row r="744" spans="1:4">
      <c r="A744" s="297">
        <v>43988</v>
      </c>
      <c r="B744" s="298">
        <v>0.02</v>
      </c>
      <c r="C744" s="296" t="s">
        <v>8</v>
      </c>
      <c r="D744" s="296">
        <v>4663</v>
      </c>
    </row>
    <row r="745" spans="1:4">
      <c r="A745" s="297">
        <v>43989</v>
      </c>
      <c r="B745" s="298">
        <v>0.02</v>
      </c>
      <c r="C745" s="296" t="s">
        <v>8</v>
      </c>
      <c r="D745" s="296">
        <v>4663</v>
      </c>
    </row>
    <row r="746" spans="1:4">
      <c r="A746" s="297">
        <v>43990</v>
      </c>
      <c r="B746" s="298">
        <v>0.02</v>
      </c>
      <c r="C746" s="296">
        <v>5351</v>
      </c>
      <c r="D746" s="296">
        <v>6286</v>
      </c>
    </row>
    <row r="747" spans="1:4">
      <c r="A747" s="297">
        <v>43991</v>
      </c>
      <c r="B747" s="298">
        <v>0.02</v>
      </c>
      <c r="C747" s="296">
        <v>4831</v>
      </c>
      <c r="D747" s="296">
        <v>5966</v>
      </c>
    </row>
    <row r="748" spans="1:4">
      <c r="A748" s="297">
        <v>43992</v>
      </c>
      <c r="B748" s="298">
        <v>0.02</v>
      </c>
      <c r="C748" s="296">
        <v>6115</v>
      </c>
      <c r="D748" s="296">
        <v>7210</v>
      </c>
    </row>
    <row r="749" spans="1:4">
      <c r="A749" s="297">
        <v>43993</v>
      </c>
      <c r="B749" s="298">
        <v>2.001E-2</v>
      </c>
      <c r="C749" s="296">
        <v>7261</v>
      </c>
      <c r="D749" s="296">
        <v>8956</v>
      </c>
    </row>
    <row r="750" spans="1:4">
      <c r="A750" s="297">
        <v>43994</v>
      </c>
      <c r="B750" s="298">
        <v>2.001E-2</v>
      </c>
      <c r="C750" s="296">
        <v>8172</v>
      </c>
      <c r="D750" s="296">
        <v>9867</v>
      </c>
    </row>
    <row r="751" spans="1:4">
      <c r="A751" s="297">
        <v>43995</v>
      </c>
      <c r="B751" s="298">
        <v>2.001E-2</v>
      </c>
      <c r="C751" s="296">
        <v>0</v>
      </c>
      <c r="D751" s="296">
        <v>9867</v>
      </c>
    </row>
    <row r="752" spans="1:4">
      <c r="A752" s="297">
        <v>43996</v>
      </c>
      <c r="B752" s="298">
        <v>2.001E-2</v>
      </c>
      <c r="C752" s="296">
        <v>0</v>
      </c>
      <c r="D752" s="296">
        <v>9867</v>
      </c>
    </row>
    <row r="753" spans="1:4">
      <c r="A753" s="297">
        <v>43997</v>
      </c>
      <c r="B753" s="298">
        <v>0.02</v>
      </c>
      <c r="C753" s="296">
        <v>6386</v>
      </c>
      <c r="D753" s="296">
        <v>7831</v>
      </c>
    </row>
    <row r="754" spans="1:4">
      <c r="A754" s="297">
        <v>43998</v>
      </c>
      <c r="B754" s="298">
        <v>2.0729999999999998E-2</v>
      </c>
      <c r="C754" s="296">
        <v>8756</v>
      </c>
      <c r="D754" s="296">
        <v>10281</v>
      </c>
    </row>
    <row r="755" spans="1:4">
      <c r="A755" s="297">
        <v>43999</v>
      </c>
      <c r="B755" s="298">
        <v>1.84E-2</v>
      </c>
      <c r="C755" s="296">
        <v>10089</v>
      </c>
      <c r="D755" s="296">
        <v>11614</v>
      </c>
    </row>
    <row r="756" spans="1:4">
      <c r="A756" s="297">
        <v>44000</v>
      </c>
      <c r="B756" s="298">
        <v>1.504E-2</v>
      </c>
      <c r="C756" s="296">
        <v>5083</v>
      </c>
      <c r="D756" s="296">
        <v>6308</v>
      </c>
    </row>
    <row r="757" spans="1:4">
      <c r="A757" s="297">
        <v>44001</v>
      </c>
      <c r="B757" s="298">
        <v>1.4999999999999999E-2</v>
      </c>
      <c r="C757" s="296">
        <v>3736</v>
      </c>
      <c r="D757" s="296">
        <v>4921</v>
      </c>
    </row>
    <row r="758" spans="1:4">
      <c r="A758" s="297">
        <v>44002</v>
      </c>
      <c r="B758" s="298">
        <v>1.4999999999999999E-2</v>
      </c>
      <c r="C758" s="296">
        <v>0</v>
      </c>
      <c r="D758" s="296">
        <v>4921</v>
      </c>
    </row>
    <row r="759" spans="1:4">
      <c r="A759" s="297">
        <v>44003</v>
      </c>
      <c r="B759" s="298">
        <v>1.4999999999999999E-2</v>
      </c>
      <c r="C759" s="296">
        <v>0</v>
      </c>
      <c r="D759" s="296">
        <v>4921</v>
      </c>
    </row>
    <row r="760" spans="1:4">
      <c r="A760" s="297">
        <v>44004</v>
      </c>
      <c r="B760" s="298">
        <v>1.4999999999999999E-2</v>
      </c>
      <c r="C760" s="296">
        <v>5676</v>
      </c>
      <c r="D760" s="296">
        <v>6941</v>
      </c>
    </row>
    <row r="761" spans="1:4">
      <c r="A761" s="297">
        <v>44005</v>
      </c>
      <c r="B761" s="298">
        <v>1.4999999999999999E-2</v>
      </c>
      <c r="C761" s="296">
        <v>3807</v>
      </c>
      <c r="D761" s="296">
        <v>5072</v>
      </c>
    </row>
    <row r="762" spans="1:4">
      <c r="A762" s="297">
        <v>44006</v>
      </c>
      <c r="B762" s="298">
        <v>1.4999999999999999E-2</v>
      </c>
      <c r="C762" s="296">
        <v>3635</v>
      </c>
      <c r="D762" s="296">
        <v>5200</v>
      </c>
    </row>
    <row r="763" spans="1:4">
      <c r="A763" s="297">
        <v>44007</v>
      </c>
      <c r="B763" s="298">
        <v>1.4999999999999999E-2</v>
      </c>
      <c r="C763" s="296">
        <v>4520</v>
      </c>
      <c r="D763" s="296">
        <v>6025</v>
      </c>
    </row>
    <row r="764" spans="1:4">
      <c r="A764" s="297">
        <v>44008</v>
      </c>
      <c r="B764" s="298">
        <v>1.4999999999999999E-2</v>
      </c>
      <c r="C764" s="296">
        <v>7082</v>
      </c>
      <c r="D764" s="296">
        <v>8437</v>
      </c>
    </row>
    <row r="765" spans="1:4">
      <c r="A765" s="297">
        <v>44009</v>
      </c>
      <c r="B765" s="298">
        <v>1.4999999999999999E-2</v>
      </c>
      <c r="C765" s="296">
        <v>0</v>
      </c>
      <c r="D765" s="296">
        <v>8437</v>
      </c>
    </row>
    <row r="766" spans="1:4">
      <c r="A766" s="297">
        <v>44010</v>
      </c>
      <c r="B766" s="298">
        <v>1.4999999999999999E-2</v>
      </c>
      <c r="C766" s="296">
        <v>0</v>
      </c>
      <c r="D766" s="296">
        <v>8437</v>
      </c>
    </row>
    <row r="767" spans="1:4">
      <c r="A767" s="297">
        <v>44011</v>
      </c>
      <c r="B767" s="298">
        <v>1.4999999999999999E-2</v>
      </c>
      <c r="C767" s="296">
        <v>5916</v>
      </c>
      <c r="D767" s="296">
        <v>6891</v>
      </c>
    </row>
    <row r="768" spans="1:4">
      <c r="A768" s="297">
        <v>44012</v>
      </c>
      <c r="B768" s="298">
        <v>1.4999999999999999E-2</v>
      </c>
      <c r="C768" s="296">
        <v>8207</v>
      </c>
      <c r="D768" s="296">
        <v>9782</v>
      </c>
    </row>
    <row r="769" spans="1:4">
      <c r="A769" s="297">
        <v>44013</v>
      </c>
      <c r="B769" s="298">
        <v>1.5100000000000001E-2</v>
      </c>
      <c r="C769" s="296">
        <v>6054</v>
      </c>
      <c r="D769" s="296">
        <v>7509</v>
      </c>
    </row>
    <row r="770" spans="1:4">
      <c r="A770" s="297">
        <v>44014</v>
      </c>
      <c r="B770" s="298">
        <v>1.4999999999999999E-2</v>
      </c>
      <c r="C770" s="296">
        <v>5318</v>
      </c>
      <c r="D770" s="296">
        <v>6973</v>
      </c>
    </row>
    <row r="771" spans="1:4">
      <c r="A771" s="297">
        <v>44015</v>
      </c>
      <c r="B771" s="298">
        <v>1.502E-2</v>
      </c>
      <c r="C771" s="296">
        <v>5970</v>
      </c>
      <c r="D771" s="296">
        <v>7475</v>
      </c>
    </row>
    <row r="772" spans="1:4">
      <c r="A772" s="297">
        <v>44016</v>
      </c>
      <c r="B772" s="298">
        <v>1.502E-2</v>
      </c>
      <c r="C772" s="296">
        <v>0</v>
      </c>
      <c r="D772" s="296">
        <v>7475</v>
      </c>
    </row>
    <row r="773" spans="1:4">
      <c r="A773" s="297">
        <v>44017</v>
      </c>
      <c r="B773" s="298">
        <v>1.502E-2</v>
      </c>
      <c r="C773" s="296">
        <v>0</v>
      </c>
      <c r="D773" s="296">
        <v>7475</v>
      </c>
    </row>
    <row r="774" spans="1:4">
      <c r="A774" s="297">
        <v>44018</v>
      </c>
      <c r="B774" s="298">
        <v>1.4999999999999999E-2</v>
      </c>
      <c r="C774" s="296">
        <v>6008</v>
      </c>
      <c r="D774" s="296">
        <v>7533</v>
      </c>
    </row>
    <row r="775" spans="1:4">
      <c r="A775" s="297">
        <v>44019</v>
      </c>
      <c r="B775" s="298">
        <v>1.4999999999999999E-2</v>
      </c>
      <c r="C775" s="296">
        <v>4705</v>
      </c>
      <c r="D775" s="296">
        <v>6230</v>
      </c>
    </row>
    <row r="776" spans="1:4">
      <c r="A776" s="297">
        <v>44020</v>
      </c>
      <c r="B776" s="298">
        <v>1.4999999999999999E-2</v>
      </c>
      <c r="C776" s="296">
        <v>5014</v>
      </c>
      <c r="D776" s="296">
        <v>6539</v>
      </c>
    </row>
    <row r="777" spans="1:4">
      <c r="A777" s="297">
        <v>44021</v>
      </c>
      <c r="B777" s="298">
        <v>1.4999999999999999E-2</v>
      </c>
      <c r="C777" s="296">
        <v>6525</v>
      </c>
      <c r="D777" s="296">
        <v>8050</v>
      </c>
    </row>
    <row r="778" spans="1:4">
      <c r="A778" s="297">
        <v>44022</v>
      </c>
      <c r="B778" s="298">
        <v>1.5010000000000001E-2</v>
      </c>
      <c r="C778" s="296">
        <v>6882</v>
      </c>
      <c r="D778" s="296">
        <v>8807</v>
      </c>
    </row>
    <row r="779" spans="1:4">
      <c r="A779" s="297">
        <v>44023</v>
      </c>
      <c r="B779" s="298">
        <v>1.5010000000000001E-2</v>
      </c>
      <c r="C779" s="296">
        <v>0</v>
      </c>
      <c r="D779" s="296">
        <v>8807</v>
      </c>
    </row>
    <row r="780" spans="1:4">
      <c r="A780" s="297">
        <v>44024</v>
      </c>
      <c r="B780" s="298">
        <v>1.5010000000000001E-2</v>
      </c>
      <c r="C780" s="296">
        <v>0</v>
      </c>
      <c r="D780" s="296">
        <v>8807</v>
      </c>
    </row>
    <row r="781" spans="1:4">
      <c r="A781" s="297">
        <v>44025</v>
      </c>
      <c r="B781" s="298">
        <v>1.5010000000000001E-2</v>
      </c>
      <c r="C781" s="296">
        <v>6207</v>
      </c>
      <c r="D781" s="296">
        <v>8132</v>
      </c>
    </row>
    <row r="782" spans="1:4">
      <c r="A782" s="297">
        <v>44026</v>
      </c>
      <c r="B782" s="298">
        <v>1.4999999999999999E-2</v>
      </c>
      <c r="C782" s="296">
        <v>6408</v>
      </c>
      <c r="D782" s="296">
        <v>8333</v>
      </c>
    </row>
    <row r="783" spans="1:4">
      <c r="A783" s="297">
        <v>44027</v>
      </c>
      <c r="B783" s="298">
        <v>1.506E-2</v>
      </c>
      <c r="C783" s="296">
        <v>6914</v>
      </c>
      <c r="D783" s="296">
        <v>8839</v>
      </c>
    </row>
    <row r="784" spans="1:4">
      <c r="A784" s="297">
        <v>44028</v>
      </c>
      <c r="B784" s="298">
        <v>1.4999999999999999E-2</v>
      </c>
      <c r="C784" s="296">
        <v>7092</v>
      </c>
      <c r="D784" s="296">
        <v>9217</v>
      </c>
    </row>
    <row r="785" spans="1:4">
      <c r="A785" s="297">
        <v>44029</v>
      </c>
      <c r="B785" s="298">
        <v>1.4999999999999999E-2</v>
      </c>
      <c r="C785" s="296">
        <v>6765</v>
      </c>
      <c r="D785" s="296">
        <v>8950</v>
      </c>
    </row>
    <row r="786" spans="1:4">
      <c r="A786" s="297">
        <v>44030</v>
      </c>
      <c r="B786" s="298">
        <v>1.4999999999999999E-2</v>
      </c>
      <c r="C786" s="296" t="s">
        <v>8</v>
      </c>
      <c r="D786" s="296">
        <v>8950</v>
      </c>
    </row>
    <row r="787" spans="1:4">
      <c r="A787" s="297">
        <v>44031</v>
      </c>
      <c r="B787" s="298">
        <v>1.4999999999999999E-2</v>
      </c>
      <c r="C787" s="296" t="s">
        <v>8</v>
      </c>
      <c r="D787" s="296">
        <v>8950</v>
      </c>
    </row>
    <row r="788" spans="1:4">
      <c r="A788" s="297">
        <v>44032</v>
      </c>
      <c r="B788" s="298">
        <v>1.4999999999999999E-2</v>
      </c>
      <c r="C788" s="296">
        <v>6005</v>
      </c>
      <c r="D788" s="296">
        <v>7935</v>
      </c>
    </row>
    <row r="789" spans="1:4">
      <c r="A789" s="297">
        <v>44033</v>
      </c>
      <c r="B789" s="298">
        <v>1.503E-2</v>
      </c>
      <c r="C789" s="296">
        <v>6840</v>
      </c>
      <c r="D789" s="296">
        <v>9120</v>
      </c>
    </row>
    <row r="790" spans="1:4">
      <c r="A790" s="297">
        <v>44034</v>
      </c>
      <c r="B790" s="298">
        <v>1.4999999999999999E-2</v>
      </c>
      <c r="C790" s="296">
        <v>6912</v>
      </c>
      <c r="D790" s="296">
        <v>9212</v>
      </c>
    </row>
    <row r="791" spans="1:4">
      <c r="A791" s="297">
        <v>44035</v>
      </c>
      <c r="B791" s="298">
        <v>1.504E-2</v>
      </c>
      <c r="C791" s="296">
        <v>6539</v>
      </c>
      <c r="D791" s="296">
        <v>8839</v>
      </c>
    </row>
    <row r="792" spans="1:4">
      <c r="A792" s="297">
        <v>44036</v>
      </c>
      <c r="B792" s="298">
        <v>1.4999999999999999E-2</v>
      </c>
      <c r="C792" s="296">
        <v>5092</v>
      </c>
      <c r="D792" s="296">
        <v>7332</v>
      </c>
    </row>
    <row r="793" spans="1:4">
      <c r="A793" s="297">
        <v>44037</v>
      </c>
      <c r="B793" s="298">
        <v>1.4999999999999999E-2</v>
      </c>
      <c r="C793" s="296">
        <v>0</v>
      </c>
      <c r="D793" s="296">
        <v>7332</v>
      </c>
    </row>
    <row r="794" spans="1:4">
      <c r="A794" s="297">
        <v>44038</v>
      </c>
      <c r="B794" s="298">
        <v>1.4999999999999999E-2</v>
      </c>
      <c r="C794" s="296">
        <v>0</v>
      </c>
      <c r="D794" s="296">
        <v>7332</v>
      </c>
    </row>
    <row r="795" spans="1:4">
      <c r="A795" s="297">
        <v>44039</v>
      </c>
      <c r="B795" s="298">
        <v>1.4999999999999999E-2</v>
      </c>
      <c r="C795" s="296">
        <v>4882</v>
      </c>
      <c r="D795" s="296">
        <v>7722</v>
      </c>
    </row>
    <row r="796" spans="1:4">
      <c r="A796" s="297">
        <v>44040</v>
      </c>
      <c r="B796" s="298">
        <v>1.4999999999999999E-2</v>
      </c>
      <c r="C796" s="296">
        <v>4920</v>
      </c>
      <c r="D796" s="296">
        <v>8210</v>
      </c>
    </row>
    <row r="797" spans="1:4">
      <c r="A797" s="297">
        <v>44041</v>
      </c>
      <c r="B797" s="298">
        <v>1.4999999999999999E-2</v>
      </c>
      <c r="C797" s="296">
        <v>9455</v>
      </c>
      <c r="D797" s="296">
        <v>13735</v>
      </c>
    </row>
    <row r="798" spans="1:4">
      <c r="A798" s="297">
        <v>44042</v>
      </c>
      <c r="B798" s="298">
        <v>1.4999999999999999E-2</v>
      </c>
      <c r="C798" s="296">
        <v>0</v>
      </c>
      <c r="D798" s="296">
        <v>13735</v>
      </c>
    </row>
    <row r="799" spans="1:4">
      <c r="A799" s="297">
        <v>44043</v>
      </c>
      <c r="B799" s="298">
        <v>1.4999999999999999E-2</v>
      </c>
      <c r="C799" s="296">
        <v>0</v>
      </c>
      <c r="D799" s="296">
        <v>13735</v>
      </c>
    </row>
    <row r="800" spans="1:4">
      <c r="A800" s="297">
        <v>44044</v>
      </c>
      <c r="B800" s="298">
        <v>1.4999999999999999E-2</v>
      </c>
      <c r="C800" s="296">
        <v>0</v>
      </c>
      <c r="D800" s="296">
        <v>13735</v>
      </c>
    </row>
    <row r="801" spans="1:4">
      <c r="A801" s="297">
        <v>44045</v>
      </c>
      <c r="B801" s="298">
        <v>1.4999999999999999E-2</v>
      </c>
      <c r="C801" s="296">
        <v>0</v>
      </c>
      <c r="D801" s="296">
        <v>13735</v>
      </c>
    </row>
    <row r="802" spans="1:4">
      <c r="A802" s="297">
        <v>44046</v>
      </c>
      <c r="B802" s="298">
        <v>1.4999999999999999E-2</v>
      </c>
      <c r="C802" s="296">
        <v>7675</v>
      </c>
      <c r="D802" s="296">
        <v>11215</v>
      </c>
    </row>
    <row r="803" spans="1:4">
      <c r="A803" s="297">
        <v>44047</v>
      </c>
      <c r="B803" s="298">
        <v>1.502E-2</v>
      </c>
      <c r="C803" s="296">
        <v>6892</v>
      </c>
      <c r="D803" s="296">
        <v>11432</v>
      </c>
    </row>
    <row r="804" spans="1:4">
      <c r="A804" s="297">
        <v>44048</v>
      </c>
      <c r="B804" s="298">
        <v>1.5089999999999999E-2</v>
      </c>
      <c r="C804" s="296">
        <v>6675</v>
      </c>
      <c r="D804" s="296">
        <v>11115</v>
      </c>
    </row>
    <row r="805" spans="1:4">
      <c r="A805" s="297">
        <v>44049</v>
      </c>
      <c r="B805" s="298">
        <v>1.4999999999999999E-2</v>
      </c>
      <c r="C805" s="296">
        <v>4260</v>
      </c>
      <c r="D805" s="296">
        <v>7050</v>
      </c>
    </row>
    <row r="806" spans="1:4">
      <c r="A806" s="297">
        <v>44050</v>
      </c>
      <c r="B806" s="298">
        <v>1.4999999999999999E-2</v>
      </c>
      <c r="C806" s="296">
        <v>3310</v>
      </c>
      <c r="D806" s="296">
        <v>6020</v>
      </c>
    </row>
    <row r="807" spans="1:4">
      <c r="A807" s="297">
        <v>44051</v>
      </c>
      <c r="B807" s="298">
        <v>1.4999999999999999E-2</v>
      </c>
      <c r="C807" s="296">
        <v>0</v>
      </c>
      <c r="D807" s="296">
        <v>6020</v>
      </c>
    </row>
    <row r="808" spans="1:4">
      <c r="A808" s="297">
        <v>44052</v>
      </c>
      <c r="B808" s="298">
        <v>1.4999999999999999E-2</v>
      </c>
      <c r="C808" s="296">
        <v>0</v>
      </c>
      <c r="D808" s="296">
        <v>6020</v>
      </c>
    </row>
    <row r="809" spans="1:4">
      <c r="A809" s="297">
        <v>44053</v>
      </c>
      <c r="B809" s="298">
        <v>1.4999999999999999E-2</v>
      </c>
      <c r="C809" s="296">
        <v>3794</v>
      </c>
      <c r="D809" s="296">
        <v>6294</v>
      </c>
    </row>
    <row r="810" spans="1:4">
      <c r="A810" s="297">
        <v>44054</v>
      </c>
      <c r="B810" s="298">
        <v>1.4999999999999999E-2</v>
      </c>
      <c r="C810" s="296">
        <v>3484</v>
      </c>
      <c r="D810" s="296">
        <v>5884</v>
      </c>
    </row>
    <row r="811" spans="1:4">
      <c r="A811" s="297">
        <v>44055</v>
      </c>
      <c r="B811" s="298">
        <v>1.4999999999999999E-2</v>
      </c>
      <c r="C811" s="296">
        <v>3427</v>
      </c>
      <c r="D811" s="296">
        <v>5927</v>
      </c>
    </row>
    <row r="812" spans="1:4">
      <c r="A812" s="297">
        <v>44056</v>
      </c>
      <c r="B812" s="298">
        <v>1.4999999999999999E-2</v>
      </c>
      <c r="C812" s="296">
        <v>4832</v>
      </c>
      <c r="D812" s="296">
        <v>8082</v>
      </c>
    </row>
    <row r="813" spans="1:4">
      <c r="A813" s="297">
        <v>44057</v>
      </c>
      <c r="B813" s="298">
        <v>1.4999999999999999E-2</v>
      </c>
      <c r="C813" s="296" t="s">
        <v>8</v>
      </c>
      <c r="D813" s="296">
        <v>8082</v>
      </c>
    </row>
    <row r="814" spans="1:4">
      <c r="A814" s="297">
        <v>44058</v>
      </c>
      <c r="B814" s="298">
        <v>1.4999999999999999E-2</v>
      </c>
      <c r="C814" s="296" t="s">
        <v>8</v>
      </c>
      <c r="D814" s="296">
        <v>8082</v>
      </c>
    </row>
    <row r="815" spans="1:4">
      <c r="A815" s="297">
        <v>44059</v>
      </c>
      <c r="B815" s="298">
        <v>1.4999999999999999E-2</v>
      </c>
      <c r="C815" s="296" t="s">
        <v>8</v>
      </c>
      <c r="D815" s="296">
        <v>8082</v>
      </c>
    </row>
    <row r="816" spans="1:4">
      <c r="A816" s="297">
        <v>44060</v>
      </c>
      <c r="B816" s="298">
        <v>1.4999999999999999E-2</v>
      </c>
      <c r="C816" s="296">
        <v>4975</v>
      </c>
      <c r="D816" s="296">
        <v>8415</v>
      </c>
    </row>
    <row r="817" spans="1:4">
      <c r="A817" s="297">
        <v>44061</v>
      </c>
      <c r="B817" s="298">
        <v>1.4999999999999999E-2</v>
      </c>
      <c r="C817" s="296">
        <v>4214</v>
      </c>
      <c r="D817" s="296">
        <v>7654</v>
      </c>
    </row>
    <row r="818" spans="1:4">
      <c r="A818" s="297">
        <v>44062</v>
      </c>
      <c r="B818" s="298">
        <v>1.4999999999999999E-2</v>
      </c>
      <c r="C818" s="296">
        <v>5077</v>
      </c>
      <c r="D818" s="296">
        <v>8697</v>
      </c>
    </row>
    <row r="819" spans="1:4">
      <c r="A819" s="297">
        <v>44063</v>
      </c>
      <c r="B819" s="298">
        <v>1.4999999999999999E-2</v>
      </c>
      <c r="C819" s="296">
        <v>0</v>
      </c>
      <c r="D819" s="296">
        <v>8697</v>
      </c>
    </row>
    <row r="820" spans="1:4">
      <c r="A820" s="297">
        <v>44064</v>
      </c>
      <c r="B820" s="298">
        <v>1.4999999999999999E-2</v>
      </c>
      <c r="C820" s="296">
        <v>0</v>
      </c>
      <c r="D820" s="296">
        <v>8697</v>
      </c>
    </row>
    <row r="821" spans="1:4">
      <c r="A821" s="297">
        <v>44065</v>
      </c>
      <c r="B821" s="298">
        <v>1.4999999999999999E-2</v>
      </c>
      <c r="C821" s="296">
        <v>0</v>
      </c>
      <c r="D821" s="296">
        <v>8697</v>
      </c>
    </row>
    <row r="822" spans="1:4">
      <c r="A822" s="297">
        <v>44066</v>
      </c>
      <c r="B822" s="298">
        <v>1.4999999999999999E-2</v>
      </c>
      <c r="C822" s="296">
        <v>0</v>
      </c>
      <c r="D822" s="296">
        <v>8697</v>
      </c>
    </row>
    <row r="823" spans="1:4">
      <c r="A823" s="297">
        <v>44067</v>
      </c>
      <c r="B823" s="298">
        <v>1.4999999999999999E-2</v>
      </c>
      <c r="C823" s="296">
        <v>5156</v>
      </c>
      <c r="D823" s="296">
        <v>8626</v>
      </c>
    </row>
    <row r="824" spans="1:4">
      <c r="A824" s="297">
        <v>44068</v>
      </c>
      <c r="B824" s="298">
        <v>1.4999999999999999E-2</v>
      </c>
      <c r="C824" s="296">
        <v>4468</v>
      </c>
      <c r="D824" s="296">
        <v>7938</v>
      </c>
    </row>
    <row r="825" spans="1:4">
      <c r="A825" s="297">
        <v>44069</v>
      </c>
      <c r="B825" s="298">
        <v>1.4999999999999999E-2</v>
      </c>
      <c r="C825" s="296">
        <v>4554</v>
      </c>
      <c r="D825" s="296">
        <v>8174</v>
      </c>
    </row>
    <row r="826" spans="1:4">
      <c r="A826" s="297">
        <v>44070</v>
      </c>
      <c r="B826" s="298">
        <v>1.4999999999999999E-2</v>
      </c>
      <c r="C826" s="296">
        <v>4544</v>
      </c>
      <c r="D826" s="296">
        <v>8014</v>
      </c>
    </row>
    <row r="827" spans="1:4">
      <c r="A827" s="297">
        <v>44071</v>
      </c>
      <c r="B827" s="298">
        <v>1.4999999999999999E-2</v>
      </c>
      <c r="C827" s="296">
        <v>3686</v>
      </c>
      <c r="D827" s="296">
        <v>7156</v>
      </c>
    </row>
    <row r="828" spans="1:4">
      <c r="A828" s="297">
        <v>44072</v>
      </c>
      <c r="B828" s="298">
        <v>1.4999999999999999E-2</v>
      </c>
      <c r="C828" s="296">
        <v>0</v>
      </c>
      <c r="D828" s="296">
        <v>7156</v>
      </c>
    </row>
    <row r="829" spans="1:4">
      <c r="A829" s="297">
        <v>44073</v>
      </c>
      <c r="B829" s="298">
        <v>1.4999999999999999E-2</v>
      </c>
      <c r="C829" s="296">
        <v>0</v>
      </c>
      <c r="D829" s="296">
        <v>7156</v>
      </c>
    </row>
    <row r="830" spans="1:4">
      <c r="A830" s="297">
        <v>44074</v>
      </c>
      <c r="B830" s="298">
        <v>1.4999999999999999E-2</v>
      </c>
      <c r="C830" s="296">
        <v>3872</v>
      </c>
      <c r="D830" s="296">
        <v>7367</v>
      </c>
    </row>
    <row r="831" spans="1:4">
      <c r="A831" s="297">
        <v>44075</v>
      </c>
      <c r="B831" s="298">
        <v>1.4999999999999999E-2</v>
      </c>
      <c r="C831" s="296">
        <v>4851</v>
      </c>
      <c r="D831" s="296">
        <v>7796</v>
      </c>
    </row>
    <row r="832" spans="1:4">
      <c r="A832" s="297">
        <v>44076</v>
      </c>
      <c r="B832" s="298">
        <v>1.4999999999999999E-2</v>
      </c>
      <c r="C832" s="296">
        <v>4344</v>
      </c>
      <c r="D832" s="296">
        <v>7289</v>
      </c>
    </row>
    <row r="833" spans="1:4">
      <c r="A833" s="297">
        <v>44077</v>
      </c>
      <c r="B833" s="298">
        <v>1.4999999999999999E-2</v>
      </c>
      <c r="C833" s="296">
        <v>4415</v>
      </c>
      <c r="D833" s="296">
        <v>7560</v>
      </c>
    </row>
    <row r="834" spans="1:4">
      <c r="A834" s="297">
        <v>44078</v>
      </c>
      <c r="B834" s="298">
        <v>1.4999999999999999E-2</v>
      </c>
      <c r="C834" s="296">
        <v>4538</v>
      </c>
      <c r="D834" s="296">
        <v>7783</v>
      </c>
    </row>
    <row r="835" spans="1:4">
      <c r="A835" s="297">
        <v>44079</v>
      </c>
      <c r="B835" s="298">
        <v>1.4999999999999999E-2</v>
      </c>
      <c r="C835" s="296">
        <v>0</v>
      </c>
      <c r="D835" s="296">
        <v>7783</v>
      </c>
    </row>
    <row r="836" spans="1:4">
      <c r="A836" s="297">
        <v>44080</v>
      </c>
      <c r="B836" s="298">
        <v>1.4999999999999999E-2</v>
      </c>
      <c r="C836" s="296">
        <v>0</v>
      </c>
      <c r="D836" s="296">
        <v>7783</v>
      </c>
    </row>
    <row r="837" spans="1:4">
      <c r="A837" s="297">
        <v>44081</v>
      </c>
      <c r="B837" s="298">
        <v>1.4999999999999999E-2</v>
      </c>
      <c r="C837" s="296">
        <v>5921</v>
      </c>
      <c r="D837" s="296">
        <v>9146</v>
      </c>
    </row>
    <row r="838" spans="1:4">
      <c r="A838" s="297">
        <v>44082</v>
      </c>
      <c r="B838" s="298">
        <v>1.4999999999999999E-2</v>
      </c>
      <c r="C838" s="296">
        <v>4533</v>
      </c>
      <c r="D838" s="296">
        <v>7758</v>
      </c>
    </row>
    <row r="839" spans="1:4">
      <c r="A839" s="297">
        <v>44083</v>
      </c>
      <c r="B839" s="298">
        <v>1.4999999999999999E-2</v>
      </c>
      <c r="C839" s="296">
        <v>4023</v>
      </c>
      <c r="D839" s="296">
        <v>7248</v>
      </c>
    </row>
    <row r="840" spans="1:4">
      <c r="A840" s="297">
        <v>44084</v>
      </c>
      <c r="B840" s="298">
        <v>1.4999999999999999E-2</v>
      </c>
      <c r="C840" s="296">
        <v>4486</v>
      </c>
      <c r="D840" s="296">
        <v>8441</v>
      </c>
    </row>
    <row r="841" spans="1:4">
      <c r="A841" s="297">
        <v>44085</v>
      </c>
      <c r="B841" s="298">
        <v>1.4999999999999999E-2</v>
      </c>
      <c r="C841" s="296">
        <v>3892</v>
      </c>
      <c r="D841" s="296">
        <v>7847</v>
      </c>
    </row>
    <row r="842" spans="1:4">
      <c r="A842" s="297">
        <v>44086</v>
      </c>
      <c r="B842" s="298">
        <v>1.4999999999999999E-2</v>
      </c>
      <c r="C842" s="296">
        <v>0</v>
      </c>
      <c r="D842" s="296">
        <v>7847</v>
      </c>
    </row>
    <row r="843" spans="1:4">
      <c r="A843" s="297">
        <v>44087</v>
      </c>
      <c r="B843" s="298">
        <v>1.4999999999999999E-2</v>
      </c>
      <c r="C843" s="296">
        <v>0</v>
      </c>
      <c r="D843" s="296">
        <v>7847</v>
      </c>
    </row>
    <row r="844" spans="1:4">
      <c r="A844" s="297">
        <v>44088</v>
      </c>
      <c r="B844" s="298">
        <v>1.4999999999999999E-2</v>
      </c>
      <c r="C844" s="296">
        <v>4368</v>
      </c>
      <c r="D844" s="296">
        <v>8163</v>
      </c>
    </row>
    <row r="845" spans="1:4">
      <c r="A845" s="297">
        <v>44089</v>
      </c>
      <c r="B845" s="298">
        <v>1.4999999999999999E-2</v>
      </c>
      <c r="C845" s="296">
        <v>4765</v>
      </c>
      <c r="D845" s="296">
        <v>8560</v>
      </c>
    </row>
    <row r="846" spans="1:4">
      <c r="A846" s="297">
        <v>44090</v>
      </c>
      <c r="B846" s="298">
        <v>1.4999999999999999E-2</v>
      </c>
      <c r="C846" s="296">
        <v>4743</v>
      </c>
      <c r="D846" s="296">
        <v>8738</v>
      </c>
    </row>
    <row r="847" spans="1:4">
      <c r="A847" s="297">
        <v>44091</v>
      </c>
      <c r="B847" s="298">
        <v>1.4999999999999999E-2</v>
      </c>
      <c r="C847" s="296">
        <v>6337</v>
      </c>
      <c r="D847" s="296">
        <v>9632</v>
      </c>
    </row>
    <row r="848" spans="1:4">
      <c r="A848" s="297">
        <v>44092</v>
      </c>
      <c r="B848" s="298">
        <v>1.4999999999999999E-2</v>
      </c>
      <c r="C848" s="296">
        <v>4713</v>
      </c>
      <c r="D848" s="296">
        <v>8008</v>
      </c>
    </row>
    <row r="849" spans="1:4">
      <c r="A849" s="297">
        <v>44093</v>
      </c>
      <c r="B849" s="298">
        <v>1.4999999999999999E-2</v>
      </c>
      <c r="C849" s="296">
        <v>0</v>
      </c>
      <c r="D849" s="296">
        <v>8008</v>
      </c>
    </row>
    <row r="850" spans="1:4">
      <c r="A850" s="297">
        <v>44094</v>
      </c>
      <c r="B850" s="298">
        <v>1.4999999999999999E-2</v>
      </c>
      <c r="C850" s="296">
        <v>0</v>
      </c>
      <c r="D850" s="296">
        <v>8008</v>
      </c>
    </row>
    <row r="851" spans="1:4">
      <c r="A851" s="297">
        <v>44095</v>
      </c>
      <c r="B851" s="298">
        <v>1.4999999999999999E-2</v>
      </c>
      <c r="C851" s="296">
        <v>5457</v>
      </c>
      <c r="D851" s="296">
        <v>9002</v>
      </c>
    </row>
    <row r="852" spans="1:4">
      <c r="A852" s="297">
        <v>44096</v>
      </c>
      <c r="B852" s="298">
        <v>1.4999999999999999E-2</v>
      </c>
      <c r="C852" s="296">
        <v>4678</v>
      </c>
      <c r="D852" s="296">
        <v>8223</v>
      </c>
    </row>
    <row r="853" spans="1:4">
      <c r="A853" s="297">
        <v>44097</v>
      </c>
      <c r="B853" s="298">
        <v>1.4999999999999999E-2</v>
      </c>
      <c r="C853" s="296">
        <v>5353</v>
      </c>
      <c r="D853" s="296">
        <v>8928</v>
      </c>
    </row>
    <row r="854" spans="1:4">
      <c r="A854" s="297">
        <v>44098</v>
      </c>
      <c r="B854" s="298">
        <v>1.4999999999999999E-2</v>
      </c>
      <c r="C854" s="296">
        <v>5434</v>
      </c>
      <c r="D854" s="296">
        <v>9209</v>
      </c>
    </row>
    <row r="855" spans="1:4">
      <c r="A855" s="297">
        <v>44099</v>
      </c>
      <c r="B855" s="298">
        <v>1.4999999999999999E-2</v>
      </c>
      <c r="C855" s="296">
        <v>5081</v>
      </c>
      <c r="D855" s="296">
        <v>8856</v>
      </c>
    </row>
    <row r="856" spans="1:4">
      <c r="A856" s="297">
        <v>44100</v>
      </c>
      <c r="B856" s="298">
        <v>1.4999999999999999E-2</v>
      </c>
      <c r="C856" s="296">
        <v>0</v>
      </c>
      <c r="D856" s="296">
        <v>8856</v>
      </c>
    </row>
    <row r="857" spans="1:4">
      <c r="A857" s="297">
        <v>44101</v>
      </c>
      <c r="B857" s="298">
        <v>1.4999999999999999E-2</v>
      </c>
      <c r="C857" s="296">
        <v>0</v>
      </c>
      <c r="D857" s="296">
        <v>8856</v>
      </c>
    </row>
    <row r="858" spans="1:4">
      <c r="A858" s="297">
        <v>44102</v>
      </c>
      <c r="B858" s="298">
        <v>1.4999999999999999E-2</v>
      </c>
      <c r="C858" s="296">
        <v>6216</v>
      </c>
      <c r="D858" s="296">
        <v>9991</v>
      </c>
    </row>
    <row r="859" spans="1:4">
      <c r="A859" s="297">
        <v>44103</v>
      </c>
      <c r="B859" s="298">
        <v>1.4999999999999999E-2</v>
      </c>
      <c r="C859" s="296">
        <v>5815</v>
      </c>
      <c r="D859" s="296">
        <v>9790</v>
      </c>
    </row>
    <row r="860" spans="1:4">
      <c r="A860" s="297">
        <v>44104</v>
      </c>
      <c r="B860" s="298">
        <v>1.502E-2</v>
      </c>
      <c r="C860" s="296">
        <v>7630</v>
      </c>
      <c r="D860" s="296">
        <v>11975</v>
      </c>
    </row>
    <row r="861" spans="1:4">
      <c r="A861" s="297">
        <v>44105</v>
      </c>
      <c r="B861" s="298">
        <v>1.4999999999999999E-2</v>
      </c>
      <c r="C861" s="296">
        <v>7972</v>
      </c>
      <c r="D861" s="296">
        <v>11877</v>
      </c>
    </row>
    <row r="862" spans="1:4">
      <c r="A862" s="297">
        <v>44106</v>
      </c>
      <c r="B862" s="298">
        <v>1.4999999999999999E-2</v>
      </c>
      <c r="C862" s="296">
        <v>7676</v>
      </c>
      <c r="D862" s="296">
        <v>11581</v>
      </c>
    </row>
    <row r="863" spans="1:4">
      <c r="A863" s="297">
        <v>44107</v>
      </c>
      <c r="B863" s="298">
        <v>1.4999999999999999E-2</v>
      </c>
      <c r="C863" s="296" t="s">
        <v>8</v>
      </c>
      <c r="D863" s="296">
        <v>11581</v>
      </c>
    </row>
    <row r="864" spans="1:4">
      <c r="A864" s="297">
        <v>44108</v>
      </c>
      <c r="B864" s="298">
        <v>1.4999999999999999E-2</v>
      </c>
      <c r="C864" s="296" t="s">
        <v>8</v>
      </c>
      <c r="D864" s="296">
        <v>11581</v>
      </c>
    </row>
    <row r="865" spans="1:4">
      <c r="A865" s="297">
        <v>44109</v>
      </c>
      <c r="B865" s="298">
        <v>1.4999999999999999E-2</v>
      </c>
      <c r="C865" s="296">
        <v>7085</v>
      </c>
      <c r="D865" s="296">
        <v>10985</v>
      </c>
    </row>
    <row r="866" spans="1:4">
      <c r="A866" s="297">
        <v>44110</v>
      </c>
      <c r="B866" s="298">
        <v>1.4999999999999999E-2</v>
      </c>
      <c r="C866" s="296">
        <v>7085</v>
      </c>
      <c r="D866" s="296">
        <v>10985</v>
      </c>
    </row>
    <row r="867" spans="1:4">
      <c r="A867" s="297">
        <v>44111</v>
      </c>
      <c r="B867" s="298">
        <v>1.4999999999999999E-2</v>
      </c>
      <c r="C867" s="296">
        <v>7398</v>
      </c>
      <c r="D867" s="296">
        <v>11328</v>
      </c>
    </row>
    <row r="868" spans="1:4">
      <c r="A868" s="297">
        <v>44112</v>
      </c>
      <c r="B868" s="298">
        <v>1.4999999999999999E-2</v>
      </c>
      <c r="C868" s="296">
        <v>6623</v>
      </c>
      <c r="D868" s="296">
        <v>10153</v>
      </c>
    </row>
    <row r="869" spans="1:4">
      <c r="A869" s="297">
        <v>44113</v>
      </c>
      <c r="B869" s="298">
        <v>1.4999999999999999E-2</v>
      </c>
      <c r="C869" s="296">
        <v>6401</v>
      </c>
      <c r="D869" s="296">
        <v>9931</v>
      </c>
    </row>
    <row r="870" spans="1:4">
      <c r="A870" s="297">
        <v>44114</v>
      </c>
      <c r="B870" s="298">
        <v>1.4999999999999999E-2</v>
      </c>
      <c r="C870" s="296" t="s">
        <v>8</v>
      </c>
      <c r="D870" s="296">
        <v>9931</v>
      </c>
    </row>
    <row r="871" spans="1:4">
      <c r="A871" s="297">
        <v>44115</v>
      </c>
      <c r="B871" s="298">
        <v>1.4999999999999999E-2</v>
      </c>
      <c r="C871" s="296" t="s">
        <v>8</v>
      </c>
      <c r="D871" s="296">
        <v>9931</v>
      </c>
    </row>
    <row r="872" spans="1:4">
      <c r="A872" s="297">
        <v>44116</v>
      </c>
      <c r="B872" s="298">
        <v>1.502E-2</v>
      </c>
      <c r="C872" s="296">
        <v>7948</v>
      </c>
      <c r="D872" s="296">
        <v>11478</v>
      </c>
    </row>
    <row r="873" spans="1:4">
      <c r="A873" s="297">
        <v>44117</v>
      </c>
      <c r="B873" s="298">
        <v>1.502E-2</v>
      </c>
      <c r="C873" s="296">
        <v>8003</v>
      </c>
      <c r="D873" s="296">
        <v>11583</v>
      </c>
    </row>
    <row r="874" spans="1:4">
      <c r="A874" s="297">
        <v>44118</v>
      </c>
      <c r="B874" s="298">
        <v>1.502E-2</v>
      </c>
      <c r="C874" s="296">
        <v>7832</v>
      </c>
      <c r="D874" s="296">
        <v>11412</v>
      </c>
    </row>
    <row r="875" spans="1:4">
      <c r="A875" s="297">
        <v>44119</v>
      </c>
      <c r="B875" s="298">
        <v>1.4999999999999999E-2</v>
      </c>
      <c r="C875" s="296">
        <v>6877</v>
      </c>
      <c r="D875" s="296">
        <v>10457</v>
      </c>
    </row>
    <row r="876" spans="1:4">
      <c r="A876" s="297">
        <v>44120</v>
      </c>
      <c r="B876" s="298">
        <v>1.4999999999999999E-2</v>
      </c>
      <c r="C876" s="296">
        <v>7265</v>
      </c>
      <c r="D876" s="296">
        <v>10845</v>
      </c>
    </row>
    <row r="877" spans="1:4">
      <c r="A877" s="297">
        <v>44121</v>
      </c>
      <c r="B877" s="298">
        <v>1.4999999999999999E-2</v>
      </c>
      <c r="C877" s="296" t="s">
        <v>8</v>
      </c>
      <c r="D877" s="296">
        <v>10845</v>
      </c>
    </row>
    <row r="878" spans="1:4">
      <c r="A878" s="297">
        <v>44122</v>
      </c>
      <c r="B878" s="298">
        <v>1.4999999999999999E-2</v>
      </c>
      <c r="C878" s="296" t="s">
        <v>8</v>
      </c>
      <c r="D878" s="296">
        <v>10845</v>
      </c>
    </row>
    <row r="879" spans="1:4">
      <c r="A879" s="297">
        <v>44123</v>
      </c>
      <c r="B879" s="298">
        <v>1.4999999999999999E-2</v>
      </c>
      <c r="C879" s="296">
        <v>5246</v>
      </c>
      <c r="D879" s="296">
        <v>8826</v>
      </c>
    </row>
    <row r="880" spans="1:4">
      <c r="A880" s="297">
        <v>44124</v>
      </c>
      <c r="B880" s="298">
        <v>1.4999999999999999E-2</v>
      </c>
      <c r="C880" s="296">
        <v>5306</v>
      </c>
      <c r="D880" s="296">
        <v>8886</v>
      </c>
    </row>
    <row r="881" spans="1:4">
      <c r="A881" s="297">
        <v>44125</v>
      </c>
      <c r="B881" s="298">
        <v>1.4999999999999999E-2</v>
      </c>
      <c r="C881" s="296">
        <v>6008</v>
      </c>
      <c r="D881" s="296">
        <v>9588</v>
      </c>
    </row>
    <row r="882" spans="1:4">
      <c r="A882" s="297">
        <v>44126</v>
      </c>
      <c r="B882" s="298">
        <v>1.4999999999999999E-2</v>
      </c>
      <c r="C882" s="296">
        <v>5810</v>
      </c>
      <c r="D882" s="296">
        <v>8890</v>
      </c>
    </row>
    <row r="883" spans="1:4">
      <c r="A883" s="297">
        <v>44127</v>
      </c>
      <c r="B883" s="298">
        <v>1.4999999999999999E-2</v>
      </c>
      <c r="C883" s="296">
        <v>5810</v>
      </c>
      <c r="D883" s="296">
        <v>8710</v>
      </c>
    </row>
    <row r="884" spans="1:4">
      <c r="A884" s="297">
        <v>44128</v>
      </c>
      <c r="B884" s="298">
        <v>1.4999999999999999E-2</v>
      </c>
      <c r="C884" s="296" t="s">
        <v>8</v>
      </c>
      <c r="D884" s="296">
        <v>8710</v>
      </c>
    </row>
    <row r="885" spans="1:4">
      <c r="A885" s="297">
        <v>44129</v>
      </c>
      <c r="B885" s="298">
        <v>1.4999999999999999E-2</v>
      </c>
      <c r="C885" s="296" t="s">
        <v>8</v>
      </c>
      <c r="D885" s="296">
        <v>8710</v>
      </c>
    </row>
    <row r="886" spans="1:4">
      <c r="A886" s="297">
        <v>44130</v>
      </c>
      <c r="B886" s="298">
        <v>1.4999999999999999E-2</v>
      </c>
      <c r="C886" s="296">
        <v>5136</v>
      </c>
      <c r="D886" s="296">
        <v>8361</v>
      </c>
    </row>
    <row r="887" spans="1:4">
      <c r="A887" s="297">
        <v>44131</v>
      </c>
      <c r="B887" s="298">
        <v>1.4999999999999999E-2</v>
      </c>
      <c r="C887" s="296">
        <v>6051</v>
      </c>
      <c r="D887" s="296">
        <v>9276</v>
      </c>
    </row>
    <row r="888" spans="1:4">
      <c r="A888" s="297">
        <v>44132</v>
      </c>
      <c r="B888" s="298">
        <v>1.4999999999999999E-2</v>
      </c>
      <c r="C888" s="296">
        <v>6255</v>
      </c>
      <c r="D888" s="296">
        <v>9830</v>
      </c>
    </row>
    <row r="889" spans="1:4">
      <c r="A889" s="297">
        <v>44133</v>
      </c>
      <c r="B889" s="298">
        <v>1.4999999999999999E-2</v>
      </c>
      <c r="C889" s="296" t="s">
        <v>8</v>
      </c>
      <c r="D889" s="296">
        <v>9830</v>
      </c>
    </row>
    <row r="890" spans="1:4">
      <c r="A890" s="297">
        <v>44134</v>
      </c>
      <c r="B890" s="298">
        <v>1.4999999999999999E-2</v>
      </c>
      <c r="C890" s="296" t="s">
        <v>8</v>
      </c>
      <c r="D890" s="296">
        <v>9830</v>
      </c>
    </row>
    <row r="891" spans="1:4">
      <c r="A891" s="297">
        <v>44135</v>
      </c>
      <c r="B891" s="298">
        <v>1.4999999999999999E-2</v>
      </c>
      <c r="C891" s="296" t="s">
        <v>8</v>
      </c>
      <c r="D891" s="296">
        <v>9830</v>
      </c>
    </row>
    <row r="892" spans="1:4">
      <c r="A892" s="297">
        <v>44136</v>
      </c>
      <c r="B892" s="298">
        <v>1.4999999999999999E-2</v>
      </c>
      <c r="C892" s="296" t="s">
        <v>8</v>
      </c>
      <c r="D892" s="296">
        <v>9830</v>
      </c>
    </row>
    <row r="893" spans="1:4">
      <c r="A893" s="297">
        <v>44137</v>
      </c>
      <c r="B893" s="298">
        <v>1.4999999999999999E-2</v>
      </c>
      <c r="C893" s="296">
        <v>5687</v>
      </c>
      <c r="D893" s="296">
        <v>9102</v>
      </c>
    </row>
    <row r="894" spans="1:4">
      <c r="A894" s="297">
        <v>44138</v>
      </c>
      <c r="B894" s="298">
        <v>1.4999999999999999E-2</v>
      </c>
      <c r="C894" s="296">
        <v>6100</v>
      </c>
      <c r="D894" s="296">
        <v>9515</v>
      </c>
    </row>
    <row r="895" spans="1:4">
      <c r="A895" s="297">
        <v>44139</v>
      </c>
      <c r="B895" s="298">
        <v>1.503E-2</v>
      </c>
      <c r="C895" s="296">
        <v>4890</v>
      </c>
      <c r="D895" s="296">
        <v>8380</v>
      </c>
    </row>
    <row r="896" spans="1:4">
      <c r="A896" s="297">
        <v>44140</v>
      </c>
      <c r="B896" s="298">
        <v>1.5010000000000001E-2</v>
      </c>
      <c r="C896" s="296">
        <v>4773</v>
      </c>
      <c r="D896" s="296">
        <v>8663</v>
      </c>
    </row>
    <row r="897" spans="1:4">
      <c r="A897" s="297">
        <v>44141</v>
      </c>
      <c r="B897" s="298">
        <v>1.5010000000000001E-2</v>
      </c>
      <c r="C897" s="296" t="s">
        <v>8</v>
      </c>
      <c r="D897" s="296">
        <v>8663</v>
      </c>
    </row>
    <row r="898" spans="1:4">
      <c r="A898" s="297">
        <v>44142</v>
      </c>
      <c r="B898" s="298">
        <v>1.5010000000000001E-2</v>
      </c>
      <c r="C898" s="296" t="s">
        <v>8</v>
      </c>
      <c r="D898" s="296">
        <v>8663</v>
      </c>
    </row>
    <row r="899" spans="1:4">
      <c r="A899" s="297">
        <v>44143</v>
      </c>
      <c r="B899" s="298">
        <v>1.5010000000000001E-2</v>
      </c>
      <c r="C899" s="296" t="s">
        <v>8</v>
      </c>
      <c r="D899" s="296">
        <v>8663</v>
      </c>
    </row>
    <row r="900" spans="1:4">
      <c r="A900" s="297">
        <v>44144</v>
      </c>
      <c r="B900" s="298">
        <v>1.503E-2</v>
      </c>
      <c r="C900" s="296">
        <v>5758</v>
      </c>
      <c r="D900" s="296">
        <v>9398</v>
      </c>
    </row>
    <row r="901" spans="1:4">
      <c r="A901" s="297">
        <v>44145</v>
      </c>
      <c r="B901" s="298">
        <v>1.4999999999999999E-2</v>
      </c>
      <c r="C901" s="296">
        <v>5357</v>
      </c>
      <c r="D901" s="296">
        <v>8997</v>
      </c>
    </row>
    <row r="902" spans="1:4">
      <c r="A902" s="297">
        <v>44146</v>
      </c>
      <c r="B902" s="298">
        <v>1.4999999999999999E-2</v>
      </c>
      <c r="C902" s="296">
        <v>4849</v>
      </c>
      <c r="D902" s="296">
        <v>8489</v>
      </c>
    </row>
    <row r="903" spans="1:4">
      <c r="A903" s="297">
        <v>44147</v>
      </c>
      <c r="B903" s="298">
        <v>1.4999999999999999E-2</v>
      </c>
      <c r="C903" s="296">
        <v>4952</v>
      </c>
      <c r="D903" s="296">
        <v>8492</v>
      </c>
    </row>
    <row r="904" spans="1:4">
      <c r="A904" s="297">
        <v>44148</v>
      </c>
      <c r="B904" s="298">
        <v>1.4999999999999999E-2</v>
      </c>
      <c r="C904" s="296">
        <v>5026</v>
      </c>
      <c r="D904" s="296">
        <v>8566</v>
      </c>
    </row>
    <row r="905" spans="1:4">
      <c r="A905" s="297">
        <v>44149</v>
      </c>
      <c r="B905" s="298">
        <v>1.4999999999999999E-2</v>
      </c>
      <c r="C905" s="296">
        <v>0</v>
      </c>
      <c r="D905" s="296">
        <v>8566</v>
      </c>
    </row>
    <row r="906" spans="1:4">
      <c r="A906" s="297">
        <v>44150</v>
      </c>
      <c r="B906" s="298">
        <v>1.4999999999999999E-2</v>
      </c>
      <c r="C906" s="296">
        <v>0</v>
      </c>
      <c r="D906" s="296">
        <v>8566</v>
      </c>
    </row>
    <row r="907" spans="1:4">
      <c r="A907" s="297">
        <v>44151</v>
      </c>
      <c r="B907" s="298">
        <v>1.4999999999999999E-2</v>
      </c>
      <c r="C907" s="296">
        <v>5722</v>
      </c>
      <c r="D907" s="296">
        <v>9292</v>
      </c>
    </row>
    <row r="908" spans="1:4">
      <c r="A908" s="297">
        <v>44152</v>
      </c>
      <c r="B908" s="298">
        <v>1.4999999999999999E-2</v>
      </c>
      <c r="C908" s="296">
        <v>5478</v>
      </c>
      <c r="D908" s="296">
        <v>8548</v>
      </c>
    </row>
    <row r="909" spans="1:4">
      <c r="A909" s="297">
        <v>44153</v>
      </c>
      <c r="B909" s="298">
        <v>1.4999999999999999E-2</v>
      </c>
      <c r="C909" s="296">
        <v>0</v>
      </c>
      <c r="D909" s="296">
        <v>8548</v>
      </c>
    </row>
    <row r="910" spans="1:4">
      <c r="A910" s="297">
        <v>44154</v>
      </c>
      <c r="B910" s="298">
        <v>1.4999999999999999E-2</v>
      </c>
      <c r="C910" s="296">
        <v>4985</v>
      </c>
      <c r="D910" s="296">
        <v>8275</v>
      </c>
    </row>
    <row r="911" spans="1:4">
      <c r="A911" s="297">
        <v>44155</v>
      </c>
      <c r="B911" s="298">
        <v>1.4999999999999999E-2</v>
      </c>
      <c r="C911" s="296">
        <v>4984</v>
      </c>
      <c r="D911" s="296">
        <v>8274</v>
      </c>
    </row>
    <row r="912" spans="1:4">
      <c r="A912" s="297">
        <v>44156</v>
      </c>
      <c r="B912" s="298">
        <v>1.4999999999999999E-2</v>
      </c>
      <c r="C912" s="296">
        <v>0</v>
      </c>
      <c r="D912" s="296">
        <v>8274</v>
      </c>
    </row>
    <row r="913" spans="1:4">
      <c r="A913" s="297">
        <v>44157</v>
      </c>
      <c r="B913" s="298">
        <v>1.4999999999999999E-2</v>
      </c>
      <c r="C913" s="296">
        <v>0</v>
      </c>
      <c r="D913" s="296">
        <v>8274</v>
      </c>
    </row>
    <row r="914" spans="1:4">
      <c r="A914" s="297">
        <v>44158</v>
      </c>
      <c r="B914" s="298">
        <v>1.4999999999999999E-2</v>
      </c>
      <c r="C914" s="296">
        <v>5020</v>
      </c>
      <c r="D914" s="296">
        <v>8890</v>
      </c>
    </row>
    <row r="915" spans="1:4">
      <c r="A915" s="297">
        <v>44159</v>
      </c>
      <c r="B915" s="298">
        <v>1.4999999999999999E-2</v>
      </c>
      <c r="C915" s="296">
        <v>5246</v>
      </c>
      <c r="D915" s="296">
        <v>9116</v>
      </c>
    </row>
    <row r="916" spans="1:4">
      <c r="A916" s="297">
        <v>44160</v>
      </c>
      <c r="B916" s="298">
        <v>1.4999999999999999E-2</v>
      </c>
      <c r="C916" s="296">
        <v>5490</v>
      </c>
      <c r="D916" s="296">
        <v>9360</v>
      </c>
    </row>
    <row r="917" spans="1:4">
      <c r="A917" s="297">
        <v>44161</v>
      </c>
      <c r="B917" s="298">
        <v>1.4999999999999999E-2</v>
      </c>
      <c r="C917" s="296">
        <v>5149</v>
      </c>
      <c r="D917" s="296">
        <v>8839</v>
      </c>
    </row>
    <row r="918" spans="1:4">
      <c r="A918" s="297">
        <v>44162</v>
      </c>
      <c r="B918" s="298">
        <v>1.4999999999999999E-2</v>
      </c>
      <c r="C918" s="296">
        <v>5388</v>
      </c>
      <c r="D918" s="296">
        <v>9078</v>
      </c>
    </row>
    <row r="919" spans="1:4">
      <c r="A919" s="297">
        <v>44163</v>
      </c>
      <c r="B919" s="298">
        <v>1.4999999999999999E-2</v>
      </c>
      <c r="C919" s="296">
        <v>0</v>
      </c>
      <c r="D919" s="296">
        <v>9078</v>
      </c>
    </row>
    <row r="920" spans="1:4">
      <c r="A920" s="297">
        <v>44164</v>
      </c>
      <c r="B920" s="298">
        <v>1.4999999999999999E-2</v>
      </c>
      <c r="C920" s="296">
        <v>0</v>
      </c>
      <c r="D920" s="296">
        <v>9078</v>
      </c>
    </row>
    <row r="921" spans="1:4">
      <c r="A921" s="297">
        <v>44165</v>
      </c>
      <c r="B921" s="298">
        <v>1.4999999999999999E-2</v>
      </c>
      <c r="C921" s="296">
        <v>4688</v>
      </c>
      <c r="D921" s="296">
        <v>8578</v>
      </c>
    </row>
    <row r="922" spans="1:4">
      <c r="A922" s="297">
        <v>44166</v>
      </c>
      <c r="B922" s="298">
        <v>1.4999999999999999E-2</v>
      </c>
      <c r="C922" s="296">
        <v>6748</v>
      </c>
      <c r="D922" s="296">
        <v>10388</v>
      </c>
    </row>
    <row r="923" spans="1:4">
      <c r="A923" s="297">
        <v>44167</v>
      </c>
      <c r="B923" s="298">
        <v>1.4999999999999999E-2</v>
      </c>
      <c r="C923" s="296">
        <v>6078</v>
      </c>
      <c r="D923" s="296">
        <v>9778</v>
      </c>
    </row>
    <row r="924" spans="1:4">
      <c r="A924" s="297">
        <v>44168</v>
      </c>
      <c r="B924" s="298">
        <v>1.4999999999999999E-2</v>
      </c>
      <c r="C924" s="296">
        <v>5250</v>
      </c>
      <c r="D924" s="296">
        <v>8500</v>
      </c>
    </row>
    <row r="925" spans="1:4">
      <c r="A925" s="297">
        <v>44169</v>
      </c>
      <c r="B925" s="298">
        <v>1.4999999999999999E-2</v>
      </c>
      <c r="C925" s="296">
        <v>5398</v>
      </c>
      <c r="D925" s="296">
        <v>8918</v>
      </c>
    </row>
    <row r="926" spans="1:4">
      <c r="A926" s="297">
        <v>44170</v>
      </c>
      <c r="B926" s="298">
        <v>1.4999999999999999E-2</v>
      </c>
      <c r="C926" s="296">
        <v>0</v>
      </c>
      <c r="D926" s="296">
        <v>8918</v>
      </c>
    </row>
    <row r="927" spans="1:4">
      <c r="A927" s="297">
        <v>44171</v>
      </c>
      <c r="B927" s="298">
        <v>1.4999999999999999E-2</v>
      </c>
      <c r="C927" s="296">
        <v>0</v>
      </c>
      <c r="D927" s="296">
        <v>8918</v>
      </c>
    </row>
    <row r="928" spans="1:4">
      <c r="A928" s="297">
        <v>44172</v>
      </c>
      <c r="B928" s="298">
        <v>1.4999999999999999E-2</v>
      </c>
      <c r="C928" s="296">
        <v>5722</v>
      </c>
      <c r="D928" s="296">
        <v>9242</v>
      </c>
    </row>
    <row r="929" spans="1:4">
      <c r="A929" s="297">
        <v>44173</v>
      </c>
      <c r="B929" s="298">
        <v>1.4999999999999999E-2</v>
      </c>
      <c r="C929" s="296">
        <v>6334</v>
      </c>
      <c r="D929" s="296">
        <v>9854</v>
      </c>
    </row>
    <row r="930" spans="1:4">
      <c r="A930" s="297">
        <v>44174</v>
      </c>
      <c r="B930" s="298">
        <v>1.4999999999999999E-2</v>
      </c>
      <c r="C930" s="296">
        <v>5809</v>
      </c>
      <c r="D930" s="296">
        <v>9329</v>
      </c>
    </row>
    <row r="931" spans="1:4">
      <c r="A931" s="297">
        <v>44175</v>
      </c>
      <c r="B931" s="298">
        <v>1.4999999999999999E-2</v>
      </c>
      <c r="C931" s="296">
        <v>5844</v>
      </c>
      <c r="D931" s="296">
        <v>10084</v>
      </c>
    </row>
    <row r="932" spans="1:4">
      <c r="A932" s="297">
        <v>44176</v>
      </c>
      <c r="B932" s="298">
        <v>1.4999999999999999E-2</v>
      </c>
      <c r="C932" s="296">
        <v>5827</v>
      </c>
      <c r="D932" s="296">
        <v>10067</v>
      </c>
    </row>
    <row r="933" spans="1:4">
      <c r="A933" s="297">
        <v>44177</v>
      </c>
      <c r="B933" s="298">
        <v>1.4999999999999999E-2</v>
      </c>
      <c r="C933" s="296">
        <v>0</v>
      </c>
      <c r="D933" s="296">
        <v>10067</v>
      </c>
    </row>
    <row r="934" spans="1:4">
      <c r="A934" s="297">
        <v>44178</v>
      </c>
      <c r="B934" s="298">
        <v>1.4999999999999999E-2</v>
      </c>
      <c r="C934" s="296">
        <v>0</v>
      </c>
      <c r="D934" s="296">
        <v>10067</v>
      </c>
    </row>
    <row r="935" spans="1:4">
      <c r="A935" s="297">
        <v>44179</v>
      </c>
      <c r="B935" s="298">
        <v>1.4999999999999999E-2</v>
      </c>
      <c r="C935" s="296">
        <v>5515</v>
      </c>
      <c r="D935" s="296">
        <v>10595</v>
      </c>
    </row>
    <row r="936" spans="1:4">
      <c r="A936" s="297">
        <v>44180</v>
      </c>
      <c r="B936" s="298">
        <v>1.4999999999999999E-2</v>
      </c>
      <c r="C936" s="296">
        <v>5362</v>
      </c>
      <c r="D936" s="296">
        <v>10792</v>
      </c>
    </row>
    <row r="937" spans="1:4">
      <c r="A937" s="297">
        <v>44181</v>
      </c>
      <c r="B937" s="298">
        <v>1.4999999999999999E-2</v>
      </c>
      <c r="C937" s="296">
        <v>5087</v>
      </c>
      <c r="D937" s="296">
        <v>10577</v>
      </c>
    </row>
    <row r="938" spans="1:4">
      <c r="A938" s="297">
        <v>44182</v>
      </c>
      <c r="B938" s="298">
        <v>1.4999999999999999E-2</v>
      </c>
      <c r="C938" s="296">
        <v>4712</v>
      </c>
      <c r="D938" s="296">
        <v>9562</v>
      </c>
    </row>
    <row r="939" spans="1:4">
      <c r="A939" s="297">
        <v>44183</v>
      </c>
      <c r="B939" s="298">
        <v>1.4999999999999999E-2</v>
      </c>
      <c r="C939" s="296">
        <v>6097</v>
      </c>
      <c r="D939" s="296">
        <v>10947</v>
      </c>
    </row>
    <row r="940" spans="1:4">
      <c r="A940" s="297"/>
      <c r="B940" s="296"/>
      <c r="C940" s="296">
        <v>0</v>
      </c>
      <c r="D940" s="296">
        <v>10947</v>
      </c>
    </row>
    <row r="941" spans="1:4">
      <c r="A941" s="297"/>
      <c r="B941" s="296"/>
      <c r="C941" s="296">
        <v>0</v>
      </c>
      <c r="D941" s="296">
        <v>10947</v>
      </c>
    </row>
    <row r="942" spans="1:4">
      <c r="A942" s="297"/>
      <c r="B942" s="296"/>
      <c r="C942" s="296">
        <v>5590</v>
      </c>
      <c r="D942" s="296">
        <v>8590</v>
      </c>
    </row>
    <row r="943" spans="1:4">
      <c r="A943" s="297"/>
      <c r="B943" s="296"/>
      <c r="C943" s="296">
        <v>5471</v>
      </c>
      <c r="D943" s="296">
        <v>8411</v>
      </c>
    </row>
    <row r="944" spans="1:4">
      <c r="A944" s="297"/>
      <c r="B944" s="296"/>
      <c r="C944" s="296">
        <v>6064</v>
      </c>
      <c r="D944" s="296">
        <v>9004</v>
      </c>
    </row>
    <row r="945" spans="1:4">
      <c r="A945" s="297"/>
      <c r="B945" s="296"/>
      <c r="C945" s="296">
        <v>6251</v>
      </c>
      <c r="D945" s="296">
        <v>9491</v>
      </c>
    </row>
    <row r="946" spans="1:4">
      <c r="A946" s="297"/>
      <c r="B946" s="296"/>
      <c r="C946" s="296">
        <v>5686</v>
      </c>
      <c r="D946" s="296">
        <v>8926</v>
      </c>
    </row>
    <row r="947" spans="1:4">
      <c r="A947" s="297"/>
      <c r="B947" s="296"/>
      <c r="C947" s="296">
        <v>0</v>
      </c>
      <c r="D947" s="296">
        <v>8926</v>
      </c>
    </row>
    <row r="948" spans="1:4">
      <c r="A948" s="297"/>
      <c r="B948" s="296"/>
      <c r="C948" s="296">
        <v>0</v>
      </c>
      <c r="D948" s="296">
        <v>8926</v>
      </c>
    </row>
    <row r="949" spans="1:4">
      <c r="A949" s="297"/>
      <c r="B949" s="296"/>
      <c r="C949" s="296">
        <v>4096</v>
      </c>
      <c r="D949" s="296">
        <v>8206</v>
      </c>
    </row>
    <row r="950" spans="1:4">
      <c r="A950" s="297"/>
      <c r="B950" s="296"/>
      <c r="C950" s="296">
        <v>4553</v>
      </c>
      <c r="D950" s="296">
        <v>8763</v>
      </c>
    </row>
    <row r="951" spans="1:4">
      <c r="A951" s="297"/>
      <c r="B951" s="296"/>
      <c r="C951" s="296">
        <v>4768</v>
      </c>
      <c r="D951" s="296">
        <v>9078</v>
      </c>
    </row>
    <row r="952" spans="1:4">
      <c r="A952" s="297"/>
      <c r="B952" s="296"/>
      <c r="C952" s="296">
        <v>6131</v>
      </c>
      <c r="D952" s="296">
        <v>9761</v>
      </c>
    </row>
    <row r="953" spans="1:4">
      <c r="A953" s="297"/>
      <c r="B953" s="296"/>
      <c r="C953" s="296" t="s">
        <v>8</v>
      </c>
      <c r="D953" s="296">
        <v>9761</v>
      </c>
    </row>
    <row r="954" spans="1:4">
      <c r="A954" s="297"/>
      <c r="B954" s="296"/>
      <c r="C954" s="296" t="s">
        <v>8</v>
      </c>
      <c r="D954" s="296">
        <v>9761</v>
      </c>
    </row>
    <row r="955" spans="1:4">
      <c r="A955" s="297"/>
      <c r="B955" s="296"/>
      <c r="C955" s="296" t="s">
        <v>8</v>
      </c>
      <c r="D955" s="296">
        <v>9761</v>
      </c>
    </row>
    <row r="956" spans="1:4">
      <c r="A956" s="297"/>
      <c r="B956" s="296"/>
      <c r="C956" s="296">
        <v>5342</v>
      </c>
      <c r="D956" s="296">
        <v>8672</v>
      </c>
    </row>
    <row r="957" spans="1:4">
      <c r="A957" s="297"/>
      <c r="B957" s="296"/>
      <c r="C957" s="296">
        <v>4389</v>
      </c>
      <c r="D957" s="296">
        <v>7719</v>
      </c>
    </row>
    <row r="958" spans="1:4">
      <c r="A958" s="297"/>
      <c r="B958" s="296"/>
      <c r="C958" s="296">
        <v>4505</v>
      </c>
      <c r="D958" s="296">
        <v>7835</v>
      </c>
    </row>
    <row r="959" spans="1:4">
      <c r="A959" s="297"/>
      <c r="B959" s="296"/>
      <c r="C959" s="296">
        <v>4755</v>
      </c>
      <c r="D959" s="296">
        <v>8485</v>
      </c>
    </row>
    <row r="960" spans="1:4">
      <c r="A960" s="297"/>
      <c r="B960" s="296"/>
      <c r="C960" s="296">
        <v>4726</v>
      </c>
      <c r="D960" s="296">
        <v>8456</v>
      </c>
    </row>
    <row r="961" spans="1:4">
      <c r="A961" s="297"/>
      <c r="B961" s="296"/>
      <c r="C961" s="296" t="s">
        <v>8</v>
      </c>
      <c r="D961" s="296">
        <v>8456</v>
      </c>
    </row>
    <row r="962" spans="1:4">
      <c r="A962" s="297"/>
      <c r="B962" s="296"/>
      <c r="C962" s="296" t="s">
        <v>8</v>
      </c>
      <c r="D962" s="296">
        <v>8456</v>
      </c>
    </row>
    <row r="963" spans="1:4">
      <c r="A963" s="297"/>
      <c r="B963" s="296"/>
      <c r="C963" s="296" t="s">
        <v>8</v>
      </c>
      <c r="D963" s="296">
        <v>8456</v>
      </c>
    </row>
    <row r="964" spans="1:4">
      <c r="A964" s="297"/>
      <c r="B964" s="296"/>
      <c r="C964" s="296">
        <v>5213</v>
      </c>
      <c r="D964" s="296">
        <v>8943</v>
      </c>
    </row>
    <row r="965" spans="1:4">
      <c r="A965" s="297"/>
      <c r="B965" s="296"/>
      <c r="C965" s="296">
        <v>5320</v>
      </c>
      <c r="D965" s="296">
        <v>9100</v>
      </c>
    </row>
    <row r="966" spans="1:4">
      <c r="A966" s="297"/>
      <c r="B966" s="296"/>
      <c r="C966" s="296">
        <v>4665</v>
      </c>
      <c r="D966" s="296">
        <v>8445</v>
      </c>
    </row>
    <row r="967" spans="1:4">
      <c r="A967" s="297"/>
      <c r="B967" s="296"/>
      <c r="C967" s="296">
        <v>5235</v>
      </c>
      <c r="D967" s="296">
        <v>9015</v>
      </c>
    </row>
    <row r="968" spans="1:4">
      <c r="A968" s="297"/>
      <c r="B968" s="296"/>
      <c r="C968" s="296" t="s">
        <v>8</v>
      </c>
      <c r="D968" s="296">
        <v>9015</v>
      </c>
    </row>
    <row r="969" spans="1:4">
      <c r="A969" s="297"/>
      <c r="B969" s="296"/>
      <c r="C969" s="296" t="s">
        <v>8</v>
      </c>
      <c r="D969" s="296">
        <v>9015</v>
      </c>
    </row>
    <row r="970" spans="1:4">
      <c r="A970" s="297"/>
      <c r="B970" s="296"/>
      <c r="C970" s="296">
        <v>5304</v>
      </c>
      <c r="D970" s="296">
        <v>9224</v>
      </c>
    </row>
    <row r="971" spans="1:4">
      <c r="A971" s="297"/>
      <c r="B971" s="296"/>
      <c r="C971" s="296">
        <v>4880</v>
      </c>
      <c r="D971" s="296">
        <v>9400</v>
      </c>
    </row>
    <row r="972" spans="1:4">
      <c r="A972" s="297"/>
      <c r="B972" s="296"/>
      <c r="C972" s="296">
        <v>4879</v>
      </c>
      <c r="D972" s="296">
        <v>9399</v>
      </c>
    </row>
    <row r="973" spans="1:4">
      <c r="A973" s="297"/>
      <c r="B973" s="296"/>
      <c r="C973" s="296">
        <v>4882</v>
      </c>
      <c r="D973" s="296">
        <v>8462</v>
      </c>
    </row>
    <row r="974" spans="1:4">
      <c r="A974" s="297"/>
      <c r="B974" s="296"/>
      <c r="C974" s="296">
        <v>5867</v>
      </c>
      <c r="D974" s="296">
        <v>9447</v>
      </c>
    </row>
    <row r="975" spans="1:4">
      <c r="A975" s="297"/>
      <c r="B975" s="296"/>
      <c r="C975" s="296" t="s">
        <v>8</v>
      </c>
      <c r="D975" s="296">
        <v>9447</v>
      </c>
    </row>
    <row r="976" spans="1:4">
      <c r="A976" s="297"/>
      <c r="B976" s="296"/>
      <c r="C976" s="296" t="s">
        <v>8</v>
      </c>
      <c r="D976" s="296">
        <v>9447</v>
      </c>
    </row>
    <row r="977" spans="1:4">
      <c r="A977" s="297"/>
      <c r="B977" s="296"/>
      <c r="C977" s="296">
        <v>6335</v>
      </c>
      <c r="D977" s="296">
        <v>9915</v>
      </c>
    </row>
    <row r="978" spans="1:4">
      <c r="A978" s="297"/>
      <c r="B978" s="296"/>
      <c r="C978" s="296">
        <v>6980</v>
      </c>
      <c r="D978" s="296">
        <v>10560</v>
      </c>
    </row>
    <row r="979" spans="1:4">
      <c r="A979" s="297"/>
      <c r="B979" s="296"/>
      <c r="C979" s="296">
        <v>6869</v>
      </c>
      <c r="D979" s="296">
        <v>10449</v>
      </c>
    </row>
    <row r="980" spans="1:4">
      <c r="A980" s="297"/>
      <c r="B980" s="296"/>
      <c r="C980" s="296">
        <v>5887</v>
      </c>
      <c r="D980" s="296">
        <v>9467</v>
      </c>
    </row>
    <row r="981" spans="1:4">
      <c r="A981" s="297"/>
      <c r="B981" s="296"/>
      <c r="C981" s="296">
        <v>4682</v>
      </c>
      <c r="D981" s="296">
        <v>8362</v>
      </c>
    </row>
    <row r="982" spans="1:4">
      <c r="A982" s="297"/>
      <c r="B982" s="296"/>
      <c r="C982" s="296" t="s">
        <v>8</v>
      </c>
      <c r="D982" s="296">
        <v>8362</v>
      </c>
    </row>
    <row r="983" spans="1:4">
      <c r="A983" s="297"/>
      <c r="B983" s="296"/>
      <c r="C983" s="296" t="s">
        <v>8</v>
      </c>
      <c r="D983" s="296">
        <v>8362</v>
      </c>
    </row>
    <row r="984" spans="1:4">
      <c r="A984" s="297"/>
      <c r="B984" s="296"/>
      <c r="C984" s="296">
        <v>4611</v>
      </c>
      <c r="D984" s="296">
        <v>9041</v>
      </c>
    </row>
    <row r="985" spans="1:4">
      <c r="A985" s="297"/>
      <c r="B985" s="296"/>
      <c r="C985" s="296">
        <v>6114</v>
      </c>
      <c r="D985" s="296">
        <v>10544</v>
      </c>
    </row>
    <row r="986" spans="1:4">
      <c r="A986" s="297"/>
      <c r="B986" s="296"/>
      <c r="C986" s="296">
        <v>4898</v>
      </c>
      <c r="D986" s="296">
        <v>9328</v>
      </c>
    </row>
    <row r="987" spans="1:4">
      <c r="A987" s="297"/>
      <c r="B987" s="296"/>
      <c r="C987" s="296">
        <v>4806</v>
      </c>
      <c r="D987" s="296">
        <v>7906</v>
      </c>
    </row>
    <row r="988" spans="1:4">
      <c r="A988" s="297"/>
      <c r="B988" s="296"/>
      <c r="C988" s="296">
        <v>5009</v>
      </c>
      <c r="D988" s="296">
        <v>8109</v>
      </c>
    </row>
    <row r="989" spans="1:4">
      <c r="A989" s="297"/>
      <c r="B989" s="296"/>
      <c r="C989" s="296" t="s">
        <v>8</v>
      </c>
      <c r="D989" s="296">
        <v>8109</v>
      </c>
    </row>
    <row r="990" spans="1:4">
      <c r="A990" s="297"/>
      <c r="B990" s="296"/>
      <c r="C990" s="296" t="s">
        <v>8</v>
      </c>
      <c r="D990" s="296">
        <v>8109</v>
      </c>
    </row>
    <row r="991" spans="1:4">
      <c r="A991" s="297"/>
      <c r="B991" s="296"/>
      <c r="C991" s="296">
        <v>3869</v>
      </c>
      <c r="D991" s="296">
        <v>7869</v>
      </c>
    </row>
    <row r="992" spans="1:4">
      <c r="A992" s="297"/>
      <c r="B992" s="296"/>
      <c r="C992" s="296">
        <v>4082</v>
      </c>
      <c r="D992" s="296">
        <v>8082</v>
      </c>
    </row>
    <row r="993" spans="1:4">
      <c r="A993" s="297"/>
      <c r="B993" s="296"/>
      <c r="C993" s="296">
        <v>4443</v>
      </c>
      <c r="D993" s="296">
        <v>8443</v>
      </c>
    </row>
    <row r="994" spans="1:4">
      <c r="A994" s="297"/>
      <c r="B994" s="296"/>
      <c r="C994" s="296">
        <v>5258</v>
      </c>
      <c r="D994" s="296">
        <v>8358</v>
      </c>
    </row>
    <row r="995" spans="1:4">
      <c r="A995" s="297"/>
      <c r="B995" s="296"/>
      <c r="C995" s="296">
        <v>5221</v>
      </c>
      <c r="D995" s="296">
        <v>8321</v>
      </c>
    </row>
    <row r="996" spans="1:4">
      <c r="A996" s="297"/>
      <c r="B996" s="296"/>
      <c r="C996" s="296" t="s">
        <v>8</v>
      </c>
      <c r="D996" s="296">
        <v>8321</v>
      </c>
    </row>
    <row r="997" spans="1:4">
      <c r="A997" s="297"/>
      <c r="B997" s="296"/>
      <c r="C997" s="296" t="s">
        <v>8</v>
      </c>
      <c r="D997" s="296">
        <v>8321</v>
      </c>
    </row>
    <row r="998" spans="1:4">
      <c r="A998" s="297"/>
      <c r="B998" s="296"/>
      <c r="C998" s="296">
        <v>4767</v>
      </c>
      <c r="D998" s="296">
        <v>9007</v>
      </c>
    </row>
    <row r="999" spans="1:4">
      <c r="A999" s="297"/>
      <c r="B999" s="296"/>
      <c r="C999" s="296">
        <v>4529</v>
      </c>
      <c r="D999" s="296">
        <v>8769</v>
      </c>
    </row>
    <row r="1000" spans="1:4">
      <c r="A1000" s="297"/>
      <c r="B1000" s="296"/>
      <c r="C1000" s="296">
        <v>4673</v>
      </c>
      <c r="D1000" s="296">
        <v>8913</v>
      </c>
    </row>
    <row r="1001" spans="1:4">
      <c r="A1001" s="297"/>
      <c r="B1001" s="296"/>
      <c r="C1001" s="296">
        <v>4648</v>
      </c>
      <c r="D1001" s="296">
        <v>7448</v>
      </c>
    </row>
    <row r="1002" spans="1:4">
      <c r="A1002" s="295"/>
      <c r="B1002" s="296"/>
      <c r="C1002" s="296" t="s">
        <v>16</v>
      </c>
      <c r="D1002" s="296" t="s">
        <v>98</v>
      </c>
    </row>
    <row r="1003" spans="1:4">
      <c r="A1003" s="295"/>
      <c r="B1003" s="294"/>
      <c r="C1003" s="294"/>
      <c r="D1003" s="294"/>
    </row>
  </sheetData>
  <autoFilter ref="A1:D1003" xr:uid="{B78EC9F0-0FD6-A043-8C01-7344B6B2520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DECDC-73E5-0F45-B1B7-9BA35A25007F}">
  <sheetPr>
    <tabColor rgb="FF002060"/>
  </sheetPr>
  <dimension ref="A1:BM1004"/>
  <sheetViews>
    <sheetView topLeftCell="H1" workbookViewId="0">
      <pane ySplit="1" topLeftCell="A2" activePane="bottomLeft" state="frozen"/>
      <selection activeCell="H31" sqref="H31"/>
      <selection pane="bottomLeft" activeCell="I1" sqref="I1:I987"/>
    </sheetView>
  </sheetViews>
  <sheetFormatPr baseColWidth="10" defaultRowHeight="16" outlineLevelRow="1" outlineLevelCol="1"/>
  <cols>
    <col min="1" max="1" width="32" customWidth="1"/>
    <col min="2" max="2" width="29.5703125" customWidth="1"/>
    <col min="3" max="3" width="35.85546875" hidden="1" customWidth="1" outlineLevel="1"/>
    <col min="4" max="4" width="36.5703125" hidden="1" customWidth="1" outlineLevel="1"/>
    <col min="5" max="5" width="36.5703125" style="20" hidden="1" customWidth="1" outlineLevel="1"/>
    <col min="6" max="6" width="23.85546875" style="20" customWidth="1" collapsed="1"/>
    <col min="7" max="7" width="31" style="20" bestFit="1" customWidth="1"/>
    <col min="8" max="8" width="32.7109375" style="31" customWidth="1"/>
    <col min="9" max="9" width="32.28515625" style="31" customWidth="1"/>
    <col min="10" max="10" width="20.85546875" style="31" customWidth="1"/>
    <col min="11" max="11" width="26" style="31" customWidth="1"/>
    <col min="12" max="12" width="21" style="31" customWidth="1"/>
    <col min="13" max="18" width="20.28515625" style="31" customWidth="1"/>
    <col min="19" max="19" width="10.5703125" style="20" customWidth="1"/>
    <col min="20" max="20" width="39.5703125" style="20" customWidth="1"/>
    <col min="21" max="21" width="12.85546875" style="20" customWidth="1"/>
    <col min="22" max="22" width="15.42578125" style="20" customWidth="1"/>
    <col min="23" max="23" width="25.5703125" style="20" customWidth="1"/>
    <col min="24" max="24" width="25.28515625" style="20" customWidth="1"/>
    <col min="25" max="25" width="12.85546875" style="20" customWidth="1"/>
    <col min="26" max="26" width="20.7109375" style="20" customWidth="1"/>
    <col min="27" max="28" width="6" style="20" customWidth="1"/>
    <col min="29" max="29" width="8.85546875" style="20" customWidth="1"/>
    <col min="30" max="30" width="15.7109375" style="20" customWidth="1"/>
    <col min="31" max="31" width="14.28515625" style="20" customWidth="1"/>
    <col min="32" max="32" width="15.42578125" style="20" customWidth="1"/>
    <col min="33" max="33" width="18.85546875" style="20" customWidth="1"/>
    <col min="34" max="34" width="19.85546875" style="20" customWidth="1"/>
    <col min="35" max="35" width="40.42578125" style="20" customWidth="1"/>
    <col min="36" max="54" width="10.7109375" style="20"/>
  </cols>
  <sheetData>
    <row r="1" spans="1:54">
      <c r="A1" s="164" t="s">
        <v>9</v>
      </c>
      <c r="B1" s="164"/>
      <c r="C1" s="164"/>
      <c r="D1" s="164"/>
      <c r="E1" s="39"/>
      <c r="F1" s="92"/>
      <c r="G1" s="92" t="s">
        <v>137</v>
      </c>
      <c r="H1" s="92" t="s">
        <v>135</v>
      </c>
      <c r="I1" s="92" t="s">
        <v>136</v>
      </c>
      <c r="J1" s="25"/>
      <c r="K1" s="25"/>
      <c r="N1" s="32"/>
      <c r="O1" s="32"/>
      <c r="P1" s="32"/>
      <c r="Q1" s="32"/>
      <c r="R1" s="32"/>
      <c r="S1" s="41"/>
      <c r="U1" s="42"/>
    </row>
    <row r="2" spans="1:54" s="7" customFormat="1" outlineLevel="1">
      <c r="A2" s="276">
        <v>42982</v>
      </c>
      <c r="B2" s="4">
        <v>2.2919999999999999E-2</v>
      </c>
      <c r="C2" s="277">
        <v>2015</v>
      </c>
      <c r="D2" s="277">
        <v>6900</v>
      </c>
      <c r="E2" s="31"/>
      <c r="F2" s="278">
        <v>42980</v>
      </c>
      <c r="G2" s="279">
        <v>2.2790000000000001E-2</v>
      </c>
      <c r="H2" s="280">
        <v>3.279E-2</v>
      </c>
      <c r="I2" s="280">
        <v>1.2789999999999999E-2</v>
      </c>
      <c r="J2" s="25"/>
      <c r="K2" s="25"/>
      <c r="L2" s="30"/>
      <c r="M2" s="30"/>
      <c r="N2" s="22"/>
      <c r="O2" s="14"/>
      <c r="P2" s="24"/>
      <c r="Q2" s="22"/>
      <c r="R2" s="22"/>
      <c r="S2" s="30"/>
      <c r="T2" s="33"/>
      <c r="U2" s="30"/>
      <c r="V2" s="33"/>
      <c r="W2" s="30"/>
      <c r="X2" s="30"/>
      <c r="Y2" s="30"/>
      <c r="Z2" s="30"/>
      <c r="AA2" s="30"/>
      <c r="AB2" s="30"/>
      <c r="AC2" s="30"/>
      <c r="AD2" s="30"/>
      <c r="AE2" s="30"/>
      <c r="AF2" s="30"/>
      <c r="AG2" s="30"/>
      <c r="AH2" s="30"/>
      <c r="AI2" s="30"/>
      <c r="AJ2" s="30"/>
      <c r="AK2" s="30"/>
      <c r="AL2" s="30"/>
      <c r="AM2" s="30"/>
      <c r="AN2" s="30"/>
      <c r="AO2" s="30"/>
      <c r="AP2" s="30"/>
      <c r="AQ2" s="30"/>
      <c r="AR2" s="30"/>
      <c r="AS2" s="30"/>
      <c r="AT2" s="30"/>
      <c r="AU2" s="30"/>
      <c r="AV2" s="30"/>
      <c r="AW2" s="30"/>
      <c r="AX2" s="30"/>
      <c r="AY2" s="30"/>
      <c r="AZ2" s="30"/>
      <c r="BA2" s="30"/>
      <c r="BB2" s="30"/>
    </row>
    <row r="3" spans="1:54" s="7" customFormat="1" outlineLevel="1">
      <c r="A3" s="281">
        <v>42983</v>
      </c>
      <c r="B3" s="282">
        <v>2.3259999999999999E-2</v>
      </c>
      <c r="C3" s="283">
        <v>4119</v>
      </c>
      <c r="D3" s="283">
        <v>8144</v>
      </c>
      <c r="E3" s="31"/>
      <c r="F3" s="284">
        <v>42981</v>
      </c>
      <c r="G3" s="280">
        <v>2.2790000000000001E-2</v>
      </c>
      <c r="H3" s="280">
        <v>3.279E-2</v>
      </c>
      <c r="I3" s="280">
        <v>1.2789999999999999E-2</v>
      </c>
      <c r="J3" s="25"/>
      <c r="K3" s="25"/>
      <c r="L3" s="30"/>
      <c r="M3" s="30"/>
      <c r="N3" s="22"/>
      <c r="O3" s="14"/>
      <c r="P3" s="24"/>
      <c r="Q3" s="22"/>
      <c r="R3" s="22"/>
      <c r="S3" s="45"/>
      <c r="T3" s="46"/>
      <c r="U3" s="47"/>
      <c r="V3" s="30"/>
      <c r="W3" s="48"/>
      <c r="X3" s="48"/>
      <c r="Y3" s="48"/>
      <c r="Z3" s="49"/>
      <c r="AA3" s="49"/>
      <c r="AB3" s="49"/>
      <c r="AC3" s="49"/>
      <c r="AD3" s="40"/>
      <c r="AE3" s="49"/>
      <c r="AF3" s="50"/>
      <c r="AG3" s="50"/>
      <c r="AH3" s="50"/>
      <c r="AI3" s="30"/>
      <c r="AJ3" s="30"/>
      <c r="AK3" s="30"/>
      <c r="AL3" s="30"/>
      <c r="AM3" s="30"/>
      <c r="AN3" s="30"/>
      <c r="AO3" s="30"/>
      <c r="AP3" s="30"/>
      <c r="AQ3" s="30"/>
      <c r="AR3" s="30"/>
      <c r="AS3" s="30"/>
      <c r="AT3" s="30"/>
      <c r="AU3" s="30"/>
      <c r="AV3" s="30"/>
      <c r="AW3" s="30"/>
      <c r="AX3" s="30"/>
      <c r="AY3" s="30"/>
      <c r="AZ3" s="30"/>
      <c r="BA3" s="30"/>
      <c r="BB3" s="30"/>
    </row>
    <row r="4" spans="1:54" s="7" customFormat="1" outlineLevel="1">
      <c r="A4" s="223">
        <v>42984</v>
      </c>
      <c r="B4" s="285">
        <v>2.325E-2</v>
      </c>
      <c r="C4" s="2">
        <v>4490</v>
      </c>
      <c r="D4" s="2">
        <v>8515</v>
      </c>
      <c r="E4" s="31"/>
      <c r="F4" s="284">
        <v>42982</v>
      </c>
      <c r="G4" s="280">
        <v>2.2919999999999999E-2</v>
      </c>
      <c r="H4" s="280">
        <v>3.2919999999999998E-2</v>
      </c>
      <c r="I4" s="280">
        <v>1.2919999999999999E-2</v>
      </c>
      <c r="J4" s="25"/>
      <c r="K4" s="25"/>
      <c r="L4" s="30"/>
      <c r="M4" s="30"/>
      <c r="N4" s="22"/>
      <c r="O4" s="14"/>
      <c r="P4" s="24"/>
      <c r="Q4" s="22"/>
      <c r="R4" s="22"/>
      <c r="S4" s="30"/>
      <c r="T4" s="46"/>
      <c r="U4" s="51"/>
      <c r="V4" s="30"/>
      <c r="W4" s="34"/>
      <c r="X4" s="14"/>
      <c r="Y4" s="15"/>
      <c r="Z4" s="9"/>
      <c r="AA4" s="52"/>
      <c r="AB4" s="52"/>
      <c r="AC4" s="53"/>
      <c r="AD4" s="54"/>
      <c r="AE4" s="54"/>
      <c r="AF4" s="30"/>
      <c r="AG4" s="30"/>
      <c r="AH4" s="30"/>
      <c r="AI4" s="30"/>
      <c r="AJ4" s="30"/>
      <c r="AK4" s="30"/>
      <c r="AL4" s="30"/>
      <c r="AM4" s="30"/>
      <c r="AN4" s="30"/>
      <c r="AO4" s="30"/>
      <c r="AP4" s="30"/>
      <c r="AQ4" s="30"/>
      <c r="AR4" s="30"/>
      <c r="AS4" s="30"/>
      <c r="AT4" s="30"/>
      <c r="AU4" s="30"/>
      <c r="AV4" s="30"/>
      <c r="AW4" s="30"/>
      <c r="AX4" s="30"/>
      <c r="AY4" s="30"/>
      <c r="AZ4" s="30"/>
      <c r="BA4" s="30"/>
      <c r="BB4" s="30"/>
    </row>
    <row r="5" spans="1:54" s="7" customFormat="1" outlineLevel="1">
      <c r="A5" s="223">
        <v>42985</v>
      </c>
      <c r="B5" s="285">
        <v>2.2769999999999999E-2</v>
      </c>
      <c r="C5" s="2">
        <v>2998</v>
      </c>
      <c r="D5" s="2">
        <v>7923</v>
      </c>
      <c r="E5" s="31"/>
      <c r="F5" s="278">
        <v>42983</v>
      </c>
      <c r="G5" s="279">
        <v>2.3259999999999999E-2</v>
      </c>
      <c r="H5" s="280">
        <v>3.3259999999999998E-2</v>
      </c>
      <c r="I5" s="280">
        <v>1.3259999999999999E-2</v>
      </c>
      <c r="J5" s="25"/>
      <c r="K5" s="25"/>
      <c r="L5" s="30"/>
      <c r="M5" s="30"/>
      <c r="N5" s="22"/>
      <c r="O5" s="14"/>
      <c r="P5" s="24"/>
      <c r="Q5" s="22"/>
      <c r="R5" s="22"/>
      <c r="S5" s="30"/>
      <c r="T5" s="46"/>
      <c r="U5" s="44"/>
      <c r="V5" s="30"/>
      <c r="W5" s="34"/>
      <c r="X5" s="14"/>
      <c r="Y5" s="15"/>
      <c r="Z5" s="9"/>
      <c r="AA5" s="52"/>
      <c r="AB5" s="52"/>
      <c r="AC5" s="53"/>
      <c r="AD5" s="54"/>
      <c r="AE5" s="54"/>
      <c r="AF5" s="30"/>
      <c r="AG5" s="30"/>
      <c r="AH5" s="30"/>
      <c r="AI5" s="30"/>
      <c r="AJ5" s="30"/>
      <c r="AK5" s="30"/>
      <c r="AL5" s="30"/>
      <c r="AM5" s="30"/>
      <c r="AN5" s="30"/>
      <c r="AO5" s="30"/>
      <c r="AP5" s="30"/>
      <c r="AQ5" s="30"/>
      <c r="AR5" s="30"/>
      <c r="AS5" s="30"/>
      <c r="AT5" s="30"/>
      <c r="AU5" s="30"/>
      <c r="AV5" s="30"/>
      <c r="AW5" s="30"/>
      <c r="AX5" s="30"/>
      <c r="AY5" s="30"/>
      <c r="AZ5" s="30"/>
      <c r="BA5" s="30"/>
      <c r="BB5" s="30"/>
    </row>
    <row r="6" spans="1:54" s="7" customFormat="1" outlineLevel="1">
      <c r="A6" s="223">
        <v>42986</v>
      </c>
      <c r="B6" s="285">
        <v>2.3E-2</v>
      </c>
      <c r="C6" s="2">
        <v>1249</v>
      </c>
      <c r="D6" s="2">
        <v>6174</v>
      </c>
      <c r="E6" s="31"/>
      <c r="F6" s="284">
        <v>42984</v>
      </c>
      <c r="G6" s="280">
        <v>2.325E-2</v>
      </c>
      <c r="H6" s="280">
        <v>3.3250000000000002E-2</v>
      </c>
      <c r="I6" s="280">
        <v>1.325E-2</v>
      </c>
      <c r="J6" s="25"/>
      <c r="K6" s="25"/>
      <c r="L6" s="30"/>
      <c r="M6" s="30"/>
      <c r="N6" s="22"/>
      <c r="O6" s="14"/>
      <c r="P6" s="24"/>
      <c r="Q6" s="22"/>
      <c r="R6" s="22"/>
      <c r="S6" s="30"/>
      <c r="T6" s="55"/>
      <c r="U6" s="53"/>
      <c r="V6" s="30"/>
      <c r="W6" s="34"/>
      <c r="X6" s="14"/>
      <c r="Y6" s="15"/>
      <c r="Z6" s="9"/>
      <c r="AA6" s="52"/>
      <c r="AB6" s="52"/>
      <c r="AC6" s="53"/>
      <c r="AD6" s="54"/>
      <c r="AE6" s="54"/>
      <c r="AF6" s="30"/>
      <c r="AG6" s="30"/>
      <c r="AH6" s="30"/>
      <c r="AI6" s="30"/>
      <c r="AJ6" s="30"/>
      <c r="AK6" s="30"/>
      <c r="AL6" s="30"/>
      <c r="AM6" s="30"/>
      <c r="AN6" s="30"/>
      <c r="AO6" s="30"/>
      <c r="AP6" s="30"/>
      <c r="AQ6" s="30"/>
      <c r="AR6" s="30"/>
      <c r="AS6" s="30"/>
      <c r="AT6" s="30"/>
      <c r="AU6" s="30"/>
      <c r="AV6" s="30"/>
      <c r="AW6" s="30"/>
      <c r="AX6" s="30"/>
      <c r="AY6" s="30"/>
      <c r="AZ6" s="30"/>
      <c r="BA6" s="30"/>
      <c r="BB6" s="30"/>
    </row>
    <row r="7" spans="1:54" s="7" customFormat="1" outlineLevel="1">
      <c r="A7" s="223">
        <v>42987</v>
      </c>
      <c r="B7" s="285">
        <v>2.3E-2</v>
      </c>
      <c r="C7" s="2" t="s">
        <v>8</v>
      </c>
      <c r="D7" s="2">
        <v>6174</v>
      </c>
      <c r="E7" s="31"/>
      <c r="F7" s="284">
        <v>42985</v>
      </c>
      <c r="G7" s="280">
        <v>2.2769999999999999E-2</v>
      </c>
      <c r="H7" s="280">
        <v>3.2770000000000001E-2</v>
      </c>
      <c r="I7" s="280">
        <v>1.277E-2</v>
      </c>
      <c r="J7" s="25"/>
      <c r="K7" s="25"/>
      <c r="L7" s="30"/>
      <c r="M7" s="30"/>
      <c r="N7" s="22"/>
      <c r="O7" s="14"/>
      <c r="P7" s="24"/>
      <c r="Q7" s="22"/>
      <c r="R7" s="22"/>
      <c r="S7" s="30"/>
      <c r="T7" s="55"/>
      <c r="U7" s="56"/>
      <c r="V7" s="30"/>
      <c r="W7" s="34"/>
      <c r="X7" s="14"/>
      <c r="Y7" s="15"/>
      <c r="Z7" s="9"/>
      <c r="AA7" s="52"/>
      <c r="AB7" s="52"/>
      <c r="AC7" s="53"/>
      <c r="AD7" s="54"/>
      <c r="AE7" s="54"/>
      <c r="AF7" s="30"/>
      <c r="AG7" s="30"/>
      <c r="AH7" s="30"/>
      <c r="AI7" s="30"/>
      <c r="AJ7" s="30"/>
      <c r="AK7" s="30"/>
      <c r="AL7" s="30"/>
      <c r="AM7" s="30"/>
      <c r="AN7" s="30"/>
      <c r="AO7" s="30"/>
      <c r="AP7" s="30"/>
      <c r="AQ7" s="30"/>
      <c r="AR7" s="30"/>
      <c r="AS7" s="30"/>
      <c r="AT7" s="30"/>
      <c r="AU7" s="30"/>
      <c r="AV7" s="30"/>
      <c r="AW7" s="30"/>
      <c r="AX7" s="30"/>
      <c r="AY7" s="30"/>
      <c r="AZ7" s="30"/>
      <c r="BA7" s="30"/>
      <c r="BB7" s="30"/>
    </row>
    <row r="8" spans="1:54" s="7" customFormat="1" outlineLevel="1">
      <c r="A8" s="223">
        <v>42988</v>
      </c>
      <c r="B8" s="285">
        <v>2.3E-2</v>
      </c>
      <c r="C8" s="2" t="s">
        <v>8</v>
      </c>
      <c r="D8" s="2">
        <v>6174</v>
      </c>
      <c r="E8" s="31"/>
      <c r="F8" s="284">
        <v>42986</v>
      </c>
      <c r="G8" s="280">
        <v>2.3E-2</v>
      </c>
      <c r="H8" s="280">
        <v>3.3000000000000002E-2</v>
      </c>
      <c r="I8" s="280">
        <v>1.2999999999999999E-2</v>
      </c>
      <c r="J8" s="25"/>
      <c r="K8" s="25"/>
      <c r="L8" s="30"/>
      <c r="M8" s="30"/>
      <c r="N8" s="22"/>
      <c r="O8" s="14"/>
      <c r="P8" s="24"/>
      <c r="Q8" s="22"/>
      <c r="R8" s="22"/>
      <c r="S8" s="30"/>
      <c r="T8" s="55"/>
      <c r="U8" s="56"/>
      <c r="V8" s="30"/>
      <c r="W8" s="34"/>
      <c r="X8" s="14"/>
      <c r="Y8" s="15"/>
      <c r="Z8" s="9"/>
      <c r="AA8" s="52"/>
      <c r="AB8" s="52"/>
      <c r="AC8" s="53"/>
      <c r="AD8" s="54"/>
      <c r="AE8" s="50"/>
      <c r="AF8" s="50"/>
      <c r="AG8" s="50"/>
      <c r="AH8" s="50"/>
      <c r="AI8" s="30"/>
      <c r="AJ8" s="30"/>
      <c r="AK8" s="30"/>
      <c r="AL8" s="30"/>
      <c r="AM8" s="30"/>
      <c r="AN8" s="30"/>
      <c r="AO8" s="30"/>
      <c r="AP8" s="30"/>
      <c r="AQ8" s="30"/>
      <c r="AR8" s="30"/>
      <c r="AS8" s="30"/>
      <c r="AT8" s="30"/>
      <c r="AU8" s="30"/>
      <c r="AV8" s="30"/>
      <c r="AW8" s="30"/>
      <c r="AX8" s="30"/>
      <c r="AY8" s="30"/>
      <c r="AZ8" s="30"/>
      <c r="BA8" s="30"/>
      <c r="BB8" s="30"/>
    </row>
    <row r="9" spans="1:54" s="7" customFormat="1" outlineLevel="1">
      <c r="A9" s="223">
        <v>42989</v>
      </c>
      <c r="B9" s="285">
        <v>2.3449999999999999E-2</v>
      </c>
      <c r="C9" s="2">
        <v>4347</v>
      </c>
      <c r="D9" s="2">
        <v>8249</v>
      </c>
      <c r="E9" s="31"/>
      <c r="F9" s="284">
        <v>42987</v>
      </c>
      <c r="G9" s="280">
        <v>2.3E-2</v>
      </c>
      <c r="H9" s="280">
        <v>3.3000000000000002E-2</v>
      </c>
      <c r="I9" s="280">
        <v>1.2999999999999999E-2</v>
      </c>
      <c r="J9" s="25"/>
      <c r="K9" s="25"/>
      <c r="L9" s="30"/>
      <c r="M9" s="30"/>
      <c r="N9" s="22"/>
      <c r="O9" s="14"/>
      <c r="P9" s="24"/>
      <c r="Q9" s="22"/>
      <c r="R9" s="22"/>
      <c r="S9" s="30"/>
      <c r="T9" s="57"/>
      <c r="U9" s="15"/>
      <c r="V9" s="30"/>
      <c r="W9" s="34"/>
      <c r="X9" s="14"/>
      <c r="Y9" s="15"/>
      <c r="Z9" s="15"/>
      <c r="AA9" s="15"/>
      <c r="AB9" s="15"/>
      <c r="AC9" s="15"/>
      <c r="AD9" s="30"/>
      <c r="AE9" s="50"/>
      <c r="AF9" s="50"/>
      <c r="AG9" s="50"/>
      <c r="AH9" s="50"/>
      <c r="AI9" s="30"/>
      <c r="AJ9" s="30"/>
      <c r="AK9" s="30"/>
      <c r="AL9" s="30"/>
      <c r="AM9" s="30"/>
      <c r="AN9" s="30"/>
      <c r="AO9" s="30"/>
      <c r="AP9" s="30"/>
      <c r="AQ9" s="30"/>
      <c r="AR9" s="30"/>
      <c r="AS9" s="30"/>
      <c r="AT9" s="30"/>
      <c r="AU9" s="30"/>
      <c r="AV9" s="30"/>
      <c r="AW9" s="30"/>
      <c r="AX9" s="30"/>
      <c r="AY9" s="30"/>
      <c r="AZ9" s="30"/>
      <c r="BA9" s="30"/>
      <c r="BB9" s="30"/>
    </row>
    <row r="10" spans="1:54" s="7" customFormat="1" outlineLevel="1">
      <c r="A10" s="223">
        <v>42990</v>
      </c>
      <c r="B10" s="285">
        <v>2.3599999999999999E-2</v>
      </c>
      <c r="C10" s="2">
        <v>3629</v>
      </c>
      <c r="D10" s="2">
        <v>7461</v>
      </c>
      <c r="E10" s="31"/>
      <c r="F10" s="284">
        <v>42988</v>
      </c>
      <c r="G10" s="280">
        <v>2.3E-2</v>
      </c>
      <c r="H10" s="280">
        <v>3.3000000000000002E-2</v>
      </c>
      <c r="I10" s="280">
        <v>1.2999999999999999E-2</v>
      </c>
      <c r="J10" s="25"/>
      <c r="K10" s="25"/>
      <c r="L10" s="30"/>
      <c r="M10" s="30"/>
      <c r="N10" s="22"/>
      <c r="O10" s="14"/>
      <c r="P10" s="24"/>
      <c r="Q10" s="22"/>
      <c r="R10" s="22"/>
      <c r="S10" s="30"/>
      <c r="T10" s="30"/>
      <c r="U10" s="30"/>
      <c r="V10" s="30"/>
      <c r="W10" s="30"/>
      <c r="X10" s="30"/>
      <c r="Y10" s="30"/>
      <c r="Z10" s="30"/>
      <c r="AA10" s="30"/>
      <c r="AB10" s="30"/>
      <c r="AC10" s="30"/>
      <c r="AD10" s="30"/>
      <c r="AE10" s="30"/>
      <c r="AF10" s="30"/>
      <c r="AG10" s="30"/>
      <c r="AH10" s="30"/>
      <c r="AI10" s="50"/>
      <c r="AJ10" s="50"/>
      <c r="AK10" s="50"/>
      <c r="AL10" s="30"/>
      <c r="AM10" s="30"/>
      <c r="AN10" s="30"/>
      <c r="AO10" s="30"/>
      <c r="AP10" s="30"/>
      <c r="AQ10" s="30"/>
      <c r="AR10" s="30"/>
      <c r="AS10" s="30"/>
      <c r="AT10" s="30"/>
      <c r="AU10" s="30"/>
      <c r="AV10" s="30"/>
      <c r="AW10" s="30"/>
      <c r="AX10" s="30"/>
      <c r="AY10" s="30"/>
      <c r="AZ10" s="30"/>
      <c r="BA10" s="30"/>
      <c r="BB10" s="30"/>
    </row>
    <row r="11" spans="1:54" s="7" customFormat="1" outlineLevel="1">
      <c r="A11" s="223">
        <v>42991</v>
      </c>
      <c r="B11" s="285">
        <v>2.3429999999999999E-2</v>
      </c>
      <c r="C11" s="2">
        <v>3767</v>
      </c>
      <c r="D11" s="2">
        <v>7599</v>
      </c>
      <c r="E11" s="31"/>
      <c r="F11" s="284">
        <v>42989</v>
      </c>
      <c r="G11" s="280">
        <v>2.3449999999999999E-2</v>
      </c>
      <c r="H11" s="280">
        <v>3.3450000000000001E-2</v>
      </c>
      <c r="I11" s="280">
        <v>1.345E-2</v>
      </c>
      <c r="J11" s="25"/>
      <c r="K11" s="25"/>
      <c r="L11" s="30"/>
      <c r="M11" s="30"/>
      <c r="N11" s="22"/>
      <c r="O11" s="14"/>
      <c r="P11" s="24"/>
      <c r="Q11" s="22"/>
      <c r="R11" s="22"/>
      <c r="S11" s="30"/>
      <c r="T11" s="50"/>
      <c r="U11" s="50"/>
      <c r="V11" s="5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row>
    <row r="12" spans="1:54" s="7" customFormat="1" outlineLevel="1">
      <c r="A12" s="223">
        <v>42992</v>
      </c>
      <c r="B12" s="285">
        <v>2.2790000000000001E-2</v>
      </c>
      <c r="C12" s="2">
        <v>1585</v>
      </c>
      <c r="D12" s="2">
        <v>5617</v>
      </c>
      <c r="E12" s="31"/>
      <c r="F12" s="284">
        <v>42990</v>
      </c>
      <c r="G12" s="280">
        <v>2.3599999999999999E-2</v>
      </c>
      <c r="H12" s="280">
        <v>3.3599999999999998E-2</v>
      </c>
      <c r="I12" s="280">
        <v>1.3599999999999999E-2</v>
      </c>
      <c r="J12" s="25"/>
      <c r="K12" s="25"/>
      <c r="L12" s="30"/>
      <c r="M12" s="30"/>
      <c r="N12" s="22"/>
      <c r="O12" s="14"/>
      <c r="P12" s="24"/>
      <c r="Q12" s="22"/>
      <c r="R12" s="22"/>
      <c r="S12" s="30"/>
      <c r="T12" s="21"/>
      <c r="U12" s="21"/>
      <c r="V12" s="21"/>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row>
    <row r="13" spans="1:54" s="7" customFormat="1" outlineLevel="1">
      <c r="A13" s="223">
        <v>42993</v>
      </c>
      <c r="B13" s="285">
        <v>2.2700000000000001E-2</v>
      </c>
      <c r="C13" s="2">
        <v>4105</v>
      </c>
      <c r="D13" s="2">
        <v>8137</v>
      </c>
      <c r="E13" s="31"/>
      <c r="F13" s="284">
        <v>42991</v>
      </c>
      <c r="G13" s="280">
        <v>2.3429999999999999E-2</v>
      </c>
      <c r="H13" s="280">
        <v>3.3430000000000001E-2</v>
      </c>
      <c r="I13" s="280">
        <v>1.3429999999999999E-2</v>
      </c>
      <c r="J13" s="25"/>
      <c r="K13" s="25"/>
      <c r="L13" s="30"/>
      <c r="M13" s="30"/>
      <c r="N13" s="22"/>
      <c r="O13" s="14"/>
      <c r="P13" s="24"/>
      <c r="Q13" s="22"/>
      <c r="R13" s="22"/>
      <c r="S13" s="30"/>
      <c r="T13" s="10"/>
      <c r="U13" s="12"/>
      <c r="V13" s="13"/>
      <c r="W13" s="30"/>
      <c r="X13" s="30"/>
      <c r="Y13" s="30"/>
      <c r="Z13" s="30"/>
      <c r="AA13" s="30"/>
      <c r="AB13" s="30"/>
      <c r="AC13" s="30"/>
      <c r="AD13" s="54"/>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row>
    <row r="14" spans="1:54" s="7" customFormat="1" outlineLevel="1">
      <c r="A14" s="223">
        <v>42994</v>
      </c>
      <c r="B14" s="285">
        <v>2.2700000000000001E-2</v>
      </c>
      <c r="C14" s="2" t="s">
        <v>8</v>
      </c>
      <c r="D14" s="2">
        <v>8137</v>
      </c>
      <c r="E14" s="31"/>
      <c r="F14" s="284">
        <v>42992</v>
      </c>
      <c r="G14" s="280">
        <v>2.2790000000000001E-2</v>
      </c>
      <c r="H14" s="280">
        <v>3.279E-2</v>
      </c>
      <c r="I14" s="280">
        <v>1.2789999999999999E-2</v>
      </c>
      <c r="J14" s="25"/>
      <c r="K14" s="25"/>
      <c r="L14" s="30"/>
      <c r="M14" s="30"/>
      <c r="N14" s="22"/>
      <c r="O14" s="14"/>
      <c r="P14" s="24"/>
      <c r="Q14" s="22"/>
      <c r="R14" s="22"/>
      <c r="S14" s="30"/>
      <c r="T14" s="10"/>
      <c r="U14" s="13"/>
      <c r="V14" s="12"/>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row>
    <row r="15" spans="1:54" s="7" customFormat="1" outlineLevel="1">
      <c r="A15" s="223">
        <v>42995</v>
      </c>
      <c r="B15" s="285">
        <v>2.2700000000000001E-2</v>
      </c>
      <c r="C15" s="2" t="s">
        <v>8</v>
      </c>
      <c r="D15" s="2">
        <v>8137</v>
      </c>
      <c r="E15" s="31"/>
      <c r="F15" s="284">
        <v>42993</v>
      </c>
      <c r="G15" s="280">
        <v>2.2700000000000001E-2</v>
      </c>
      <c r="H15" s="280">
        <v>3.27E-2</v>
      </c>
      <c r="I15" s="280">
        <v>1.2699999999999999E-2</v>
      </c>
      <c r="J15" s="25"/>
      <c r="K15" s="25"/>
      <c r="L15" s="28"/>
      <c r="M15" s="30"/>
      <c r="N15" s="22"/>
      <c r="O15" s="14"/>
      <c r="P15" s="24"/>
      <c r="Q15" s="22"/>
      <c r="R15" s="22"/>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row>
    <row r="16" spans="1:54" s="7" customFormat="1" outlineLevel="1">
      <c r="A16" s="223">
        <v>42996</v>
      </c>
      <c r="B16" s="285">
        <v>2.2620000000000001E-2</v>
      </c>
      <c r="C16" s="2">
        <v>2031</v>
      </c>
      <c r="D16" s="2">
        <v>6183</v>
      </c>
      <c r="E16" s="31"/>
      <c r="F16" s="284">
        <v>42994</v>
      </c>
      <c r="G16" s="280">
        <v>2.2700000000000001E-2</v>
      </c>
      <c r="H16" s="280">
        <v>3.27E-2</v>
      </c>
      <c r="I16" s="280">
        <v>1.2699999999999999E-2</v>
      </c>
      <c r="J16" s="25"/>
      <c r="K16" s="25"/>
      <c r="L16" s="28"/>
      <c r="M16" s="30"/>
      <c r="N16" s="22"/>
      <c r="O16" s="14"/>
      <c r="P16" s="24"/>
      <c r="Q16" s="22"/>
      <c r="R16" s="22"/>
      <c r="S16" s="30"/>
      <c r="T16" s="30"/>
      <c r="U16" s="24"/>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row>
    <row r="17" spans="1:54" s="7" customFormat="1" outlineLevel="1">
      <c r="A17" s="223">
        <v>42997</v>
      </c>
      <c r="B17" s="285">
        <v>2.2530000000000001E-2</v>
      </c>
      <c r="C17" s="2">
        <v>1914</v>
      </c>
      <c r="D17" s="2">
        <v>6066</v>
      </c>
      <c r="E17" s="31"/>
      <c r="F17" s="284">
        <v>42995</v>
      </c>
      <c r="G17" s="280">
        <v>2.2700000000000001E-2</v>
      </c>
      <c r="H17" s="280">
        <v>3.27E-2</v>
      </c>
      <c r="I17" s="280">
        <v>1.2699999999999999E-2</v>
      </c>
      <c r="J17" s="25"/>
      <c r="K17" s="25"/>
      <c r="L17" s="30"/>
      <c r="M17" s="30"/>
      <c r="N17" s="22"/>
      <c r="O17" s="14"/>
      <c r="P17" s="24"/>
      <c r="Q17" s="22"/>
      <c r="R17" s="22"/>
      <c r="S17" s="30"/>
      <c r="T17" s="30"/>
      <c r="U17" s="58"/>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row>
    <row r="18" spans="1:54" s="7" customFormat="1" outlineLevel="1">
      <c r="A18" s="223">
        <v>42998</v>
      </c>
      <c r="B18" s="285">
        <v>2.2550000000000001E-2</v>
      </c>
      <c r="C18" s="2">
        <v>3910</v>
      </c>
      <c r="D18" s="2">
        <v>8062</v>
      </c>
      <c r="E18" s="31"/>
      <c r="F18" s="284">
        <v>42996</v>
      </c>
      <c r="G18" s="280">
        <v>2.2620000000000001E-2</v>
      </c>
      <c r="H18" s="280">
        <v>3.2620000000000003E-2</v>
      </c>
      <c r="I18" s="280">
        <v>1.2619999999999999E-2</v>
      </c>
      <c r="J18" s="25"/>
      <c r="K18" s="25"/>
      <c r="L18" s="30"/>
      <c r="M18" s="30"/>
      <c r="N18" s="22"/>
      <c r="O18" s="14"/>
      <c r="P18" s="24"/>
      <c r="Q18" s="22"/>
      <c r="R18" s="22"/>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row>
    <row r="19" spans="1:54" s="7" customFormat="1" outlineLevel="1">
      <c r="A19" s="223">
        <v>42999</v>
      </c>
      <c r="B19" s="285">
        <v>2.2859999999999998E-2</v>
      </c>
      <c r="C19" s="2">
        <v>4324</v>
      </c>
      <c r="D19" s="2">
        <v>8776</v>
      </c>
      <c r="E19" s="31"/>
      <c r="F19" s="284">
        <v>42997</v>
      </c>
      <c r="G19" s="280">
        <v>2.2530000000000001E-2</v>
      </c>
      <c r="H19" s="280">
        <v>3.2530000000000003E-2</v>
      </c>
      <c r="I19" s="280">
        <v>1.2529999999999999E-2</v>
      </c>
      <c r="J19" s="25"/>
      <c r="K19" s="25"/>
      <c r="L19" s="30"/>
      <c r="M19" s="30"/>
      <c r="N19" s="22"/>
      <c r="O19" s="14"/>
      <c r="P19" s="24"/>
      <c r="Q19" s="22"/>
      <c r="R19" s="22"/>
      <c r="S19" s="30"/>
      <c r="T19" s="30"/>
      <c r="U19" s="59"/>
      <c r="V19" s="30"/>
      <c r="W19" s="30"/>
      <c r="X19" s="30"/>
      <c r="Y19" s="30"/>
      <c r="Z19" s="30"/>
      <c r="AA19" s="30"/>
      <c r="AB19" s="30"/>
      <c r="AC19" s="30"/>
      <c r="AD19" s="30"/>
      <c r="AE19" s="59"/>
      <c r="AF19" s="30"/>
      <c r="AG19" s="30"/>
      <c r="AH19" s="30"/>
      <c r="AI19" s="30"/>
      <c r="AJ19" s="30"/>
      <c r="AK19" s="30"/>
      <c r="AL19" s="30"/>
      <c r="AM19" s="30"/>
      <c r="AN19" s="30"/>
      <c r="AO19" s="30"/>
      <c r="AP19" s="30"/>
      <c r="AQ19" s="30"/>
      <c r="AR19" s="30"/>
      <c r="AS19" s="30"/>
      <c r="AT19" s="30"/>
      <c r="AU19" s="30"/>
      <c r="AV19" s="30"/>
      <c r="AW19" s="30"/>
      <c r="AX19" s="30"/>
      <c r="AY19" s="30"/>
      <c r="AZ19" s="30"/>
      <c r="BA19" s="30"/>
      <c r="BB19" s="30"/>
    </row>
    <row r="20" spans="1:54" s="7" customFormat="1" outlineLevel="1">
      <c r="A20" s="223">
        <v>43000</v>
      </c>
      <c r="B20" s="285">
        <v>2.2859999999999998E-2</v>
      </c>
      <c r="C20" s="2" t="s">
        <v>8</v>
      </c>
      <c r="D20" s="2">
        <v>8776</v>
      </c>
      <c r="E20" s="31"/>
      <c r="F20" s="284">
        <v>42998</v>
      </c>
      <c r="G20" s="280">
        <v>2.2550000000000001E-2</v>
      </c>
      <c r="H20" s="280">
        <v>3.2550000000000003E-2</v>
      </c>
      <c r="I20" s="280">
        <v>1.255E-2</v>
      </c>
      <c r="J20" s="25"/>
      <c r="K20" s="25"/>
      <c r="L20" s="30"/>
      <c r="M20" s="30"/>
      <c r="N20" s="22"/>
      <c r="O20" s="14"/>
      <c r="P20" s="24"/>
      <c r="Q20" s="22"/>
      <c r="R20" s="22"/>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row>
    <row r="21" spans="1:54" s="7" customFormat="1" outlineLevel="1">
      <c r="A21" s="223">
        <v>43001</v>
      </c>
      <c r="B21" s="285">
        <v>2.2859999999999998E-2</v>
      </c>
      <c r="C21" s="2" t="s">
        <v>8</v>
      </c>
      <c r="D21" s="2">
        <v>8776</v>
      </c>
      <c r="E21" s="31"/>
      <c r="F21" s="284">
        <v>42999</v>
      </c>
      <c r="G21" s="280">
        <v>2.2859999999999998E-2</v>
      </c>
      <c r="H21" s="280">
        <v>3.286E-2</v>
      </c>
      <c r="I21" s="280">
        <v>1.286E-2</v>
      </c>
      <c r="J21" s="25"/>
      <c r="K21" s="25"/>
      <c r="L21" s="30"/>
      <c r="M21" s="30"/>
      <c r="N21" s="22"/>
      <c r="O21" s="14"/>
      <c r="P21" s="24"/>
      <c r="Q21" s="22"/>
      <c r="R21" s="22"/>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row>
    <row r="22" spans="1:54" s="7" customFormat="1" outlineLevel="1">
      <c r="A22" s="223">
        <v>43002</v>
      </c>
      <c r="B22" s="285">
        <v>2.2859999999999998E-2</v>
      </c>
      <c r="C22" s="2" t="s">
        <v>8</v>
      </c>
      <c r="D22" s="2">
        <v>8776</v>
      </c>
      <c r="E22" s="31"/>
      <c r="F22" s="284">
        <v>43000</v>
      </c>
      <c r="G22" s="280">
        <v>2.2859999999999998E-2</v>
      </c>
      <c r="H22" s="280">
        <v>3.286E-2</v>
      </c>
      <c r="I22" s="280">
        <v>1.286E-2</v>
      </c>
      <c r="J22" s="25"/>
      <c r="K22" s="25"/>
      <c r="L22" s="30"/>
      <c r="M22" s="30"/>
      <c r="N22" s="22"/>
      <c r="O22" s="14"/>
      <c r="P22" s="24"/>
      <c r="Q22" s="22"/>
      <c r="R22" s="22"/>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row>
    <row r="23" spans="1:54" s="7" customFormat="1" outlineLevel="1">
      <c r="A23" s="223">
        <v>43003</v>
      </c>
      <c r="B23" s="285">
        <v>2.2769999999999999E-2</v>
      </c>
      <c r="C23" s="2">
        <v>3646</v>
      </c>
      <c r="D23" s="2">
        <v>8548</v>
      </c>
      <c r="E23" s="31"/>
      <c r="F23" s="284">
        <v>43001</v>
      </c>
      <c r="G23" s="280">
        <v>2.2859999999999998E-2</v>
      </c>
      <c r="H23" s="280">
        <v>3.286E-2</v>
      </c>
      <c r="I23" s="280">
        <v>1.286E-2</v>
      </c>
      <c r="J23" s="25"/>
      <c r="K23" s="25"/>
      <c r="L23" s="30"/>
      <c r="M23" s="30"/>
      <c r="N23" s="22"/>
      <c r="O23" s="14"/>
      <c r="P23" s="24"/>
      <c r="Q23" s="22"/>
      <c r="R23" s="22"/>
      <c r="S23" s="30"/>
      <c r="T23" s="30"/>
      <c r="U23" s="30"/>
      <c r="V23" s="30"/>
      <c r="W23" s="30"/>
      <c r="X23" s="30"/>
      <c r="Y23" s="30"/>
      <c r="Z23" s="30"/>
      <c r="AA23" s="30"/>
      <c r="AB23" s="30"/>
      <c r="AC23" s="30"/>
      <c r="AD23" s="30"/>
      <c r="AE23" s="30"/>
      <c r="AF23" s="30"/>
      <c r="AG23" s="30"/>
      <c r="AH23" s="30"/>
      <c r="AI23" s="30"/>
      <c r="AJ23" s="30"/>
      <c r="AK23" s="30"/>
      <c r="AL23" s="30"/>
      <c r="AM23" s="30"/>
      <c r="AN23" s="30"/>
      <c r="AO23" s="30"/>
      <c r="AP23" s="30"/>
      <c r="AQ23" s="30"/>
      <c r="AR23" s="30"/>
      <c r="AS23" s="30"/>
      <c r="AT23" s="30"/>
      <c r="AU23" s="30"/>
      <c r="AV23" s="30"/>
      <c r="AW23" s="30"/>
      <c r="AX23" s="30"/>
      <c r="AY23" s="30"/>
      <c r="AZ23" s="30"/>
      <c r="BA23" s="30"/>
      <c r="BB23" s="30"/>
    </row>
    <row r="24" spans="1:54" s="7" customFormat="1" outlineLevel="1">
      <c r="A24" s="223">
        <v>43004</v>
      </c>
      <c r="B24" s="285">
        <v>2.273E-2</v>
      </c>
      <c r="C24" s="2">
        <v>4463</v>
      </c>
      <c r="D24" s="2">
        <v>9365</v>
      </c>
      <c r="E24" s="31"/>
      <c r="F24" s="284">
        <v>43002</v>
      </c>
      <c r="G24" s="280">
        <v>2.2859999999999998E-2</v>
      </c>
      <c r="H24" s="280">
        <v>3.286E-2</v>
      </c>
      <c r="I24" s="280">
        <v>1.286E-2</v>
      </c>
      <c r="J24" s="25"/>
      <c r="K24" s="25"/>
      <c r="L24" s="30"/>
      <c r="M24" s="30"/>
      <c r="N24" s="22"/>
      <c r="O24" s="14"/>
      <c r="P24" s="24"/>
      <c r="Q24" s="22"/>
      <c r="R24" s="22"/>
      <c r="S24" s="30"/>
      <c r="T24" s="30"/>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0"/>
      <c r="AS24" s="30"/>
      <c r="AT24" s="30"/>
      <c r="AU24" s="30"/>
      <c r="AV24" s="30"/>
      <c r="AW24" s="30"/>
      <c r="AX24" s="30"/>
      <c r="AY24" s="30"/>
      <c r="AZ24" s="30"/>
      <c r="BA24" s="30"/>
      <c r="BB24" s="30"/>
    </row>
    <row r="25" spans="1:54" s="7" customFormat="1" outlineLevel="1">
      <c r="A25" s="223">
        <v>43005</v>
      </c>
      <c r="B25" s="285">
        <v>2.2790000000000001E-2</v>
      </c>
      <c r="C25" s="2">
        <v>3922</v>
      </c>
      <c r="D25" s="2">
        <v>8824</v>
      </c>
      <c r="E25" s="31"/>
      <c r="F25" s="284">
        <v>43003</v>
      </c>
      <c r="G25" s="280">
        <v>2.2769999999999999E-2</v>
      </c>
      <c r="H25" s="280">
        <v>3.2770000000000001E-2</v>
      </c>
      <c r="I25" s="280">
        <v>1.277E-2</v>
      </c>
      <c r="J25" s="25"/>
      <c r="K25" s="25"/>
      <c r="L25" s="30"/>
      <c r="M25" s="30"/>
      <c r="N25" s="22"/>
      <c r="O25" s="14"/>
      <c r="P25" s="24"/>
      <c r="Q25" s="22"/>
      <c r="R25" s="22"/>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row>
    <row r="26" spans="1:54" s="7" customFormat="1" outlineLevel="1">
      <c r="A26" s="223">
        <v>43006</v>
      </c>
      <c r="B26" s="285">
        <v>2.2620000000000001E-2</v>
      </c>
      <c r="C26" s="2">
        <v>3832</v>
      </c>
      <c r="D26" s="2">
        <v>7224</v>
      </c>
      <c r="E26" s="31"/>
      <c r="F26" s="284">
        <v>43004</v>
      </c>
      <c r="G26" s="280">
        <v>2.273E-2</v>
      </c>
      <c r="H26" s="280">
        <v>3.2730000000000002E-2</v>
      </c>
      <c r="I26" s="280">
        <v>1.273E-2</v>
      </c>
      <c r="J26" s="25"/>
      <c r="K26" s="25"/>
      <c r="L26" s="30"/>
      <c r="M26" s="30"/>
      <c r="N26" s="22"/>
      <c r="O26" s="14"/>
      <c r="P26" s="24"/>
      <c r="Q26" s="22"/>
      <c r="R26" s="22"/>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row>
    <row r="27" spans="1:54" s="7" customFormat="1" outlineLevel="1">
      <c r="A27" s="223">
        <v>43007</v>
      </c>
      <c r="B27" s="285">
        <v>2.2610000000000002E-2</v>
      </c>
      <c r="C27" s="2">
        <v>1565</v>
      </c>
      <c r="D27" s="2">
        <v>4367</v>
      </c>
      <c r="E27" s="31"/>
      <c r="F27" s="284">
        <v>43005</v>
      </c>
      <c r="G27" s="280">
        <v>2.2790000000000001E-2</v>
      </c>
      <c r="H27" s="280">
        <v>3.279E-2</v>
      </c>
      <c r="I27" s="280">
        <v>1.2789999999999999E-2</v>
      </c>
      <c r="J27" s="25"/>
      <c r="K27" s="25"/>
      <c r="L27" s="30"/>
      <c r="M27" s="30"/>
      <c r="N27" s="22"/>
      <c r="O27" s="14"/>
      <c r="P27" s="24"/>
      <c r="Q27" s="22"/>
      <c r="R27" s="22"/>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row>
    <row r="28" spans="1:54" s="7" customFormat="1" outlineLevel="1">
      <c r="A28" s="223">
        <v>43008</v>
      </c>
      <c r="B28" s="285">
        <v>2.2610000000000002E-2</v>
      </c>
      <c r="C28" s="2" t="s">
        <v>8</v>
      </c>
      <c r="D28" s="2">
        <v>4367</v>
      </c>
      <c r="E28" s="31"/>
      <c r="F28" s="284">
        <v>43006</v>
      </c>
      <c r="G28" s="280">
        <v>2.2620000000000001E-2</v>
      </c>
      <c r="H28" s="280">
        <v>3.2620000000000003E-2</v>
      </c>
      <c r="I28" s="280">
        <v>1.2619999999999999E-2</v>
      </c>
      <c r="J28" s="25"/>
      <c r="K28" s="25"/>
      <c r="L28" s="30"/>
      <c r="M28" s="30"/>
      <c r="N28" s="22"/>
      <c r="O28" s="14"/>
      <c r="P28" s="24"/>
      <c r="Q28" s="22"/>
      <c r="R28" s="22"/>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0"/>
      <c r="AS28" s="30"/>
      <c r="AT28" s="30"/>
      <c r="AU28" s="30"/>
      <c r="AV28" s="30"/>
      <c r="AW28" s="30"/>
      <c r="AX28" s="30"/>
      <c r="AY28" s="30"/>
      <c r="AZ28" s="30"/>
      <c r="BA28" s="30"/>
      <c r="BB28" s="30"/>
    </row>
    <row r="29" spans="1:54" s="7" customFormat="1" outlineLevel="1">
      <c r="A29" s="223">
        <v>43009</v>
      </c>
      <c r="B29" s="285">
        <v>2.2610000000000002E-2</v>
      </c>
      <c r="C29" s="2" t="s">
        <v>8</v>
      </c>
      <c r="D29" s="2">
        <v>4367</v>
      </c>
      <c r="E29" s="31"/>
      <c r="F29" s="284">
        <v>43007</v>
      </c>
      <c r="G29" s="280">
        <v>2.2610000000000002E-2</v>
      </c>
      <c r="H29" s="280">
        <v>3.261E-2</v>
      </c>
      <c r="I29" s="280">
        <v>1.261E-2</v>
      </c>
      <c r="J29" s="25"/>
      <c r="K29" s="25"/>
      <c r="L29" s="30"/>
      <c r="M29" s="30"/>
      <c r="N29" s="22"/>
      <c r="O29" s="14"/>
      <c r="P29" s="24"/>
      <c r="Q29" s="22"/>
      <c r="R29" s="22"/>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0"/>
      <c r="AS29" s="30"/>
      <c r="AT29" s="30"/>
      <c r="AU29" s="30"/>
      <c r="AV29" s="30"/>
      <c r="AW29" s="30"/>
      <c r="AX29" s="30"/>
      <c r="AY29" s="30"/>
      <c r="AZ29" s="30"/>
      <c r="BA29" s="30"/>
      <c r="BB29" s="30"/>
    </row>
    <row r="30" spans="1:54" s="7" customFormat="1" outlineLevel="1">
      <c r="A30" s="223">
        <v>43010</v>
      </c>
      <c r="B30" s="285">
        <v>2.2599999999999999E-2</v>
      </c>
      <c r="C30" s="2">
        <v>4178</v>
      </c>
      <c r="D30" s="2">
        <v>7588</v>
      </c>
      <c r="E30" s="31"/>
      <c r="F30" s="284">
        <v>43008</v>
      </c>
      <c r="G30" s="280">
        <v>2.2610000000000002E-2</v>
      </c>
      <c r="H30" s="280">
        <v>3.261E-2</v>
      </c>
      <c r="I30" s="280">
        <v>1.261E-2</v>
      </c>
      <c r="J30" s="25"/>
      <c r="K30" s="25"/>
      <c r="L30" s="30"/>
      <c r="M30" s="30"/>
      <c r="N30" s="22"/>
      <c r="O30" s="14"/>
      <c r="P30" s="24"/>
      <c r="Q30" s="22"/>
      <c r="R30" s="22"/>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row>
    <row r="31" spans="1:54" s="7" customFormat="1" outlineLevel="1">
      <c r="A31" s="223">
        <v>43011</v>
      </c>
      <c r="B31" s="285">
        <v>2.256E-2</v>
      </c>
      <c r="C31" s="2">
        <v>3369</v>
      </c>
      <c r="D31" s="2">
        <v>7279</v>
      </c>
      <c r="E31" s="31"/>
      <c r="F31" s="284">
        <v>43009</v>
      </c>
      <c r="G31" s="280">
        <v>2.2610000000000002E-2</v>
      </c>
      <c r="H31" s="280"/>
      <c r="I31" s="280">
        <v>1.261E-2</v>
      </c>
      <c r="J31" s="25"/>
      <c r="K31" s="25"/>
      <c r="L31" s="30"/>
      <c r="M31" s="30"/>
      <c r="N31" s="22"/>
      <c r="O31" s="14"/>
      <c r="P31" s="24"/>
      <c r="Q31" s="22"/>
      <c r="R31" s="22"/>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row>
    <row r="32" spans="1:54" s="7" customFormat="1" outlineLevel="1">
      <c r="A32" s="223">
        <v>43012</v>
      </c>
      <c r="B32" s="285">
        <v>2.256E-2</v>
      </c>
      <c r="C32" s="2">
        <v>3948</v>
      </c>
      <c r="D32" s="2">
        <v>7858</v>
      </c>
      <c r="E32" s="31"/>
      <c r="F32" s="284">
        <v>43010</v>
      </c>
      <c r="G32" s="280">
        <v>2.2599999999999999E-2</v>
      </c>
      <c r="H32" s="280">
        <v>3.2599999999999997E-2</v>
      </c>
      <c r="I32" s="280">
        <v>1.26E-2</v>
      </c>
      <c r="J32" s="25"/>
      <c r="K32" s="25"/>
      <c r="L32" s="30"/>
      <c r="M32" s="30"/>
      <c r="N32" s="22"/>
      <c r="O32" s="14"/>
      <c r="P32" s="24"/>
      <c r="Q32" s="22"/>
      <c r="R32" s="22"/>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row>
    <row r="33" spans="1:54" s="7" customFormat="1" outlineLevel="1">
      <c r="A33" s="223">
        <v>43013</v>
      </c>
      <c r="B33" s="285">
        <v>2.2530000000000001E-2</v>
      </c>
      <c r="C33" s="2">
        <v>3248</v>
      </c>
      <c r="D33" s="2">
        <v>6158</v>
      </c>
      <c r="E33" s="31"/>
      <c r="F33" s="284">
        <v>43011</v>
      </c>
      <c r="G33" s="280">
        <v>2.256E-2</v>
      </c>
      <c r="H33" s="280">
        <v>3.2559999999999999E-2</v>
      </c>
      <c r="I33" s="280">
        <v>1.256E-2</v>
      </c>
      <c r="J33" s="25"/>
      <c r="K33" s="25"/>
      <c r="L33" s="30"/>
      <c r="M33" s="30"/>
      <c r="N33" s="22"/>
      <c r="O33" s="14"/>
      <c r="P33" s="24"/>
      <c r="Q33" s="22"/>
      <c r="R33" s="22"/>
      <c r="S33" s="30"/>
      <c r="T33" s="30"/>
      <c r="U33" s="30"/>
      <c r="V33" s="30"/>
      <c r="W33" s="30"/>
      <c r="X33" s="30"/>
      <c r="Y33" s="30"/>
      <c r="Z33" s="30"/>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0"/>
      <c r="BA33" s="30"/>
      <c r="BB33" s="30"/>
    </row>
    <row r="34" spans="1:54" s="7" customFormat="1" outlineLevel="1">
      <c r="A34" s="223">
        <v>43014</v>
      </c>
      <c r="B34" s="285">
        <v>2.273E-2</v>
      </c>
      <c r="C34" s="2">
        <v>3936</v>
      </c>
      <c r="D34" s="2">
        <v>6846</v>
      </c>
      <c r="E34" s="31"/>
      <c r="F34" s="284">
        <v>43012</v>
      </c>
      <c r="G34" s="280">
        <v>2.256E-2</v>
      </c>
      <c r="H34" s="280">
        <v>3.2559999999999999E-2</v>
      </c>
      <c r="I34" s="280">
        <v>1.256E-2</v>
      </c>
      <c r="J34" s="25"/>
      <c r="K34" s="25"/>
      <c r="L34" s="30"/>
      <c r="M34" s="30"/>
      <c r="N34" s="22"/>
      <c r="O34" s="14"/>
      <c r="P34" s="24"/>
      <c r="Q34" s="22"/>
      <c r="R34" s="22"/>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row>
    <row r="35" spans="1:54" s="7" customFormat="1" outlineLevel="1">
      <c r="A35" s="223">
        <v>43015</v>
      </c>
      <c r="B35" s="285">
        <v>2.273E-2</v>
      </c>
      <c r="C35" s="2" t="s">
        <v>8</v>
      </c>
      <c r="D35" s="2">
        <v>6846</v>
      </c>
      <c r="E35" s="31"/>
      <c r="F35" s="284">
        <v>43013</v>
      </c>
      <c r="G35" s="280">
        <v>2.2530000000000001E-2</v>
      </c>
      <c r="H35" s="280">
        <v>3.2530000000000003E-2</v>
      </c>
      <c r="I35" s="280">
        <v>1.2529999999999999E-2</v>
      </c>
      <c r="J35" s="25"/>
      <c r="K35" s="25"/>
      <c r="L35" s="30"/>
      <c r="M35" s="30"/>
      <c r="N35" s="22"/>
      <c r="O35" s="14"/>
      <c r="P35" s="24"/>
      <c r="Q35" s="22"/>
      <c r="R35" s="22"/>
      <c r="S35" s="30"/>
      <c r="T35" s="30"/>
      <c r="U35" s="30"/>
      <c r="V35" s="30"/>
      <c r="W35" s="30"/>
      <c r="X35" s="30"/>
      <c r="Y35" s="30"/>
      <c r="Z35" s="30"/>
      <c r="AA35" s="30"/>
      <c r="AB35" s="30"/>
      <c r="AC35" s="30"/>
      <c r="AD35" s="30"/>
      <c r="AE35" s="30"/>
      <c r="AF35" s="30"/>
      <c r="AG35" s="30"/>
      <c r="AH35" s="30"/>
      <c r="AI35" s="30"/>
      <c r="AJ35" s="30"/>
      <c r="AK35" s="30"/>
      <c r="AL35" s="30"/>
      <c r="AM35" s="30"/>
      <c r="AN35" s="30"/>
      <c r="AO35" s="30"/>
      <c r="AP35" s="30"/>
      <c r="AQ35" s="30"/>
      <c r="AR35" s="30"/>
      <c r="AS35" s="30"/>
      <c r="AT35" s="30"/>
      <c r="AU35" s="30"/>
      <c r="AV35" s="30"/>
      <c r="AW35" s="30"/>
      <c r="AX35" s="30"/>
      <c r="AY35" s="30"/>
      <c r="AZ35" s="30"/>
      <c r="BA35" s="30"/>
      <c r="BB35" s="30"/>
    </row>
    <row r="36" spans="1:54" s="7" customFormat="1" outlineLevel="1">
      <c r="A36" s="223">
        <v>43016</v>
      </c>
      <c r="B36" s="285">
        <v>2.273E-2</v>
      </c>
      <c r="C36" s="2" t="s">
        <v>8</v>
      </c>
      <c r="D36" s="2">
        <v>6846</v>
      </c>
      <c r="E36" s="31"/>
      <c r="F36" s="284">
        <v>43014</v>
      </c>
      <c r="G36" s="280">
        <v>2.273E-2</v>
      </c>
      <c r="H36" s="280">
        <v>3.2730000000000002E-2</v>
      </c>
      <c r="I36" s="280">
        <v>1.273E-2</v>
      </c>
      <c r="J36" s="25"/>
      <c r="K36" s="25"/>
      <c r="L36" s="30"/>
      <c r="M36" s="30"/>
      <c r="N36" s="22"/>
      <c r="O36" s="14"/>
      <c r="P36" s="24"/>
      <c r="Q36" s="22"/>
      <c r="R36" s="22"/>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row>
    <row r="37" spans="1:54" s="7" customFormat="1" outlineLevel="1">
      <c r="A37" s="223">
        <v>43017</v>
      </c>
      <c r="B37" s="285">
        <v>2.256E-2</v>
      </c>
      <c r="C37" s="2">
        <v>3118</v>
      </c>
      <c r="D37" s="2">
        <v>6466</v>
      </c>
      <c r="E37" s="31"/>
      <c r="F37" s="284">
        <v>43015</v>
      </c>
      <c r="G37" s="280">
        <v>2.273E-2</v>
      </c>
      <c r="H37" s="280">
        <v>3.2730000000000002E-2</v>
      </c>
      <c r="I37" s="280">
        <v>1.273E-2</v>
      </c>
      <c r="J37" s="25"/>
      <c r="K37" s="25"/>
      <c r="L37" s="30"/>
      <c r="M37" s="30"/>
      <c r="N37" s="22"/>
      <c r="O37" s="14"/>
      <c r="P37" s="24"/>
      <c r="Q37" s="22"/>
      <c r="R37" s="22"/>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row>
    <row r="38" spans="1:54" s="7" customFormat="1" outlineLevel="1">
      <c r="A38" s="223">
        <v>43018</v>
      </c>
      <c r="B38" s="285">
        <v>2.2620000000000001E-2</v>
      </c>
      <c r="C38" s="2">
        <v>2738</v>
      </c>
      <c r="D38" s="2">
        <v>6086</v>
      </c>
      <c r="E38" s="31"/>
      <c r="F38" s="284">
        <v>43016</v>
      </c>
      <c r="G38" s="280">
        <v>2.273E-2</v>
      </c>
      <c r="H38" s="280">
        <v>3.2730000000000002E-2</v>
      </c>
      <c r="I38" s="280">
        <v>1.273E-2</v>
      </c>
      <c r="J38" s="25"/>
      <c r="K38" s="25"/>
      <c r="L38" s="30"/>
      <c r="M38" s="30"/>
      <c r="N38" s="22"/>
      <c r="O38" s="14"/>
      <c r="P38" s="24"/>
      <c r="Q38" s="22"/>
      <c r="R38" s="22"/>
      <c r="S38" s="30"/>
      <c r="T38" s="30"/>
      <c r="U38" s="30"/>
      <c r="V38" s="30"/>
      <c r="W38" s="30"/>
      <c r="X38" s="30"/>
      <c r="Y38" s="30"/>
      <c r="Z38" s="30"/>
      <c r="AA38" s="30"/>
      <c r="AB38" s="30"/>
      <c r="AC38" s="30"/>
      <c r="AD38" s="30"/>
      <c r="AE38" s="30"/>
      <c r="AF38" s="30"/>
      <c r="AG38" s="30"/>
      <c r="AH38" s="30"/>
      <c r="AI38" s="30"/>
      <c r="AJ38" s="30"/>
      <c r="AK38" s="30"/>
      <c r="AL38" s="30"/>
      <c r="AM38" s="30"/>
      <c r="AN38" s="30"/>
      <c r="AO38" s="30"/>
      <c r="AP38" s="30"/>
      <c r="AQ38" s="30"/>
      <c r="AR38" s="30"/>
      <c r="AS38" s="30"/>
      <c r="AT38" s="30"/>
      <c r="AU38" s="30"/>
      <c r="AV38" s="30"/>
      <c r="AW38" s="30"/>
      <c r="AX38" s="30"/>
      <c r="AY38" s="30"/>
      <c r="AZ38" s="30"/>
      <c r="BA38" s="30"/>
      <c r="BB38" s="30"/>
    </row>
    <row r="39" spans="1:54" s="7" customFormat="1" outlineLevel="1">
      <c r="A39" s="223">
        <v>43019</v>
      </c>
      <c r="B39" s="285">
        <v>2.2540000000000001E-2</v>
      </c>
      <c r="C39" s="2">
        <v>3061</v>
      </c>
      <c r="D39" s="2">
        <v>6409</v>
      </c>
      <c r="E39" s="31"/>
      <c r="F39" s="284">
        <v>43017</v>
      </c>
      <c r="G39" s="280">
        <v>2.256E-2</v>
      </c>
      <c r="H39" s="280">
        <v>3.2559999999999999E-2</v>
      </c>
      <c r="I39" s="280">
        <v>1.256E-2</v>
      </c>
      <c r="J39" s="25"/>
      <c r="K39" s="25"/>
      <c r="L39" s="30"/>
      <c r="M39" s="30"/>
      <c r="N39" s="22"/>
      <c r="O39" s="14"/>
      <c r="P39" s="24"/>
      <c r="Q39" s="22"/>
      <c r="R39" s="22"/>
      <c r="S39" s="30"/>
      <c r="T39" s="30"/>
      <c r="U39" s="30"/>
      <c r="V39" s="30"/>
      <c r="W39" s="30"/>
      <c r="X39" s="30"/>
      <c r="Y39" s="30"/>
      <c r="Z39" s="30"/>
      <c r="AA39" s="30"/>
      <c r="AB39" s="30"/>
      <c r="AC39" s="30"/>
      <c r="AD39" s="30"/>
      <c r="AE39" s="30"/>
      <c r="AF39" s="30"/>
      <c r="AG39" s="30"/>
      <c r="AH39" s="30"/>
      <c r="AI39" s="30"/>
      <c r="AJ39" s="30"/>
      <c r="AK39" s="30"/>
      <c r="AL39" s="30"/>
      <c r="AM39" s="30"/>
      <c r="AN39" s="30"/>
      <c r="AO39" s="30"/>
      <c r="AP39" s="30"/>
      <c r="AQ39" s="30"/>
      <c r="AR39" s="30"/>
      <c r="AS39" s="30"/>
      <c r="AT39" s="30"/>
      <c r="AU39" s="30"/>
      <c r="AV39" s="30"/>
      <c r="AW39" s="30"/>
      <c r="AX39" s="30"/>
      <c r="AY39" s="30"/>
      <c r="AZ39" s="30"/>
      <c r="BA39" s="30"/>
      <c r="BB39" s="30"/>
    </row>
    <row r="40" spans="1:54" s="7" customFormat="1" outlineLevel="1">
      <c r="A40" s="223">
        <v>43020</v>
      </c>
      <c r="B40" s="285">
        <v>2.256E-2</v>
      </c>
      <c r="C40" s="2">
        <v>4749</v>
      </c>
      <c r="D40" s="2">
        <v>8097</v>
      </c>
      <c r="E40" s="31"/>
      <c r="F40" s="284">
        <v>43018</v>
      </c>
      <c r="G40" s="280">
        <v>2.2620000000000001E-2</v>
      </c>
      <c r="H40" s="280">
        <v>3.2620000000000003E-2</v>
      </c>
      <c r="I40" s="280">
        <v>1.2619999999999999E-2</v>
      </c>
      <c r="J40" s="25"/>
      <c r="K40" s="25"/>
      <c r="L40" s="30"/>
      <c r="M40" s="30"/>
      <c r="N40" s="22"/>
      <c r="O40" s="14"/>
      <c r="P40" s="24"/>
      <c r="Q40" s="22"/>
      <c r="R40" s="22"/>
      <c r="S40" s="30"/>
      <c r="T40" s="30"/>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row>
    <row r="41" spans="1:54" s="7" customFormat="1" outlineLevel="1">
      <c r="A41" s="223">
        <v>43021</v>
      </c>
      <c r="B41" s="285">
        <v>2.2630000000000001E-2</v>
      </c>
      <c r="C41" s="2">
        <v>5106</v>
      </c>
      <c r="D41" s="2">
        <v>8454</v>
      </c>
      <c r="E41" s="31"/>
      <c r="F41" s="284">
        <v>43019</v>
      </c>
      <c r="G41" s="280">
        <v>2.2540000000000001E-2</v>
      </c>
      <c r="H41" s="280">
        <v>3.2539999999999999E-2</v>
      </c>
      <c r="I41" s="280">
        <v>1.2540000000000001E-2</v>
      </c>
      <c r="J41" s="25"/>
      <c r="K41" s="25"/>
      <c r="L41" s="30"/>
      <c r="M41" s="30"/>
      <c r="N41" s="22"/>
      <c r="O41" s="14"/>
      <c r="P41" s="24"/>
      <c r="Q41" s="22"/>
      <c r="R41" s="22"/>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row>
    <row r="42" spans="1:54" s="7" customFormat="1" outlineLevel="1">
      <c r="A42" s="223">
        <v>43022</v>
      </c>
      <c r="B42" s="285">
        <v>2.2630000000000001E-2</v>
      </c>
      <c r="C42" s="2">
        <v>0</v>
      </c>
      <c r="D42" s="2">
        <v>8454</v>
      </c>
      <c r="E42" s="31"/>
      <c r="F42" s="284">
        <v>43020</v>
      </c>
      <c r="G42" s="280">
        <v>2.256E-2</v>
      </c>
      <c r="H42" s="280">
        <v>3.2559999999999999E-2</v>
      </c>
      <c r="I42" s="280">
        <v>1.256E-2</v>
      </c>
      <c r="J42" s="25"/>
      <c r="K42" s="25"/>
      <c r="L42" s="30"/>
      <c r="M42" s="30"/>
      <c r="N42" s="22"/>
      <c r="O42" s="14"/>
      <c r="P42" s="24"/>
      <c r="Q42" s="22"/>
      <c r="R42" s="22"/>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row>
    <row r="43" spans="1:54" s="7" customFormat="1" outlineLevel="1">
      <c r="A43" s="223">
        <v>43023</v>
      </c>
      <c r="B43" s="285">
        <v>2.2630000000000001E-2</v>
      </c>
      <c r="C43" s="2">
        <v>0</v>
      </c>
      <c r="D43" s="2">
        <v>8454</v>
      </c>
      <c r="E43" s="31"/>
      <c r="F43" s="284">
        <v>43021</v>
      </c>
      <c r="G43" s="280">
        <v>2.2630000000000001E-2</v>
      </c>
      <c r="H43" s="280">
        <v>3.2629999999999999E-2</v>
      </c>
      <c r="I43" s="280">
        <v>1.2630000000000001E-2</v>
      </c>
      <c r="J43" s="25"/>
      <c r="K43" s="25"/>
      <c r="L43" s="30"/>
      <c r="M43" s="30"/>
      <c r="N43" s="22"/>
      <c r="O43" s="14"/>
      <c r="P43" s="24"/>
      <c r="Q43" s="22"/>
      <c r="R43" s="22"/>
      <c r="S43" s="30"/>
      <c r="T43" s="30"/>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row>
    <row r="44" spans="1:54" s="7" customFormat="1" outlineLevel="1">
      <c r="A44" s="223">
        <v>43024</v>
      </c>
      <c r="B44" s="285">
        <v>2.2579999999999999E-2</v>
      </c>
      <c r="C44" s="2">
        <v>4142</v>
      </c>
      <c r="D44" s="2">
        <v>7890</v>
      </c>
      <c r="E44" s="31"/>
      <c r="F44" s="284">
        <v>43022</v>
      </c>
      <c r="G44" s="280">
        <v>2.2630000000000001E-2</v>
      </c>
      <c r="H44" s="280">
        <v>3.2629999999999999E-2</v>
      </c>
      <c r="I44" s="280">
        <v>1.2630000000000001E-2</v>
      </c>
      <c r="J44" s="25"/>
      <c r="K44" s="25"/>
      <c r="L44" s="30"/>
      <c r="M44" s="30"/>
      <c r="N44" s="22"/>
      <c r="O44" s="14"/>
      <c r="P44" s="24"/>
      <c r="Q44" s="22"/>
      <c r="R44" s="22"/>
      <c r="S44" s="30"/>
      <c r="T44" s="30"/>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row>
    <row r="45" spans="1:54" s="7" customFormat="1" outlineLevel="1">
      <c r="A45" s="223">
        <v>43025</v>
      </c>
      <c r="B45" s="285">
        <v>2.2499999999999999E-2</v>
      </c>
      <c r="C45" s="2">
        <v>2550</v>
      </c>
      <c r="D45" s="2">
        <v>6208</v>
      </c>
      <c r="E45" s="31"/>
      <c r="F45" s="284">
        <v>43023</v>
      </c>
      <c r="G45" s="280">
        <v>2.2630000000000001E-2</v>
      </c>
      <c r="H45" s="280">
        <v>3.2629999999999999E-2</v>
      </c>
      <c r="I45" s="280">
        <v>1.2630000000000001E-2</v>
      </c>
      <c r="J45" s="25"/>
      <c r="K45" s="25"/>
      <c r="L45" s="30"/>
      <c r="M45" s="30"/>
      <c r="N45" s="22"/>
      <c r="O45" s="14"/>
      <c r="P45" s="24"/>
      <c r="Q45" s="22"/>
      <c r="R45" s="22"/>
      <c r="S45" s="30"/>
      <c r="T45" s="30"/>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row>
    <row r="46" spans="1:54" s="7" customFormat="1" outlineLevel="1">
      <c r="A46" s="223">
        <v>43026</v>
      </c>
      <c r="B46" s="285">
        <v>2.2499999999999999E-2</v>
      </c>
      <c r="C46" s="2">
        <v>2575</v>
      </c>
      <c r="D46" s="2">
        <v>6233</v>
      </c>
      <c r="E46" s="31"/>
      <c r="F46" s="284">
        <v>43024</v>
      </c>
      <c r="G46" s="280">
        <v>2.2579999999999999E-2</v>
      </c>
      <c r="H46" s="280">
        <v>3.2579999999999998E-2</v>
      </c>
      <c r="I46" s="280">
        <v>1.2579999999999999E-2</v>
      </c>
      <c r="J46" s="25"/>
      <c r="K46" s="25"/>
      <c r="L46" s="30"/>
      <c r="M46" s="30"/>
      <c r="N46" s="22"/>
      <c r="O46" s="14"/>
      <c r="P46" s="24"/>
      <c r="Q46" s="22"/>
      <c r="R46" s="22"/>
      <c r="S46" s="30"/>
      <c r="T46" s="30"/>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row>
    <row r="47" spans="1:54" s="7" customFormat="1" outlineLevel="1">
      <c r="A47" s="223">
        <v>43027</v>
      </c>
      <c r="B47" s="285">
        <v>2.2509999999999999E-2</v>
      </c>
      <c r="C47" s="2">
        <v>4011</v>
      </c>
      <c r="D47" s="2">
        <v>8019</v>
      </c>
      <c r="E47" s="31"/>
      <c r="F47" s="284">
        <v>43025</v>
      </c>
      <c r="G47" s="280">
        <v>2.2499999999999999E-2</v>
      </c>
      <c r="H47" s="280">
        <v>3.2500000000000001E-2</v>
      </c>
      <c r="I47" s="280">
        <v>1.2500000000000001E-2</v>
      </c>
      <c r="J47" s="25"/>
      <c r="K47" s="25"/>
      <c r="L47" s="30"/>
      <c r="M47" s="30"/>
      <c r="N47" s="22"/>
      <c r="O47" s="14"/>
      <c r="P47" s="24"/>
      <c r="Q47" s="22"/>
      <c r="R47" s="22"/>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row>
    <row r="48" spans="1:54" s="7" customFormat="1" outlineLevel="1">
      <c r="A48" s="223">
        <v>43028</v>
      </c>
      <c r="B48" s="285">
        <v>2.2509999999999999E-2</v>
      </c>
      <c r="C48" s="2">
        <v>4509</v>
      </c>
      <c r="D48" s="2">
        <v>8517</v>
      </c>
      <c r="E48" s="31"/>
      <c r="F48" s="284">
        <v>43026</v>
      </c>
      <c r="G48" s="280">
        <v>2.2499999999999999E-2</v>
      </c>
      <c r="H48" s="280">
        <v>3.2500000000000001E-2</v>
      </c>
      <c r="I48" s="280">
        <v>1.2500000000000001E-2</v>
      </c>
      <c r="J48" s="25"/>
      <c r="K48" s="25"/>
      <c r="L48" s="30"/>
      <c r="M48" s="30"/>
      <c r="N48" s="22"/>
      <c r="O48" s="14"/>
      <c r="P48" s="24"/>
      <c r="Q48" s="22"/>
      <c r="R48" s="22"/>
      <c r="S48" s="30"/>
      <c r="T48" s="30"/>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row>
    <row r="49" spans="1:54" s="7" customFormat="1" outlineLevel="1">
      <c r="A49" s="223">
        <v>43029</v>
      </c>
      <c r="B49" s="285">
        <v>2.2509999999999999E-2</v>
      </c>
      <c r="C49" s="2" t="s">
        <v>8</v>
      </c>
      <c r="D49" s="2">
        <v>8517</v>
      </c>
      <c r="E49" s="31"/>
      <c r="F49" s="284">
        <v>43027</v>
      </c>
      <c r="G49" s="280">
        <v>2.2509999999999999E-2</v>
      </c>
      <c r="H49" s="280">
        <v>3.2509999999999997E-2</v>
      </c>
      <c r="I49" s="280">
        <v>1.251E-2</v>
      </c>
      <c r="J49" s="25"/>
      <c r="K49" s="25"/>
      <c r="L49" s="30"/>
      <c r="M49" s="30"/>
      <c r="N49" s="22"/>
      <c r="O49" s="14"/>
      <c r="P49" s="24"/>
      <c r="Q49" s="22"/>
      <c r="R49" s="22"/>
      <c r="S49" s="30"/>
      <c r="T49" s="30"/>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row>
    <row r="50" spans="1:54" s="7" customFormat="1" outlineLevel="1">
      <c r="A50" s="223">
        <v>43030</v>
      </c>
      <c r="B50" s="285">
        <v>2.2509999999999999E-2</v>
      </c>
      <c r="C50" s="2" t="s">
        <v>8</v>
      </c>
      <c r="D50" s="2">
        <v>8517</v>
      </c>
      <c r="E50" s="31"/>
      <c r="F50" s="284">
        <v>43028</v>
      </c>
      <c r="G50" s="280">
        <v>2.2509999999999999E-2</v>
      </c>
      <c r="H50" s="280">
        <v>3.2509999999999997E-2</v>
      </c>
      <c r="I50" s="280">
        <v>1.251E-2</v>
      </c>
      <c r="J50" s="25"/>
      <c r="K50" s="25"/>
      <c r="L50" s="30"/>
      <c r="M50" s="30"/>
      <c r="N50" s="22"/>
      <c r="O50" s="14"/>
      <c r="P50" s="24"/>
      <c r="Q50" s="22"/>
      <c r="R50" s="22"/>
      <c r="S50" s="30"/>
      <c r="T50" s="30"/>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row>
    <row r="51" spans="1:54" s="7" customFormat="1" outlineLevel="1">
      <c r="A51" s="223">
        <v>43031</v>
      </c>
      <c r="B51" s="285">
        <v>2.2749999999999999E-2</v>
      </c>
      <c r="C51" s="2">
        <v>4063</v>
      </c>
      <c r="D51" s="2">
        <v>9047</v>
      </c>
      <c r="E51" s="31"/>
      <c r="F51" s="284">
        <v>43029</v>
      </c>
      <c r="G51" s="280">
        <v>2.2509999999999999E-2</v>
      </c>
      <c r="H51" s="280">
        <v>3.2509999999999997E-2</v>
      </c>
      <c r="I51" s="280">
        <v>1.251E-2</v>
      </c>
      <c r="J51" s="25"/>
      <c r="K51" s="25"/>
      <c r="L51" s="30"/>
      <c r="M51" s="30"/>
      <c r="N51" s="22"/>
      <c r="O51" s="14"/>
      <c r="P51" s="24"/>
      <c r="Q51" s="22"/>
      <c r="R51" s="22"/>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row>
    <row r="52" spans="1:54" s="7" customFormat="1" outlineLevel="1">
      <c r="A52" s="223">
        <v>43032</v>
      </c>
      <c r="B52" s="285">
        <v>2.2720000000000001E-2</v>
      </c>
      <c r="C52" s="2">
        <v>4558</v>
      </c>
      <c r="D52" s="2">
        <v>9542</v>
      </c>
      <c r="E52" s="31"/>
      <c r="F52" s="284">
        <v>43030</v>
      </c>
      <c r="G52" s="280">
        <v>2.2509999999999999E-2</v>
      </c>
      <c r="H52" s="280">
        <v>3.2509999999999997E-2</v>
      </c>
      <c r="I52" s="280">
        <v>1.251E-2</v>
      </c>
      <c r="J52" s="25"/>
      <c r="K52" s="25"/>
      <c r="L52" s="30"/>
      <c r="M52" s="30"/>
      <c r="N52" s="22"/>
      <c r="O52" s="14"/>
      <c r="P52" s="24"/>
      <c r="Q52" s="22"/>
      <c r="R52" s="22"/>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row>
    <row r="53" spans="1:54" s="7" customFormat="1" outlineLevel="1">
      <c r="A53" s="223">
        <v>43033</v>
      </c>
      <c r="B53" s="285">
        <v>2.2890000000000001E-2</v>
      </c>
      <c r="C53" s="2">
        <v>6366</v>
      </c>
      <c r="D53" s="2">
        <v>11800</v>
      </c>
      <c r="E53" s="31"/>
      <c r="F53" s="284">
        <v>43031</v>
      </c>
      <c r="G53" s="280">
        <v>2.2749999999999999E-2</v>
      </c>
      <c r="H53" s="280">
        <v>3.2750000000000001E-2</v>
      </c>
      <c r="I53" s="280">
        <v>1.2749999999999999E-2</v>
      </c>
      <c r="J53" s="25"/>
      <c r="K53" s="25"/>
      <c r="L53" s="30"/>
      <c r="M53" s="30"/>
      <c r="N53" s="22"/>
      <c r="O53" s="14"/>
      <c r="P53" s="24"/>
      <c r="Q53" s="22"/>
      <c r="R53" s="22"/>
      <c r="S53" s="30"/>
      <c r="T53" s="30"/>
      <c r="U53" s="30"/>
      <c r="V53" s="30"/>
      <c r="W53" s="30"/>
      <c r="X53" s="30"/>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row>
    <row r="54" spans="1:54" s="7" customFormat="1" outlineLevel="1">
      <c r="A54" s="223">
        <v>43034</v>
      </c>
      <c r="B54" s="285">
        <v>2.282E-2</v>
      </c>
      <c r="C54" s="2">
        <v>4746</v>
      </c>
      <c r="D54" s="2">
        <v>10320</v>
      </c>
      <c r="E54" s="31"/>
      <c r="F54" s="284">
        <v>43032</v>
      </c>
      <c r="G54" s="280">
        <v>2.2720000000000001E-2</v>
      </c>
      <c r="H54" s="280">
        <v>3.2719999999999999E-2</v>
      </c>
      <c r="I54" s="280">
        <v>1.272E-2</v>
      </c>
      <c r="J54" s="25"/>
      <c r="K54" s="25"/>
      <c r="L54" s="30"/>
      <c r="M54" s="30"/>
      <c r="N54" s="22"/>
      <c r="O54" s="14"/>
      <c r="P54" s="24"/>
      <c r="Q54" s="22"/>
      <c r="R54" s="22"/>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row>
    <row r="55" spans="1:54" s="7" customFormat="1" outlineLevel="1">
      <c r="A55" s="223">
        <v>43035</v>
      </c>
      <c r="B55" s="285">
        <v>2.2870000000000001E-2</v>
      </c>
      <c r="C55" s="2">
        <v>3934</v>
      </c>
      <c r="D55" s="2">
        <v>9764</v>
      </c>
      <c r="E55" s="31"/>
      <c r="F55" s="284">
        <v>43033</v>
      </c>
      <c r="G55" s="280">
        <v>2.2890000000000001E-2</v>
      </c>
      <c r="H55" s="280">
        <v>3.2890000000000003E-2</v>
      </c>
      <c r="I55" s="280">
        <v>1.289E-2</v>
      </c>
      <c r="J55" s="25"/>
      <c r="K55" s="25"/>
      <c r="L55" s="30"/>
      <c r="M55" s="30"/>
      <c r="N55" s="22"/>
      <c r="O55" s="14"/>
      <c r="P55" s="24"/>
      <c r="Q55" s="22"/>
      <c r="R55" s="22"/>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row>
    <row r="56" spans="1:54" s="7" customFormat="1" outlineLevel="1">
      <c r="A56" s="223">
        <v>43036</v>
      </c>
      <c r="B56" s="285">
        <v>2.2870000000000001E-2</v>
      </c>
      <c r="C56" s="2" t="s">
        <v>8</v>
      </c>
      <c r="D56" s="2">
        <v>9764</v>
      </c>
      <c r="E56" s="31"/>
      <c r="F56" s="284">
        <v>43034</v>
      </c>
      <c r="G56" s="280">
        <v>2.282E-2</v>
      </c>
      <c r="H56" s="280">
        <v>3.2820000000000002E-2</v>
      </c>
      <c r="I56" s="280">
        <v>1.282E-2</v>
      </c>
      <c r="J56" s="25"/>
      <c r="K56" s="25"/>
      <c r="L56" s="30"/>
      <c r="M56" s="30"/>
      <c r="N56" s="22"/>
      <c r="O56" s="14"/>
      <c r="P56" s="24"/>
      <c r="Q56" s="22"/>
      <c r="R56" s="22"/>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row>
    <row r="57" spans="1:54" s="7" customFormat="1" outlineLevel="1">
      <c r="A57" s="223">
        <v>43037</v>
      </c>
      <c r="B57" s="285">
        <v>2.2870000000000001E-2</v>
      </c>
      <c r="C57" s="2" t="s">
        <v>8</v>
      </c>
      <c r="D57" s="2">
        <v>9764</v>
      </c>
      <c r="E57" s="31"/>
      <c r="F57" s="284">
        <v>43035</v>
      </c>
      <c r="G57" s="280">
        <v>2.2870000000000001E-2</v>
      </c>
      <c r="H57" s="280">
        <v>3.2870000000000003E-2</v>
      </c>
      <c r="I57" s="280">
        <v>1.2869999999999999E-2</v>
      </c>
      <c r="J57" s="25"/>
      <c r="K57" s="25"/>
      <c r="L57" s="30"/>
      <c r="M57" s="30"/>
      <c r="N57" s="22"/>
      <c r="O57" s="14"/>
      <c r="P57" s="24"/>
      <c r="Q57" s="22"/>
      <c r="R57" s="22"/>
      <c r="S57" s="30"/>
      <c r="T57" s="30"/>
      <c r="U57" s="9"/>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row>
    <row r="58" spans="1:54" s="7" customFormat="1" outlineLevel="1">
      <c r="A58" s="223">
        <v>43038</v>
      </c>
      <c r="B58" s="285">
        <v>2.2970000000000001E-2</v>
      </c>
      <c r="C58" s="2">
        <v>3752</v>
      </c>
      <c r="D58" s="2">
        <v>8982</v>
      </c>
      <c r="E58" s="31"/>
      <c r="F58" s="284">
        <v>43036</v>
      </c>
      <c r="G58" s="280">
        <v>2.2870000000000001E-2</v>
      </c>
      <c r="H58" s="280">
        <v>3.2870000000000003E-2</v>
      </c>
      <c r="I58" s="280">
        <v>1.2869999999999999E-2</v>
      </c>
      <c r="J58" s="25"/>
      <c r="K58" s="25"/>
      <c r="L58" s="30"/>
      <c r="M58" s="30"/>
      <c r="N58" s="22"/>
      <c r="O58" s="14"/>
      <c r="P58" s="24"/>
      <c r="Q58" s="22"/>
      <c r="R58" s="22"/>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row>
    <row r="59" spans="1:54" s="7" customFormat="1" outlineLevel="1">
      <c r="A59" s="223">
        <v>43039</v>
      </c>
      <c r="B59" s="285">
        <v>2.282E-2</v>
      </c>
      <c r="C59" s="2">
        <v>3393</v>
      </c>
      <c r="D59" s="2">
        <v>8623</v>
      </c>
      <c r="E59" s="31"/>
      <c r="F59" s="284">
        <v>43037</v>
      </c>
      <c r="G59" s="280">
        <v>2.2870000000000001E-2</v>
      </c>
      <c r="H59" s="280">
        <v>3.2870000000000003E-2</v>
      </c>
      <c r="I59" s="280">
        <v>1.2869999999999999E-2</v>
      </c>
      <c r="J59" s="25"/>
      <c r="K59" s="25"/>
      <c r="L59" s="30"/>
      <c r="M59" s="30"/>
      <c r="N59" s="22"/>
      <c r="O59" s="14"/>
      <c r="P59" s="24"/>
      <c r="Q59" s="22"/>
      <c r="R59" s="22"/>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row>
    <row r="60" spans="1:54" s="7" customFormat="1" outlineLevel="1">
      <c r="A60" s="223">
        <v>43040</v>
      </c>
      <c r="B60" s="285">
        <v>2.3050000000000001E-2</v>
      </c>
      <c r="C60" s="2">
        <v>5998</v>
      </c>
      <c r="D60" s="2">
        <v>11228</v>
      </c>
      <c r="E60" s="31"/>
      <c r="F60" s="284">
        <v>43038</v>
      </c>
      <c r="G60" s="280">
        <v>2.2970000000000001E-2</v>
      </c>
      <c r="H60" s="280">
        <v>3.2969999999999999E-2</v>
      </c>
      <c r="I60" s="280">
        <v>1.2970000000000001E-2</v>
      </c>
      <c r="J60" s="25"/>
      <c r="K60" s="25"/>
      <c r="L60" s="30"/>
      <c r="M60" s="30"/>
      <c r="N60" s="22"/>
      <c r="O60" s="14"/>
      <c r="P60" s="24"/>
      <c r="Q60" s="22"/>
      <c r="R60" s="22"/>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row>
    <row r="61" spans="1:54" s="7" customFormat="1" outlineLevel="1">
      <c r="A61" s="223">
        <v>43041</v>
      </c>
      <c r="B61" s="285">
        <v>2.3040000000000001E-2</v>
      </c>
      <c r="C61" s="2">
        <v>6332</v>
      </c>
      <c r="D61" s="2">
        <v>11062</v>
      </c>
      <c r="E61" s="31"/>
      <c r="F61" s="284">
        <v>43039</v>
      </c>
      <c r="G61" s="280">
        <v>2.282E-2</v>
      </c>
      <c r="H61" s="280">
        <v>3.2820000000000002E-2</v>
      </c>
      <c r="I61" s="280">
        <v>1.282E-2</v>
      </c>
      <c r="J61" s="25"/>
      <c r="K61" s="25"/>
      <c r="L61" s="30"/>
      <c r="M61" s="30"/>
      <c r="N61" s="22"/>
      <c r="O61" s="14"/>
      <c r="P61" s="24"/>
      <c r="Q61" s="22"/>
      <c r="R61" s="22"/>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row>
    <row r="62" spans="1:54" s="7" customFormat="1" outlineLevel="1">
      <c r="A62" s="223">
        <v>43042</v>
      </c>
      <c r="B62" s="285">
        <v>2.3349999999999999E-2</v>
      </c>
      <c r="C62" s="2">
        <v>4587</v>
      </c>
      <c r="D62" s="2">
        <v>9317</v>
      </c>
      <c r="E62" s="31"/>
      <c r="F62" s="284">
        <v>43040</v>
      </c>
      <c r="G62" s="280">
        <v>2.3050000000000001E-2</v>
      </c>
      <c r="H62" s="280">
        <v>3.3050000000000003E-2</v>
      </c>
      <c r="I62" s="280">
        <v>1.3050000000000001E-2</v>
      </c>
      <c r="J62" s="25"/>
      <c r="K62" s="25"/>
      <c r="L62" s="30"/>
      <c r="M62" s="30"/>
      <c r="N62" s="22"/>
      <c r="O62" s="14"/>
      <c r="P62" s="24"/>
      <c r="Q62" s="22"/>
      <c r="R62" s="22"/>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row>
    <row r="63" spans="1:54" s="7" customFormat="1" outlineLevel="1">
      <c r="A63" s="223">
        <v>43043</v>
      </c>
      <c r="B63" s="285">
        <v>2.3349999999999999E-2</v>
      </c>
      <c r="C63" s="2" t="s">
        <v>8</v>
      </c>
      <c r="D63" s="2">
        <v>9317</v>
      </c>
      <c r="E63" s="31"/>
      <c r="F63" s="284">
        <v>43041</v>
      </c>
      <c r="G63" s="280">
        <v>2.3040000000000001E-2</v>
      </c>
      <c r="H63" s="280">
        <v>3.304E-2</v>
      </c>
      <c r="I63" s="280">
        <v>1.304E-2</v>
      </c>
      <c r="J63" s="25"/>
      <c r="K63" s="25"/>
      <c r="L63" s="30"/>
      <c r="M63" s="30"/>
      <c r="N63" s="22"/>
      <c r="O63" s="14"/>
      <c r="P63" s="24"/>
      <c r="Q63" s="22"/>
      <c r="R63" s="22"/>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row>
    <row r="64" spans="1:54" s="7" customFormat="1" outlineLevel="1">
      <c r="A64" s="223">
        <v>43044</v>
      </c>
      <c r="B64" s="285">
        <v>2.3349999999999999E-2</v>
      </c>
      <c r="C64" s="2" t="s">
        <v>8</v>
      </c>
      <c r="D64" s="2">
        <v>9317</v>
      </c>
      <c r="E64" s="31"/>
      <c r="F64" s="284">
        <v>43042</v>
      </c>
      <c r="G64" s="280">
        <v>2.3349999999999999E-2</v>
      </c>
      <c r="H64" s="280">
        <v>3.3349999999999998E-2</v>
      </c>
      <c r="I64" s="280">
        <v>1.3350000000000001E-2</v>
      </c>
      <c r="J64" s="25"/>
      <c r="K64" s="25"/>
      <c r="L64" s="30"/>
      <c r="M64" s="30"/>
      <c r="N64" s="22"/>
      <c r="O64" s="14"/>
      <c r="P64" s="24"/>
      <c r="Q64" s="22"/>
      <c r="R64" s="22"/>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row>
    <row r="65" spans="1:54" s="7" customFormat="1" outlineLevel="1">
      <c r="A65" s="223">
        <v>43045</v>
      </c>
      <c r="B65" s="285">
        <v>2.3349999999999999E-2</v>
      </c>
      <c r="C65" s="2" t="s">
        <v>8</v>
      </c>
      <c r="D65" s="2">
        <v>9317</v>
      </c>
      <c r="E65" s="31"/>
      <c r="F65" s="284">
        <v>43043</v>
      </c>
      <c r="G65" s="280">
        <v>2.3349999999999999E-2</v>
      </c>
      <c r="H65" s="280">
        <v>3.3349999999999998E-2</v>
      </c>
      <c r="I65" s="280">
        <v>1.3350000000000001E-2</v>
      </c>
      <c r="J65" s="25"/>
      <c r="K65" s="25"/>
      <c r="L65" s="30"/>
      <c r="M65" s="30"/>
      <c r="N65" s="22"/>
      <c r="O65" s="14"/>
      <c r="P65" s="24"/>
      <c r="Q65" s="22"/>
      <c r="R65" s="22"/>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row>
    <row r="66" spans="1:54" s="7" customFormat="1" outlineLevel="1">
      <c r="A66" s="223">
        <v>43046</v>
      </c>
      <c r="B66" s="285">
        <v>2.2849999999999999E-2</v>
      </c>
      <c r="C66" s="2">
        <v>2650</v>
      </c>
      <c r="D66" s="2">
        <v>7830</v>
      </c>
      <c r="E66" s="31"/>
      <c r="F66" s="284">
        <v>43044</v>
      </c>
      <c r="G66" s="280">
        <v>2.3349999999999999E-2</v>
      </c>
      <c r="H66" s="280">
        <v>3.3349999999999998E-2</v>
      </c>
      <c r="I66" s="280">
        <v>1.3350000000000001E-2</v>
      </c>
      <c r="J66" s="25"/>
      <c r="K66" s="25"/>
      <c r="L66" s="30"/>
      <c r="M66" s="30"/>
      <c r="N66" s="22"/>
      <c r="O66" s="14"/>
      <c r="P66" s="24"/>
      <c r="Q66" s="22"/>
      <c r="R66" s="22"/>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row>
    <row r="67" spans="1:54" s="7" customFormat="1" outlineLevel="1">
      <c r="A67" s="223">
        <v>43047</v>
      </c>
      <c r="B67" s="285">
        <v>2.2870000000000001E-2</v>
      </c>
      <c r="C67" s="2">
        <v>2514</v>
      </c>
      <c r="D67" s="2">
        <v>7694</v>
      </c>
      <c r="E67" s="31"/>
      <c r="F67" s="284">
        <v>43045</v>
      </c>
      <c r="G67" s="280">
        <v>2.3349999999999999E-2</v>
      </c>
      <c r="H67" s="280">
        <v>3.3349999999999998E-2</v>
      </c>
      <c r="I67" s="280">
        <v>1.3350000000000001E-2</v>
      </c>
      <c r="J67" s="25"/>
      <c r="K67" s="25"/>
      <c r="L67" s="30"/>
      <c r="M67" s="30"/>
      <c r="N67" s="22"/>
      <c r="O67" s="14"/>
      <c r="P67" s="24"/>
      <c r="Q67" s="22"/>
      <c r="R67" s="22"/>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row>
    <row r="68" spans="1:54" s="7" customFormat="1" outlineLevel="1">
      <c r="A68" s="223">
        <v>43048</v>
      </c>
      <c r="B68" s="285">
        <v>2.273E-2</v>
      </c>
      <c r="C68" s="2">
        <v>3326</v>
      </c>
      <c r="D68" s="2">
        <v>7666</v>
      </c>
      <c r="E68" s="31"/>
      <c r="F68" s="284">
        <v>43046</v>
      </c>
      <c r="G68" s="280">
        <v>2.2849999999999999E-2</v>
      </c>
      <c r="H68" s="280">
        <v>3.2849999999999997E-2</v>
      </c>
      <c r="I68" s="280">
        <v>1.285E-2</v>
      </c>
      <c r="J68" s="25"/>
      <c r="K68" s="25"/>
      <c r="L68" s="30"/>
      <c r="M68" s="30"/>
      <c r="N68" s="22"/>
      <c r="O68" s="14"/>
      <c r="P68" s="24"/>
      <c r="Q68" s="22"/>
      <c r="R68" s="22"/>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row>
    <row r="69" spans="1:54" s="7" customFormat="1" outlineLevel="1">
      <c r="A69" s="223">
        <v>43049</v>
      </c>
      <c r="B69" s="285">
        <v>2.2669999999999999E-2</v>
      </c>
      <c r="C69" s="2">
        <v>3336</v>
      </c>
      <c r="D69" s="2">
        <v>7676</v>
      </c>
      <c r="E69" s="31"/>
      <c r="F69" s="284">
        <v>43047</v>
      </c>
      <c r="G69" s="280">
        <v>2.2870000000000001E-2</v>
      </c>
      <c r="H69" s="280">
        <v>3.2870000000000003E-2</v>
      </c>
      <c r="I69" s="280">
        <v>1.2869999999999999E-2</v>
      </c>
      <c r="J69" s="25"/>
      <c r="K69" s="25"/>
      <c r="L69" s="30"/>
      <c r="M69" s="30"/>
      <c r="N69" s="22"/>
      <c r="O69" s="14"/>
      <c r="P69" s="24"/>
      <c r="Q69" s="22"/>
      <c r="R69" s="22"/>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row>
    <row r="70" spans="1:54" s="7" customFormat="1" outlineLevel="1">
      <c r="A70" s="223">
        <v>43050</v>
      </c>
      <c r="B70" s="285">
        <v>2.2669999999999999E-2</v>
      </c>
      <c r="C70" s="2" t="s">
        <v>8</v>
      </c>
      <c r="D70" s="2">
        <v>7676</v>
      </c>
      <c r="E70" s="31"/>
      <c r="F70" s="284">
        <v>43048</v>
      </c>
      <c r="G70" s="280">
        <v>2.273E-2</v>
      </c>
      <c r="H70" s="280">
        <v>3.2730000000000002E-2</v>
      </c>
      <c r="I70" s="280">
        <v>1.273E-2</v>
      </c>
      <c r="J70" s="25"/>
      <c r="K70" s="25"/>
      <c r="L70" s="30"/>
      <c r="M70" s="30"/>
      <c r="N70" s="22"/>
      <c r="O70" s="14"/>
      <c r="P70" s="24"/>
      <c r="Q70" s="22"/>
      <c r="R70" s="22"/>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row>
    <row r="71" spans="1:54" s="7" customFormat="1" outlineLevel="1">
      <c r="A71" s="223">
        <v>43051</v>
      </c>
      <c r="B71" s="285">
        <v>2.2669999999999999E-2</v>
      </c>
      <c r="C71" s="2" t="s">
        <v>8</v>
      </c>
      <c r="D71" s="2">
        <v>7676</v>
      </c>
      <c r="E71" s="31"/>
      <c r="F71" s="284">
        <v>43049</v>
      </c>
      <c r="G71" s="280">
        <v>2.2669999999999999E-2</v>
      </c>
      <c r="H71" s="280">
        <v>3.2669999999999998E-2</v>
      </c>
      <c r="I71" s="280">
        <v>1.2670000000000001E-2</v>
      </c>
      <c r="J71" s="25"/>
      <c r="K71" s="25"/>
      <c r="L71" s="30"/>
      <c r="M71" s="30"/>
      <c r="N71" s="22"/>
      <c r="O71" s="14"/>
      <c r="P71" s="24"/>
      <c r="Q71" s="22"/>
      <c r="R71" s="22"/>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row>
    <row r="72" spans="1:54" s="7" customFormat="1" outlineLevel="1">
      <c r="A72" s="223">
        <v>43052</v>
      </c>
      <c r="B72" s="285">
        <v>2.2499999999999999E-2</v>
      </c>
      <c r="C72" s="2">
        <v>3529</v>
      </c>
      <c r="D72" s="2">
        <v>8419</v>
      </c>
      <c r="E72" s="31"/>
      <c r="F72" s="284">
        <v>43050</v>
      </c>
      <c r="G72" s="280">
        <v>2.2669999999999999E-2</v>
      </c>
      <c r="H72" s="280">
        <v>3.2669999999999998E-2</v>
      </c>
      <c r="I72" s="280">
        <v>1.2670000000000001E-2</v>
      </c>
      <c r="J72" s="25"/>
      <c r="K72" s="25"/>
      <c r="L72" s="30"/>
      <c r="M72" s="30"/>
      <c r="N72" s="22"/>
      <c r="O72" s="14"/>
      <c r="P72" s="24"/>
      <c r="Q72" s="22"/>
      <c r="R72" s="22"/>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row>
    <row r="73" spans="1:54" s="7" customFormat="1" outlineLevel="1">
      <c r="A73" s="223">
        <v>43053</v>
      </c>
      <c r="B73" s="285">
        <v>2.2499999999999999E-2</v>
      </c>
      <c r="C73" s="2">
        <v>2922</v>
      </c>
      <c r="D73" s="2">
        <v>8087</v>
      </c>
      <c r="E73" s="31"/>
      <c r="F73" s="284">
        <v>43051</v>
      </c>
      <c r="G73" s="280">
        <v>2.2669999999999999E-2</v>
      </c>
      <c r="H73" s="280">
        <v>3.2669999999999998E-2</v>
      </c>
      <c r="I73" s="280">
        <v>1.2670000000000001E-2</v>
      </c>
      <c r="J73" s="25"/>
      <c r="K73" s="25"/>
      <c r="L73" s="30"/>
      <c r="M73" s="30"/>
      <c r="N73" s="22"/>
      <c r="O73" s="14"/>
      <c r="P73" s="24"/>
      <c r="Q73" s="22"/>
      <c r="R73" s="22"/>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row>
    <row r="74" spans="1:54" s="7" customFormat="1" outlineLevel="1">
      <c r="A74" s="223">
        <v>43054</v>
      </c>
      <c r="B74" s="285">
        <v>2.2530000000000001E-2</v>
      </c>
      <c r="C74" s="2">
        <v>3533</v>
      </c>
      <c r="D74" s="2">
        <v>8898</v>
      </c>
      <c r="E74" s="31"/>
      <c r="F74" s="284">
        <v>43052</v>
      </c>
      <c r="G74" s="280">
        <v>2.2499999999999999E-2</v>
      </c>
      <c r="H74" s="280">
        <v>3.2500000000000001E-2</v>
      </c>
      <c r="I74" s="280">
        <v>1.2500000000000001E-2</v>
      </c>
      <c r="J74" s="25"/>
      <c r="K74" s="25"/>
      <c r="L74" s="30"/>
      <c r="M74" s="30"/>
      <c r="N74" s="22"/>
      <c r="O74" s="14"/>
      <c r="P74" s="24"/>
      <c r="Q74" s="22"/>
      <c r="R74" s="22"/>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row>
    <row r="75" spans="1:54" s="7" customFormat="1" outlineLevel="1">
      <c r="A75" s="223">
        <v>43055</v>
      </c>
      <c r="B75" s="285">
        <v>2.2509999999999999E-2</v>
      </c>
      <c r="C75" s="2">
        <v>4529</v>
      </c>
      <c r="D75" s="2">
        <v>8794</v>
      </c>
      <c r="E75" s="31"/>
      <c r="F75" s="284">
        <v>43053</v>
      </c>
      <c r="G75" s="280">
        <v>2.2499999999999999E-2</v>
      </c>
      <c r="H75" s="280">
        <v>3.2500000000000001E-2</v>
      </c>
      <c r="I75" s="280">
        <v>1.2500000000000001E-2</v>
      </c>
      <c r="J75" s="25"/>
      <c r="K75" s="25"/>
      <c r="L75" s="30"/>
      <c r="M75" s="30"/>
      <c r="N75" s="22"/>
      <c r="O75" s="14"/>
      <c r="P75" s="24"/>
      <c r="Q75" s="22"/>
      <c r="R75" s="22"/>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row>
    <row r="76" spans="1:54" s="7" customFormat="1" outlineLevel="1">
      <c r="A76" s="223">
        <v>43056</v>
      </c>
      <c r="B76" s="285">
        <v>2.2610000000000002E-2</v>
      </c>
      <c r="C76" s="2">
        <v>3831</v>
      </c>
      <c r="D76" s="2">
        <v>8096</v>
      </c>
      <c r="E76" s="31"/>
      <c r="F76" s="284">
        <v>43054</v>
      </c>
      <c r="G76" s="280">
        <v>2.2530000000000001E-2</v>
      </c>
      <c r="H76" s="280">
        <v>3.2530000000000003E-2</v>
      </c>
      <c r="I76" s="280">
        <v>1.2529999999999999E-2</v>
      </c>
      <c r="J76" s="25"/>
      <c r="K76" s="25"/>
      <c r="L76" s="30"/>
      <c r="M76" s="30"/>
      <c r="N76" s="22"/>
      <c r="O76" s="14"/>
      <c r="P76" s="24"/>
      <c r="Q76" s="22"/>
      <c r="R76" s="22"/>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row>
    <row r="77" spans="1:54" s="7" customFormat="1" outlineLevel="1">
      <c r="A77" s="223">
        <v>43057</v>
      </c>
      <c r="B77" s="285">
        <v>2.2610000000000002E-2</v>
      </c>
      <c r="C77" s="2" t="s">
        <v>8</v>
      </c>
      <c r="D77" s="2">
        <v>8096</v>
      </c>
      <c r="E77" s="31"/>
      <c r="F77" s="284">
        <v>43055</v>
      </c>
      <c r="G77" s="280">
        <v>2.2509999999999999E-2</v>
      </c>
      <c r="H77" s="280">
        <v>3.2509999999999997E-2</v>
      </c>
      <c r="I77" s="280">
        <v>1.251E-2</v>
      </c>
      <c r="J77" s="25"/>
      <c r="K77" s="25"/>
      <c r="L77" s="30"/>
      <c r="M77" s="30"/>
      <c r="N77" s="22"/>
      <c r="O77" s="14"/>
      <c r="P77" s="24"/>
      <c r="Q77" s="22"/>
      <c r="R77" s="22"/>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row>
    <row r="78" spans="1:54" s="7" customFormat="1" outlineLevel="1">
      <c r="A78" s="223">
        <v>43058</v>
      </c>
      <c r="B78" s="285">
        <v>2.2610000000000002E-2</v>
      </c>
      <c r="C78" s="2" t="s">
        <v>8</v>
      </c>
      <c r="D78" s="2">
        <v>8096</v>
      </c>
      <c r="E78" s="31"/>
      <c r="F78" s="284">
        <v>43056</v>
      </c>
      <c r="G78" s="280">
        <v>2.2610000000000002E-2</v>
      </c>
      <c r="H78" s="280">
        <v>3.261E-2</v>
      </c>
      <c r="I78" s="280">
        <v>1.261E-2</v>
      </c>
      <c r="J78" s="25"/>
      <c r="K78" s="25"/>
      <c r="L78" s="30"/>
      <c r="M78" s="30"/>
      <c r="N78" s="22"/>
      <c r="O78" s="14"/>
      <c r="P78" s="24"/>
      <c r="Q78" s="22"/>
      <c r="R78" s="22"/>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row>
    <row r="79" spans="1:54" s="7" customFormat="1" outlineLevel="1">
      <c r="A79" s="223">
        <v>43059</v>
      </c>
      <c r="B79" s="285">
        <v>2.2499999999999999E-2</v>
      </c>
      <c r="C79" s="2">
        <v>2937</v>
      </c>
      <c r="D79" s="2">
        <v>7202</v>
      </c>
      <c r="E79" s="31"/>
      <c r="F79" s="284">
        <v>43057</v>
      </c>
      <c r="G79" s="280">
        <v>2.2610000000000002E-2</v>
      </c>
      <c r="H79" s="280">
        <v>3.261E-2</v>
      </c>
      <c r="I79" s="280">
        <v>1.261E-2</v>
      </c>
      <c r="J79" s="25"/>
      <c r="K79" s="25"/>
      <c r="L79" s="30"/>
      <c r="M79" s="30"/>
      <c r="N79" s="22"/>
      <c r="O79" s="14"/>
      <c r="P79" s="24"/>
      <c r="Q79" s="22"/>
      <c r="R79" s="22"/>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row>
    <row r="80" spans="1:54" s="7" customFormat="1" outlineLevel="1">
      <c r="A80" s="223">
        <v>43060</v>
      </c>
      <c r="B80" s="285">
        <v>2.2499999999999999E-2</v>
      </c>
      <c r="C80" s="2">
        <v>2953</v>
      </c>
      <c r="D80" s="2">
        <v>7218</v>
      </c>
      <c r="E80" s="31"/>
      <c r="F80" s="284">
        <v>43058</v>
      </c>
      <c r="G80" s="280">
        <v>2.2610000000000002E-2</v>
      </c>
      <c r="H80" s="280">
        <v>3.261E-2</v>
      </c>
      <c r="I80" s="280">
        <v>1.261E-2</v>
      </c>
      <c r="J80" s="25"/>
      <c r="K80" s="25"/>
      <c r="L80" s="30"/>
      <c r="M80" s="30"/>
      <c r="N80" s="22"/>
      <c r="O80" s="14"/>
      <c r="P80" s="24"/>
      <c r="Q80" s="22"/>
      <c r="R80" s="22"/>
      <c r="S80" s="30"/>
      <c r="T80" s="30"/>
      <c r="U80" s="30"/>
      <c r="V80" s="30"/>
      <c r="W80" s="30"/>
      <c r="X80" s="30"/>
      <c r="Y80" s="30"/>
      <c r="Z80" s="30"/>
      <c r="AA80" s="30"/>
      <c r="AB80" s="30"/>
      <c r="AC80" s="30"/>
      <c r="AD80" s="30"/>
      <c r="AE80" s="30"/>
      <c r="AF80" s="30"/>
      <c r="AG80" s="30"/>
      <c r="AH80" s="30"/>
      <c r="AI80" s="30"/>
      <c r="AJ80" s="30"/>
      <c r="AK80" s="30"/>
      <c r="AL80" s="30"/>
      <c r="AM80" s="30"/>
      <c r="AN80" s="30"/>
      <c r="AO80" s="30"/>
      <c r="AP80" s="30"/>
      <c r="AQ80" s="30"/>
      <c r="AR80" s="30"/>
      <c r="AS80" s="30"/>
      <c r="AT80" s="30"/>
      <c r="AU80" s="30"/>
      <c r="AV80" s="30"/>
      <c r="AW80" s="30"/>
      <c r="AX80" s="30"/>
      <c r="AY80" s="30"/>
      <c r="AZ80" s="30"/>
      <c r="BA80" s="30"/>
      <c r="BB80" s="30"/>
    </row>
    <row r="81" spans="1:65" s="7" customFormat="1" outlineLevel="1">
      <c r="A81" s="223">
        <v>43061</v>
      </c>
      <c r="B81" s="285">
        <v>2.2499999999999999E-2</v>
      </c>
      <c r="C81" s="2">
        <v>2411</v>
      </c>
      <c r="D81" s="2">
        <v>6676</v>
      </c>
      <c r="E81" s="31"/>
      <c r="F81" s="284">
        <v>43059</v>
      </c>
      <c r="G81" s="280">
        <v>2.2499999999999999E-2</v>
      </c>
      <c r="H81" s="280">
        <v>3.2500000000000001E-2</v>
      </c>
      <c r="I81" s="280">
        <v>1.2500000000000001E-2</v>
      </c>
      <c r="J81" s="25"/>
      <c r="K81" s="25"/>
      <c r="L81" s="30"/>
      <c r="M81" s="30"/>
      <c r="N81" s="22"/>
      <c r="O81" s="14"/>
      <c r="P81" s="24"/>
      <c r="Q81" s="22"/>
      <c r="R81" s="22"/>
      <c r="S81" s="30"/>
      <c r="T81" s="30"/>
      <c r="U81" s="30"/>
      <c r="V81" s="30"/>
      <c r="W81" s="30"/>
      <c r="X81" s="30"/>
      <c r="Y81" s="30"/>
      <c r="Z81" s="30"/>
      <c r="AA81" s="30"/>
      <c r="AB81" s="30"/>
      <c r="AC81" s="30"/>
      <c r="AD81" s="30"/>
      <c r="AE81" s="30"/>
      <c r="AF81" s="30"/>
      <c r="AG81" s="30"/>
      <c r="AH81" s="30"/>
      <c r="AI81" s="30"/>
      <c r="AJ81" s="30"/>
      <c r="AK81" s="30"/>
      <c r="AL81" s="30"/>
      <c r="AM81" s="30"/>
      <c r="AN81" s="30"/>
      <c r="AO81" s="30"/>
      <c r="AP81" s="30"/>
      <c r="AQ81" s="30"/>
      <c r="AR81" s="30"/>
      <c r="AS81" s="30"/>
      <c r="AT81" s="30"/>
      <c r="AU81" s="30"/>
      <c r="AV81" s="30"/>
      <c r="AW81" s="30"/>
      <c r="AX81" s="30"/>
      <c r="AY81" s="30"/>
      <c r="AZ81" s="30"/>
      <c r="BA81" s="30"/>
      <c r="BB81" s="30"/>
    </row>
    <row r="82" spans="1:65" outlineLevel="1">
      <c r="A82" s="223">
        <v>43062</v>
      </c>
      <c r="B82" s="285">
        <v>2.256E-2</v>
      </c>
      <c r="C82" s="2">
        <v>2954</v>
      </c>
      <c r="D82" s="2">
        <v>8339</v>
      </c>
      <c r="E82" s="31"/>
      <c r="F82" s="284">
        <v>43060</v>
      </c>
      <c r="G82" s="280">
        <v>2.2499999999999999E-2</v>
      </c>
      <c r="H82" s="280">
        <v>3.2500000000000001E-2</v>
      </c>
      <c r="I82" s="280">
        <v>1.2500000000000001E-2</v>
      </c>
      <c r="J82" s="25"/>
      <c r="K82" s="25"/>
      <c r="N82" s="22"/>
      <c r="O82" s="14"/>
      <c r="P82" s="24"/>
      <c r="Q82" s="22"/>
      <c r="R82" s="22"/>
      <c r="U82" s="30"/>
      <c r="V82" s="30"/>
      <c r="W82" s="30"/>
      <c r="X82" s="30"/>
      <c r="Y82" s="30"/>
      <c r="Z82" s="30"/>
      <c r="AA82" s="30"/>
      <c r="AB82" s="30"/>
      <c r="AD82" s="30"/>
      <c r="AE82" s="30"/>
      <c r="AF82" s="30"/>
      <c r="AG82" s="30"/>
      <c r="AH82" s="30"/>
      <c r="AI82" s="30"/>
      <c r="AJ82" s="30"/>
      <c r="AK82" s="30"/>
      <c r="AL82" s="30"/>
      <c r="AM82" s="30"/>
      <c r="AN82" s="30"/>
      <c r="AO82" s="30"/>
      <c r="AP82" s="30"/>
      <c r="AQ82" s="30"/>
      <c r="AR82" s="30"/>
      <c r="AS82" s="30"/>
      <c r="AT82" s="30"/>
      <c r="AU82" s="30"/>
      <c r="AV82" s="30"/>
      <c r="AW82" s="30"/>
      <c r="AX82" s="30"/>
      <c r="AY82" s="30"/>
      <c r="AZ82" s="30"/>
      <c r="BA82" s="30"/>
      <c r="BB82" s="30"/>
      <c r="BC82" s="7"/>
      <c r="BD82" s="7"/>
      <c r="BE82" s="7"/>
      <c r="BF82" s="7"/>
      <c r="BG82" s="7"/>
      <c r="BH82" s="7"/>
      <c r="BI82" s="7"/>
      <c r="BJ82" s="7"/>
      <c r="BK82" s="7"/>
      <c r="BL82" s="7"/>
      <c r="BM82" s="7"/>
    </row>
    <row r="83" spans="1:65" outlineLevel="1">
      <c r="A83" s="223">
        <v>43063</v>
      </c>
      <c r="B83" s="285">
        <v>2.2630000000000001E-2</v>
      </c>
      <c r="C83" s="2">
        <v>3189</v>
      </c>
      <c r="D83" s="2">
        <v>8574</v>
      </c>
      <c r="E83" s="31"/>
      <c r="F83" s="284">
        <v>43061</v>
      </c>
      <c r="G83" s="280">
        <v>2.2499999999999999E-2</v>
      </c>
      <c r="H83" s="280">
        <v>3.2500000000000001E-2</v>
      </c>
      <c r="I83" s="280">
        <v>1.2500000000000001E-2</v>
      </c>
      <c r="J83" s="25"/>
      <c r="K83" s="25"/>
      <c r="N83" s="22"/>
      <c r="O83" s="14"/>
      <c r="P83" s="24"/>
      <c r="Q83" s="22"/>
      <c r="R83" s="22"/>
      <c r="U83" s="30"/>
      <c r="V83" s="30"/>
      <c r="W83" s="30"/>
      <c r="X83" s="30"/>
      <c r="Y83" s="30"/>
      <c r="Z83" s="30"/>
      <c r="AA83" s="30"/>
      <c r="AB83" s="30"/>
      <c r="AD83" s="30"/>
      <c r="AE83" s="30"/>
      <c r="AF83" s="30"/>
      <c r="AG83" s="30"/>
      <c r="AH83" s="30"/>
      <c r="AI83" s="30"/>
      <c r="AJ83" s="30"/>
      <c r="AK83" s="30"/>
      <c r="AL83" s="30"/>
      <c r="AM83" s="30"/>
      <c r="AN83" s="30"/>
      <c r="AO83" s="30"/>
      <c r="AP83" s="30"/>
      <c r="AQ83" s="30"/>
      <c r="AR83" s="30"/>
      <c r="AS83" s="30"/>
      <c r="AT83" s="30"/>
      <c r="AU83" s="30"/>
      <c r="AV83" s="30"/>
      <c r="AW83" s="30"/>
      <c r="AX83" s="30"/>
      <c r="AY83" s="30"/>
      <c r="AZ83" s="30"/>
      <c r="BA83" s="30"/>
      <c r="BB83" s="30"/>
      <c r="BC83" s="7"/>
      <c r="BD83" s="7"/>
      <c r="BE83" s="7"/>
      <c r="BF83" s="7"/>
      <c r="BG83" s="7"/>
      <c r="BH83" s="7"/>
      <c r="BI83" s="7"/>
      <c r="BJ83" s="7"/>
      <c r="BK83" s="7"/>
      <c r="BL83" s="7"/>
      <c r="BM83" s="7"/>
    </row>
    <row r="84" spans="1:65" outlineLevel="1">
      <c r="A84" s="223">
        <v>43064</v>
      </c>
      <c r="B84" s="285">
        <v>2.2630000000000001E-2</v>
      </c>
      <c r="C84" s="2" t="s">
        <v>8</v>
      </c>
      <c r="D84" s="2">
        <v>8574</v>
      </c>
      <c r="E84" s="31"/>
      <c r="F84" s="284">
        <v>43062</v>
      </c>
      <c r="G84" s="280">
        <v>2.256E-2</v>
      </c>
      <c r="H84" s="280">
        <v>3.2559999999999999E-2</v>
      </c>
      <c r="I84" s="280">
        <v>1.256E-2</v>
      </c>
      <c r="J84" s="25"/>
      <c r="K84" s="25"/>
      <c r="N84" s="22"/>
      <c r="O84" s="14"/>
      <c r="P84" s="24"/>
      <c r="Q84" s="22"/>
      <c r="R84" s="22"/>
      <c r="U84" s="30"/>
      <c r="V84" s="30"/>
      <c r="W84" s="30"/>
      <c r="X84" s="30"/>
      <c r="Y84" s="30"/>
      <c r="Z84" s="30"/>
      <c r="AA84" s="30"/>
      <c r="AB84" s="30"/>
      <c r="AD84" s="30"/>
      <c r="AE84" s="30"/>
      <c r="AF84" s="30"/>
      <c r="AG84" s="30"/>
      <c r="AH84" s="30"/>
      <c r="AI84" s="30"/>
      <c r="AJ84" s="30"/>
      <c r="AK84" s="30"/>
      <c r="AL84" s="30"/>
      <c r="AM84" s="30"/>
      <c r="AN84" s="30"/>
      <c r="AO84" s="30"/>
      <c r="AP84" s="30"/>
      <c r="AQ84" s="30"/>
      <c r="AR84" s="30"/>
      <c r="AS84" s="30"/>
      <c r="AT84" s="30"/>
      <c r="AU84" s="30"/>
      <c r="AV84" s="30"/>
      <c r="AW84" s="30"/>
      <c r="AX84" s="30"/>
      <c r="AY84" s="30"/>
      <c r="AZ84" s="30"/>
      <c r="BA84" s="30"/>
      <c r="BB84" s="30"/>
      <c r="BC84" s="7"/>
      <c r="BD84" s="7"/>
      <c r="BE84" s="7"/>
      <c r="BF84" s="7"/>
      <c r="BG84" s="7"/>
      <c r="BH84" s="7"/>
      <c r="BI84" s="7"/>
      <c r="BJ84" s="7"/>
      <c r="BK84" s="7"/>
      <c r="BL84" s="7"/>
      <c r="BM84" s="7"/>
    </row>
    <row r="85" spans="1:65" outlineLevel="1">
      <c r="A85" s="223">
        <v>43065</v>
      </c>
      <c r="B85" s="285">
        <v>2.2630000000000001E-2</v>
      </c>
      <c r="C85" s="2" t="s">
        <v>8</v>
      </c>
      <c r="D85" s="2">
        <v>8574</v>
      </c>
      <c r="E85" s="31"/>
      <c r="F85" s="284">
        <v>43063</v>
      </c>
      <c r="G85" s="280">
        <v>2.2630000000000001E-2</v>
      </c>
      <c r="H85" s="280">
        <v>3.2629999999999999E-2</v>
      </c>
      <c r="I85" s="280">
        <v>1.2630000000000001E-2</v>
      </c>
      <c r="J85" s="25"/>
      <c r="K85" s="25"/>
      <c r="N85" s="22"/>
      <c r="O85" s="14"/>
      <c r="P85" s="24"/>
      <c r="Q85" s="22"/>
      <c r="R85" s="22"/>
      <c r="U85" s="30"/>
      <c r="V85" s="30"/>
      <c r="W85" s="30"/>
      <c r="X85" s="30"/>
      <c r="Y85" s="30"/>
      <c r="Z85" s="30"/>
      <c r="AA85" s="30"/>
      <c r="AB85" s="30"/>
      <c r="AD85" s="30"/>
      <c r="AE85" s="30"/>
      <c r="AF85" s="30"/>
      <c r="AG85" s="30"/>
      <c r="AH85" s="30"/>
      <c r="AI85" s="30"/>
      <c r="AJ85" s="30"/>
      <c r="AK85" s="30"/>
      <c r="AL85" s="30"/>
      <c r="AM85" s="30"/>
      <c r="AN85" s="30"/>
      <c r="AO85" s="30"/>
      <c r="AP85" s="30"/>
      <c r="AQ85" s="30"/>
      <c r="AR85" s="30"/>
      <c r="AS85" s="30"/>
      <c r="AT85" s="30"/>
      <c r="AU85" s="30"/>
      <c r="AV85" s="30"/>
      <c r="AW85" s="30"/>
      <c r="AX85" s="30"/>
      <c r="AY85" s="30"/>
      <c r="AZ85" s="30"/>
      <c r="BA85" s="30"/>
      <c r="BB85" s="30"/>
      <c r="BC85" s="7"/>
      <c r="BD85" s="7"/>
      <c r="BE85" s="7"/>
      <c r="BF85" s="7"/>
      <c r="BG85" s="7"/>
      <c r="BH85" s="7"/>
      <c r="BI85" s="7"/>
      <c r="BJ85" s="7"/>
      <c r="BK85" s="7"/>
      <c r="BL85" s="7"/>
      <c r="BM85" s="7"/>
    </row>
    <row r="86" spans="1:65" outlineLevel="1">
      <c r="A86" s="223">
        <v>43066</v>
      </c>
      <c r="B86" s="285">
        <v>2.2589999999999999E-2</v>
      </c>
      <c r="C86" s="2">
        <v>3240</v>
      </c>
      <c r="D86" s="2">
        <v>8625</v>
      </c>
      <c r="E86" s="31"/>
      <c r="F86" s="284">
        <v>43064</v>
      </c>
      <c r="G86" s="280">
        <v>2.2630000000000001E-2</v>
      </c>
      <c r="H86" s="280">
        <v>3.2629999999999999E-2</v>
      </c>
      <c r="I86" s="280">
        <v>1.2630000000000001E-2</v>
      </c>
      <c r="J86" s="25"/>
      <c r="K86" s="25"/>
      <c r="N86" s="22"/>
      <c r="O86" s="14"/>
      <c r="P86" s="24"/>
      <c r="Q86" s="22"/>
      <c r="R86" s="22"/>
      <c r="U86" s="30"/>
      <c r="V86" s="30"/>
      <c r="W86" s="30"/>
      <c r="X86" s="30"/>
      <c r="Y86" s="30"/>
      <c r="Z86" s="30"/>
      <c r="AA86" s="30"/>
      <c r="AB86" s="30"/>
      <c r="AD86" s="30"/>
      <c r="AE86" s="30"/>
      <c r="AF86" s="30"/>
      <c r="AG86" s="30"/>
      <c r="AH86" s="30"/>
      <c r="AI86" s="30"/>
      <c r="AJ86" s="30"/>
      <c r="AK86" s="30"/>
      <c r="AL86" s="30"/>
      <c r="AM86" s="30"/>
      <c r="AN86" s="30"/>
      <c r="AO86" s="30"/>
      <c r="AP86" s="30"/>
      <c r="AQ86" s="30"/>
      <c r="AR86" s="30"/>
      <c r="AS86" s="30"/>
      <c r="AT86" s="30"/>
      <c r="AU86" s="30"/>
      <c r="AV86" s="30"/>
      <c r="AW86" s="30"/>
      <c r="AX86" s="30"/>
      <c r="AY86" s="30"/>
      <c r="AZ86" s="30"/>
      <c r="BA86" s="30"/>
      <c r="BB86" s="30"/>
      <c r="BC86" s="7"/>
      <c r="BD86" s="7"/>
      <c r="BE86" s="7"/>
      <c r="BF86" s="7"/>
      <c r="BG86" s="7"/>
      <c r="BH86" s="7"/>
      <c r="BI86" s="7"/>
      <c r="BJ86" s="7"/>
      <c r="BK86" s="7"/>
      <c r="BL86" s="7"/>
      <c r="BM86" s="7"/>
    </row>
    <row r="87" spans="1:65" outlineLevel="1">
      <c r="A87" s="223">
        <v>43067</v>
      </c>
      <c r="B87" s="285">
        <v>2.2589999999999999E-2</v>
      </c>
      <c r="C87" s="2">
        <v>4847</v>
      </c>
      <c r="D87" s="2">
        <v>10232</v>
      </c>
      <c r="E87" s="31"/>
      <c r="F87" s="284">
        <v>43065</v>
      </c>
      <c r="G87" s="280">
        <v>2.2630000000000001E-2</v>
      </c>
      <c r="H87" s="280">
        <v>3.2629999999999999E-2</v>
      </c>
      <c r="I87" s="280">
        <v>1.2630000000000001E-2</v>
      </c>
      <c r="J87" s="25"/>
      <c r="K87" s="25"/>
      <c r="N87" s="22"/>
      <c r="O87" s="14"/>
      <c r="P87" s="24"/>
      <c r="Q87" s="22"/>
      <c r="R87" s="22"/>
    </row>
    <row r="88" spans="1:65" outlineLevel="1">
      <c r="A88" s="223">
        <v>43068</v>
      </c>
      <c r="B88" s="285">
        <v>2.2630000000000001E-2</v>
      </c>
      <c r="C88" s="2">
        <v>4961</v>
      </c>
      <c r="D88" s="2">
        <v>10496</v>
      </c>
      <c r="E88" s="31"/>
      <c r="F88" s="284">
        <v>43066</v>
      </c>
      <c r="G88" s="280">
        <v>2.2589999999999999E-2</v>
      </c>
      <c r="H88" s="280">
        <v>3.2590000000000001E-2</v>
      </c>
      <c r="I88" s="280">
        <v>1.259E-2</v>
      </c>
      <c r="J88" s="25"/>
      <c r="K88" s="25"/>
      <c r="N88" s="22"/>
      <c r="O88" s="14"/>
      <c r="P88" s="24"/>
      <c r="Q88" s="22"/>
      <c r="R88" s="22"/>
    </row>
    <row r="89" spans="1:65" outlineLevel="1">
      <c r="A89" s="223">
        <v>43069</v>
      </c>
      <c r="B89" s="285">
        <v>2.3060000000000001E-2</v>
      </c>
      <c r="C89" s="2">
        <v>4570</v>
      </c>
      <c r="D89" s="2">
        <v>10605</v>
      </c>
      <c r="E89" s="31"/>
      <c r="F89" s="284">
        <v>43067</v>
      </c>
      <c r="G89" s="280">
        <v>2.2589999999999999E-2</v>
      </c>
      <c r="H89" s="280">
        <v>3.2590000000000001E-2</v>
      </c>
      <c r="I89" s="280">
        <v>1.259E-2</v>
      </c>
      <c r="J89" s="25"/>
      <c r="K89" s="25"/>
      <c r="N89" s="22"/>
      <c r="O89" s="14"/>
      <c r="P89" s="24"/>
      <c r="Q89" s="22"/>
      <c r="R89" s="22"/>
    </row>
    <row r="90" spans="1:65" outlineLevel="1">
      <c r="A90" s="223">
        <v>43070</v>
      </c>
      <c r="B90" s="285">
        <v>2.3060000000000001E-2</v>
      </c>
      <c r="C90" s="2" t="s">
        <v>8</v>
      </c>
      <c r="D90" s="2">
        <v>10605</v>
      </c>
      <c r="E90" s="31"/>
      <c r="F90" s="284">
        <v>43068</v>
      </c>
      <c r="G90" s="280">
        <v>2.2630000000000001E-2</v>
      </c>
      <c r="H90" s="280">
        <v>3.2629999999999999E-2</v>
      </c>
      <c r="I90" s="280">
        <v>1.2630000000000001E-2</v>
      </c>
      <c r="J90" s="25"/>
      <c r="K90" s="25"/>
      <c r="N90" s="22"/>
      <c r="O90" s="14"/>
      <c r="P90" s="24"/>
      <c r="Q90" s="22"/>
      <c r="R90" s="22"/>
    </row>
    <row r="91" spans="1:65" outlineLevel="1">
      <c r="A91" s="223">
        <v>43071</v>
      </c>
      <c r="B91" s="285">
        <v>2.3060000000000001E-2</v>
      </c>
      <c r="C91" s="2" t="s">
        <v>8</v>
      </c>
      <c r="D91" s="2">
        <v>10605</v>
      </c>
      <c r="E91" s="31"/>
      <c r="F91" s="284">
        <v>43069</v>
      </c>
      <c r="G91" s="280">
        <v>2.3060000000000001E-2</v>
      </c>
      <c r="H91" s="280">
        <v>3.3059999999999999E-2</v>
      </c>
      <c r="I91" s="280">
        <v>1.306E-2</v>
      </c>
      <c r="J91" s="25"/>
      <c r="K91" s="25"/>
      <c r="N91" s="22"/>
      <c r="O91" s="14"/>
      <c r="P91" s="24"/>
      <c r="Q91" s="22"/>
      <c r="R91" s="22"/>
    </row>
    <row r="92" spans="1:65" outlineLevel="1">
      <c r="A92" s="223">
        <v>43072</v>
      </c>
      <c r="B92" s="285">
        <v>2.3060000000000001E-2</v>
      </c>
      <c r="C92" s="2" t="s">
        <v>8</v>
      </c>
      <c r="D92" s="2">
        <v>10605</v>
      </c>
      <c r="E92" s="31"/>
      <c r="F92" s="284">
        <v>43070</v>
      </c>
      <c r="G92" s="280">
        <v>2.3060000000000001E-2</v>
      </c>
      <c r="H92" s="280">
        <v>3.3059999999999999E-2</v>
      </c>
      <c r="I92" s="280">
        <v>1.306E-2</v>
      </c>
      <c r="J92" s="25"/>
      <c r="K92" s="25"/>
      <c r="N92" s="22"/>
      <c r="O92" s="14"/>
      <c r="P92" s="24"/>
      <c r="Q92" s="22"/>
      <c r="R92" s="22"/>
    </row>
    <row r="93" spans="1:65" outlineLevel="1">
      <c r="A93" s="223">
        <v>43073</v>
      </c>
      <c r="B93" s="285">
        <v>2.2929999999999999E-2</v>
      </c>
      <c r="C93" s="2">
        <v>4541</v>
      </c>
      <c r="D93" s="2">
        <v>9436</v>
      </c>
      <c r="E93" s="31"/>
      <c r="F93" s="284">
        <v>43071</v>
      </c>
      <c r="G93" s="280">
        <v>2.3060000000000001E-2</v>
      </c>
      <c r="H93" s="280">
        <v>3.3059999999999999E-2</v>
      </c>
      <c r="I93" s="280">
        <v>1.306E-2</v>
      </c>
      <c r="J93" s="25"/>
      <c r="K93" s="25"/>
      <c r="N93" s="22"/>
      <c r="O93" s="14"/>
      <c r="P93" s="24"/>
      <c r="Q93" s="22"/>
      <c r="R93" s="22"/>
    </row>
    <row r="94" spans="1:65" outlineLevel="1">
      <c r="A94" s="223">
        <v>43074</v>
      </c>
      <c r="B94" s="285">
        <v>2.2540000000000001E-2</v>
      </c>
      <c r="C94" s="2">
        <v>2494</v>
      </c>
      <c r="D94" s="2">
        <v>7389</v>
      </c>
      <c r="E94" s="31"/>
      <c r="F94" s="284">
        <v>43072</v>
      </c>
      <c r="G94" s="280">
        <v>2.3060000000000001E-2</v>
      </c>
      <c r="H94" s="280">
        <v>3.3059999999999999E-2</v>
      </c>
      <c r="I94" s="280">
        <v>1.306E-2</v>
      </c>
      <c r="J94" s="25"/>
      <c r="K94" s="25"/>
      <c r="N94" s="22"/>
      <c r="O94" s="14"/>
      <c r="P94" s="24"/>
      <c r="Q94" s="22"/>
      <c r="R94" s="22"/>
    </row>
    <row r="95" spans="1:65" outlineLevel="1">
      <c r="A95" s="223">
        <v>43075</v>
      </c>
      <c r="B95" s="285">
        <v>2.2530000000000001E-2</v>
      </c>
      <c r="C95" s="2">
        <v>2484</v>
      </c>
      <c r="D95" s="2">
        <v>7379</v>
      </c>
      <c r="E95" s="31"/>
      <c r="F95" s="284">
        <v>43073</v>
      </c>
      <c r="G95" s="280">
        <v>2.2929999999999999E-2</v>
      </c>
      <c r="H95" s="280">
        <v>3.2930000000000001E-2</v>
      </c>
      <c r="I95" s="280">
        <v>1.2930000000000001E-2</v>
      </c>
      <c r="J95" s="25"/>
      <c r="K95" s="25"/>
      <c r="N95" s="22"/>
      <c r="O95" s="14"/>
      <c r="P95" s="24"/>
      <c r="Q95" s="22"/>
      <c r="R95" s="22"/>
    </row>
    <row r="96" spans="1:65" outlineLevel="1">
      <c r="A96" s="223">
        <v>43076</v>
      </c>
      <c r="B96" s="285">
        <v>2.2800000000000001E-2</v>
      </c>
      <c r="C96" s="2">
        <v>3297</v>
      </c>
      <c r="D96" s="2">
        <v>8242</v>
      </c>
      <c r="E96" s="31"/>
      <c r="F96" s="284">
        <v>43074</v>
      </c>
      <c r="G96" s="280">
        <v>2.2540000000000001E-2</v>
      </c>
      <c r="H96" s="280">
        <v>3.2539999999999999E-2</v>
      </c>
      <c r="I96" s="280">
        <v>1.2540000000000001E-2</v>
      </c>
      <c r="J96" s="25"/>
      <c r="K96" s="25"/>
      <c r="N96" s="22"/>
      <c r="O96" s="14"/>
      <c r="P96" s="24"/>
      <c r="Q96" s="22"/>
      <c r="R96" s="22"/>
    </row>
    <row r="97" spans="1:18" outlineLevel="1">
      <c r="A97" s="223">
        <v>43077</v>
      </c>
      <c r="B97" s="285">
        <v>2.2939999999999999E-2</v>
      </c>
      <c r="C97" s="2">
        <v>4846</v>
      </c>
      <c r="D97" s="2">
        <v>9791</v>
      </c>
      <c r="E97" s="31"/>
      <c r="F97" s="284">
        <v>43075</v>
      </c>
      <c r="G97" s="280">
        <v>2.2530000000000001E-2</v>
      </c>
      <c r="H97" s="280">
        <v>3.2530000000000003E-2</v>
      </c>
      <c r="I97" s="280">
        <v>1.2529999999999999E-2</v>
      </c>
      <c r="J97" s="25"/>
      <c r="K97" s="25"/>
      <c r="N97" s="22"/>
      <c r="O97" s="14"/>
      <c r="P97" s="24"/>
      <c r="Q97" s="22"/>
      <c r="R97" s="22"/>
    </row>
    <row r="98" spans="1:18" outlineLevel="1">
      <c r="A98" s="223">
        <v>43078</v>
      </c>
      <c r="B98" s="285">
        <v>2.2939999999999999E-2</v>
      </c>
      <c r="C98" s="2" t="s">
        <v>8</v>
      </c>
      <c r="D98" s="2">
        <v>9791</v>
      </c>
      <c r="E98" s="31"/>
      <c r="F98" s="284">
        <v>43076</v>
      </c>
      <c r="G98" s="280">
        <v>2.2800000000000001E-2</v>
      </c>
      <c r="H98" s="280">
        <v>3.2800000000000003E-2</v>
      </c>
      <c r="I98" s="280">
        <v>1.2800000000000001E-2</v>
      </c>
      <c r="J98" s="25"/>
      <c r="K98" s="25"/>
      <c r="N98" s="22"/>
      <c r="O98" s="14"/>
      <c r="P98" s="24"/>
      <c r="Q98" s="22"/>
      <c r="R98" s="22"/>
    </row>
    <row r="99" spans="1:18" outlineLevel="1">
      <c r="A99" s="223">
        <v>43079</v>
      </c>
      <c r="B99" s="285">
        <v>2.2939999999999999E-2</v>
      </c>
      <c r="C99" s="2" t="s">
        <v>8</v>
      </c>
      <c r="D99" s="2">
        <v>9791</v>
      </c>
      <c r="E99" s="31"/>
      <c r="F99" s="284">
        <v>43077</v>
      </c>
      <c r="G99" s="280">
        <v>2.2939999999999999E-2</v>
      </c>
      <c r="H99" s="280">
        <v>3.2939999999999997E-2</v>
      </c>
      <c r="I99" s="280">
        <v>1.294E-2</v>
      </c>
      <c r="J99" s="25"/>
      <c r="K99" s="25"/>
      <c r="N99" s="22"/>
      <c r="O99" s="14"/>
      <c r="P99" s="24"/>
      <c r="Q99" s="22"/>
      <c r="R99" s="22"/>
    </row>
    <row r="100" spans="1:18" outlineLevel="1">
      <c r="A100" s="223">
        <v>43080</v>
      </c>
      <c r="B100" s="285">
        <v>2.298E-2</v>
      </c>
      <c r="C100" s="2">
        <v>5501</v>
      </c>
      <c r="D100" s="2">
        <v>10146</v>
      </c>
      <c r="E100" s="31"/>
      <c r="F100" s="284">
        <v>43078</v>
      </c>
      <c r="G100" s="280">
        <v>2.2939999999999999E-2</v>
      </c>
      <c r="H100" s="280">
        <v>3.2939999999999997E-2</v>
      </c>
      <c r="I100" s="280">
        <v>1.294E-2</v>
      </c>
      <c r="J100" s="25"/>
      <c r="K100" s="25"/>
      <c r="N100" s="22"/>
      <c r="O100" s="14"/>
      <c r="P100" s="24"/>
      <c r="Q100" s="22"/>
      <c r="R100" s="22"/>
    </row>
    <row r="101" spans="1:18" outlineLevel="1">
      <c r="A101" s="223">
        <v>43081</v>
      </c>
      <c r="B101" s="285">
        <v>2.29E-2</v>
      </c>
      <c r="C101" s="2">
        <v>3187</v>
      </c>
      <c r="D101" s="2">
        <v>7832</v>
      </c>
      <c r="E101" s="31"/>
      <c r="F101" s="284">
        <v>43079</v>
      </c>
      <c r="G101" s="280">
        <v>2.2939999999999999E-2</v>
      </c>
      <c r="H101" s="280">
        <v>3.2939999999999997E-2</v>
      </c>
      <c r="I101" s="280">
        <v>1.294E-2</v>
      </c>
      <c r="J101" s="25"/>
      <c r="K101" s="25"/>
      <c r="N101" s="22"/>
      <c r="O101" s="14"/>
      <c r="P101" s="24"/>
      <c r="Q101" s="22"/>
      <c r="R101" s="22"/>
    </row>
    <row r="102" spans="1:18" outlineLevel="1">
      <c r="A102" s="223">
        <v>43082</v>
      </c>
      <c r="B102" s="285">
        <v>2.3220000000000001E-2</v>
      </c>
      <c r="C102" s="2">
        <v>3877</v>
      </c>
      <c r="D102" s="2">
        <v>8522</v>
      </c>
      <c r="E102" s="31"/>
      <c r="F102" s="284">
        <v>43080</v>
      </c>
      <c r="G102" s="280">
        <v>2.298E-2</v>
      </c>
      <c r="H102" s="280">
        <v>3.2980000000000002E-2</v>
      </c>
      <c r="I102" s="280">
        <v>1.298E-2</v>
      </c>
      <c r="J102" s="25"/>
      <c r="K102" s="25"/>
      <c r="N102" s="22"/>
      <c r="O102" s="14"/>
      <c r="P102" s="24"/>
      <c r="Q102" s="22"/>
      <c r="R102" s="22"/>
    </row>
    <row r="103" spans="1:18" outlineLevel="1">
      <c r="A103" s="223">
        <v>43083</v>
      </c>
      <c r="B103" s="285">
        <v>2.3009999999999999E-2</v>
      </c>
      <c r="C103" s="2">
        <v>3312</v>
      </c>
      <c r="D103" s="2">
        <v>7687</v>
      </c>
      <c r="E103" s="31"/>
      <c r="F103" s="284">
        <v>43081</v>
      </c>
      <c r="G103" s="280">
        <v>2.29E-2</v>
      </c>
      <c r="H103" s="280">
        <v>3.2899999999999999E-2</v>
      </c>
      <c r="I103" s="280">
        <v>1.29E-2</v>
      </c>
      <c r="J103" s="25"/>
      <c r="K103" s="25"/>
      <c r="N103" s="22"/>
      <c r="O103" s="14"/>
      <c r="P103" s="24"/>
      <c r="Q103" s="22"/>
      <c r="R103" s="22"/>
    </row>
    <row r="104" spans="1:18" outlineLevel="1">
      <c r="A104" s="223">
        <v>43084</v>
      </c>
      <c r="B104" s="285">
        <v>2.2790000000000001E-2</v>
      </c>
      <c r="C104" s="2">
        <v>4267</v>
      </c>
      <c r="D104" s="2">
        <v>8642</v>
      </c>
      <c r="E104" s="31"/>
      <c r="F104" s="284">
        <v>43082</v>
      </c>
      <c r="G104" s="280">
        <v>2.3220000000000001E-2</v>
      </c>
      <c r="H104" s="280">
        <v>3.322E-2</v>
      </c>
      <c r="I104" s="280">
        <v>1.3220000000000001E-2</v>
      </c>
      <c r="J104" s="25"/>
      <c r="K104" s="25"/>
      <c r="M104" s="23"/>
      <c r="N104" s="23"/>
      <c r="O104" s="14"/>
      <c r="P104" s="24"/>
      <c r="Q104" s="23"/>
      <c r="R104" s="23"/>
    </row>
    <row r="105" spans="1:18" outlineLevel="1">
      <c r="A105" s="223">
        <v>43085</v>
      </c>
      <c r="B105" s="285">
        <v>2.2790000000000001E-2</v>
      </c>
      <c r="C105" s="2" t="s">
        <v>8</v>
      </c>
      <c r="D105" s="2">
        <v>8642</v>
      </c>
      <c r="E105" s="31"/>
      <c r="F105" s="284">
        <v>43083</v>
      </c>
      <c r="G105" s="280">
        <v>2.3009999999999999E-2</v>
      </c>
      <c r="H105" s="280">
        <v>3.3009999999999998E-2</v>
      </c>
      <c r="I105" s="280">
        <v>1.3010000000000001E-2</v>
      </c>
      <c r="J105" s="25"/>
      <c r="K105" s="25"/>
      <c r="M105" s="23"/>
      <c r="N105" s="23"/>
      <c r="O105" s="14"/>
      <c r="P105" s="24"/>
      <c r="Q105" s="23"/>
      <c r="R105" s="23"/>
    </row>
    <row r="106" spans="1:18" outlineLevel="1">
      <c r="A106" s="223">
        <v>43086</v>
      </c>
      <c r="B106" s="285">
        <v>2.2790000000000001E-2</v>
      </c>
      <c r="C106" s="2" t="s">
        <v>8</v>
      </c>
      <c r="D106" s="2">
        <v>8642</v>
      </c>
      <c r="E106" s="31"/>
      <c r="F106" s="284">
        <v>43084</v>
      </c>
      <c r="G106" s="280">
        <v>2.2790000000000001E-2</v>
      </c>
      <c r="H106" s="280">
        <v>3.279E-2</v>
      </c>
      <c r="I106" s="280">
        <v>1.2789999999999999E-2</v>
      </c>
      <c r="J106" s="25"/>
      <c r="K106" s="25"/>
      <c r="M106" s="23"/>
      <c r="N106" s="23"/>
      <c r="O106" s="14"/>
      <c r="P106" s="24"/>
      <c r="Q106" s="23"/>
      <c r="R106" s="23"/>
    </row>
    <row r="107" spans="1:18" outlineLevel="1">
      <c r="A107" s="223">
        <v>43087</v>
      </c>
      <c r="B107" s="285">
        <v>2.2599999999999999E-2</v>
      </c>
      <c r="C107" s="2">
        <v>2990</v>
      </c>
      <c r="D107" s="2">
        <v>12050</v>
      </c>
      <c r="E107" s="31"/>
      <c r="F107" s="284">
        <v>43085</v>
      </c>
      <c r="G107" s="280">
        <v>2.2790000000000001E-2</v>
      </c>
      <c r="H107" s="280">
        <v>3.279E-2</v>
      </c>
      <c r="I107" s="280">
        <v>1.2789999999999999E-2</v>
      </c>
      <c r="J107" s="25"/>
      <c r="K107" s="25"/>
      <c r="M107" s="23"/>
      <c r="N107" s="23"/>
      <c r="O107" s="14"/>
      <c r="P107" s="24"/>
      <c r="Q107" s="23"/>
      <c r="R107" s="23"/>
    </row>
    <row r="108" spans="1:18" outlineLevel="1">
      <c r="A108" s="223">
        <v>43088</v>
      </c>
      <c r="B108" s="285">
        <v>2.2499999999999999E-2</v>
      </c>
      <c r="C108" s="2">
        <v>6446</v>
      </c>
      <c r="D108" s="2">
        <v>15501</v>
      </c>
      <c r="E108" s="31"/>
      <c r="F108" s="284">
        <v>43086</v>
      </c>
      <c r="G108" s="280">
        <v>2.2790000000000001E-2</v>
      </c>
      <c r="H108" s="280">
        <v>3.279E-2</v>
      </c>
      <c r="I108" s="280">
        <v>1.2789999999999999E-2</v>
      </c>
      <c r="J108" s="25"/>
      <c r="K108" s="25"/>
      <c r="M108" s="23"/>
      <c r="N108" s="23"/>
      <c r="O108" s="14"/>
      <c r="P108" s="24"/>
      <c r="Q108" s="23"/>
      <c r="R108" s="23"/>
    </row>
    <row r="109" spans="1:18" outlineLevel="1">
      <c r="A109" s="223">
        <v>43089</v>
      </c>
      <c r="B109" s="285">
        <v>2.2499999999999999E-2</v>
      </c>
      <c r="C109" s="2">
        <v>5534</v>
      </c>
      <c r="D109" s="2">
        <v>14589</v>
      </c>
      <c r="E109" s="31"/>
      <c r="F109" s="284">
        <v>43087</v>
      </c>
      <c r="G109" s="280">
        <v>2.2599999999999999E-2</v>
      </c>
      <c r="H109" s="280">
        <v>3.2599999999999997E-2</v>
      </c>
      <c r="I109" s="280">
        <v>1.26E-2</v>
      </c>
      <c r="J109" s="25"/>
      <c r="K109" s="25"/>
      <c r="M109" s="23"/>
      <c r="N109" s="23"/>
      <c r="O109" s="14"/>
      <c r="P109" s="24"/>
      <c r="Q109" s="23"/>
      <c r="R109" s="23"/>
    </row>
    <row r="110" spans="1:18" outlineLevel="1">
      <c r="A110" s="223">
        <v>43090</v>
      </c>
      <c r="B110" s="285">
        <v>2.2499999999999999E-2</v>
      </c>
      <c r="C110" s="2">
        <v>7233</v>
      </c>
      <c r="D110" s="2">
        <v>16712</v>
      </c>
      <c r="E110" s="31"/>
      <c r="F110" s="284">
        <v>43088</v>
      </c>
      <c r="G110" s="280">
        <v>2.2499999999999999E-2</v>
      </c>
      <c r="H110" s="280">
        <v>3.2500000000000001E-2</v>
      </c>
      <c r="I110" s="280">
        <v>1.2500000000000001E-2</v>
      </c>
      <c r="J110" s="25"/>
      <c r="K110" s="25"/>
      <c r="M110" s="23"/>
      <c r="N110" s="23"/>
      <c r="O110" s="14"/>
      <c r="P110" s="24"/>
      <c r="Q110" s="23"/>
      <c r="R110" s="23"/>
    </row>
    <row r="111" spans="1:18" outlineLevel="1">
      <c r="A111" s="223">
        <v>43091</v>
      </c>
      <c r="B111" s="285">
        <v>2.266E-2</v>
      </c>
      <c r="C111" s="2">
        <v>5545</v>
      </c>
      <c r="D111" s="2">
        <v>15324</v>
      </c>
      <c r="E111" s="31"/>
      <c r="F111" s="284">
        <v>43089</v>
      </c>
      <c r="G111" s="280">
        <v>2.2499999999999999E-2</v>
      </c>
      <c r="H111" s="280">
        <v>3.2500000000000001E-2</v>
      </c>
      <c r="I111" s="280">
        <v>1.2500000000000001E-2</v>
      </c>
      <c r="J111" s="25"/>
      <c r="K111" s="25"/>
      <c r="M111" s="23"/>
      <c r="N111" s="23"/>
      <c r="O111" s="14"/>
      <c r="P111" s="24"/>
      <c r="Q111" s="23"/>
      <c r="R111" s="23"/>
    </row>
    <row r="112" spans="1:18" outlineLevel="1">
      <c r="A112" s="223">
        <v>43092</v>
      </c>
      <c r="B112" s="285">
        <v>2.266E-2</v>
      </c>
      <c r="C112" s="2" t="s">
        <v>8</v>
      </c>
      <c r="D112" s="2">
        <v>15324</v>
      </c>
      <c r="E112" s="31"/>
      <c r="F112" s="284">
        <v>43090</v>
      </c>
      <c r="G112" s="280">
        <v>2.2499999999999999E-2</v>
      </c>
      <c r="H112" s="280">
        <v>3.2500000000000001E-2</v>
      </c>
      <c r="I112" s="280">
        <v>1.2500000000000001E-2</v>
      </c>
      <c r="J112" s="25"/>
      <c r="K112" s="25"/>
      <c r="M112" s="23"/>
      <c r="N112" s="23"/>
      <c r="O112" s="14"/>
      <c r="P112" s="24"/>
      <c r="Q112" s="23"/>
      <c r="R112" s="23"/>
    </row>
    <row r="113" spans="1:18" outlineLevel="1">
      <c r="A113" s="223">
        <v>43093</v>
      </c>
      <c r="B113" s="285">
        <v>2.266E-2</v>
      </c>
      <c r="C113" s="2" t="s">
        <v>8</v>
      </c>
      <c r="D113" s="2">
        <v>15324</v>
      </c>
      <c r="E113" s="31"/>
      <c r="F113" s="284">
        <v>43091</v>
      </c>
      <c r="G113" s="280">
        <v>2.266E-2</v>
      </c>
      <c r="H113" s="280">
        <v>3.2660000000000002E-2</v>
      </c>
      <c r="I113" s="280">
        <v>1.2659999999999999E-2</v>
      </c>
      <c r="J113" s="25"/>
      <c r="K113" s="25"/>
      <c r="M113" s="23"/>
      <c r="N113" s="23"/>
      <c r="O113" s="14"/>
      <c r="P113" s="24"/>
      <c r="Q113" s="23"/>
      <c r="R113" s="23"/>
    </row>
    <row r="114" spans="1:18" outlineLevel="1">
      <c r="A114" s="223">
        <v>43094</v>
      </c>
      <c r="B114" s="285">
        <v>2.2499999999999999E-2</v>
      </c>
      <c r="C114" s="2">
        <v>5731</v>
      </c>
      <c r="D114" s="2">
        <v>11786</v>
      </c>
      <c r="E114" s="31"/>
      <c r="F114" s="284">
        <v>43092</v>
      </c>
      <c r="G114" s="280">
        <v>2.266E-2</v>
      </c>
      <c r="H114" s="280">
        <v>3.2660000000000002E-2</v>
      </c>
      <c r="I114" s="280">
        <v>1.2659999999999999E-2</v>
      </c>
      <c r="J114" s="25"/>
      <c r="K114" s="25"/>
      <c r="M114" s="23"/>
      <c r="N114" s="23"/>
      <c r="O114" s="14"/>
      <c r="P114" s="24"/>
      <c r="Q114" s="23"/>
      <c r="R114" s="23"/>
    </row>
    <row r="115" spans="1:18" outlineLevel="1">
      <c r="A115" s="223">
        <v>43095</v>
      </c>
      <c r="B115" s="285">
        <v>2.2610000000000002E-2</v>
      </c>
      <c r="C115" s="2">
        <v>6558</v>
      </c>
      <c r="D115" s="2">
        <v>12613</v>
      </c>
      <c r="E115" s="31"/>
      <c r="F115" s="284">
        <v>43093</v>
      </c>
      <c r="G115" s="280">
        <v>2.266E-2</v>
      </c>
      <c r="H115" s="280">
        <v>3.2660000000000002E-2</v>
      </c>
      <c r="I115" s="280">
        <v>1.2659999999999999E-2</v>
      </c>
      <c r="J115" s="25"/>
      <c r="K115" s="25"/>
      <c r="M115" s="23"/>
      <c r="N115" s="23"/>
      <c r="O115" s="14"/>
      <c r="P115" s="24"/>
      <c r="Q115" s="23"/>
      <c r="R115" s="23"/>
    </row>
    <row r="116" spans="1:18" outlineLevel="1">
      <c r="A116" s="223">
        <v>43096</v>
      </c>
      <c r="B116" s="285">
        <v>2.2919999999999999E-2</v>
      </c>
      <c r="C116" s="2">
        <v>7619</v>
      </c>
      <c r="D116" s="2">
        <v>12889</v>
      </c>
      <c r="E116" s="31"/>
      <c r="F116" s="284">
        <v>43094</v>
      </c>
      <c r="G116" s="280">
        <v>2.2499999999999999E-2</v>
      </c>
      <c r="H116" s="280">
        <v>3.2500000000000001E-2</v>
      </c>
      <c r="I116" s="280">
        <v>1.2500000000000001E-2</v>
      </c>
      <c r="J116" s="25"/>
      <c r="K116" s="25"/>
      <c r="M116" s="23"/>
      <c r="N116" s="23"/>
      <c r="O116" s="14"/>
      <c r="P116" s="24"/>
      <c r="Q116" s="23"/>
      <c r="R116" s="23"/>
    </row>
    <row r="117" spans="1:18" outlineLevel="1">
      <c r="A117" s="223">
        <v>43097</v>
      </c>
      <c r="B117" s="285">
        <v>2.2929999999999999E-2</v>
      </c>
      <c r="C117" s="2">
        <v>7877</v>
      </c>
      <c r="D117" s="2">
        <v>12647</v>
      </c>
      <c r="E117" s="31"/>
      <c r="F117" s="284">
        <v>43095</v>
      </c>
      <c r="G117" s="280">
        <v>2.2610000000000002E-2</v>
      </c>
      <c r="H117" s="280">
        <v>3.261E-2</v>
      </c>
      <c r="I117" s="280">
        <v>1.261E-2</v>
      </c>
      <c r="J117" s="25"/>
      <c r="K117" s="25"/>
      <c r="M117" s="23"/>
      <c r="N117" s="23"/>
      <c r="O117" s="14"/>
      <c r="P117" s="24"/>
      <c r="Q117" s="23"/>
      <c r="R117" s="23"/>
    </row>
    <row r="118" spans="1:18" outlineLevel="1">
      <c r="A118" s="223">
        <v>43098</v>
      </c>
      <c r="B118" s="285">
        <v>2.315E-2</v>
      </c>
      <c r="C118" s="2">
        <v>3078</v>
      </c>
      <c r="D118" s="2">
        <v>8048</v>
      </c>
      <c r="E118" s="31"/>
      <c r="F118" s="284">
        <v>43096</v>
      </c>
      <c r="G118" s="280">
        <v>2.2919999999999999E-2</v>
      </c>
      <c r="H118" s="280">
        <v>3.2919999999999998E-2</v>
      </c>
      <c r="I118" s="280">
        <v>1.2919999999999999E-2</v>
      </c>
      <c r="J118" s="25"/>
      <c r="K118" s="25"/>
      <c r="M118" s="23"/>
      <c r="N118" s="23"/>
      <c r="O118" s="14"/>
      <c r="P118" s="24"/>
      <c r="Q118" s="23"/>
      <c r="R118" s="23"/>
    </row>
    <row r="119" spans="1:18" outlineLevel="1">
      <c r="A119" s="223">
        <v>43099</v>
      </c>
      <c r="B119" s="285">
        <v>2.315E-2</v>
      </c>
      <c r="C119" s="2" t="s">
        <v>8</v>
      </c>
      <c r="D119" s="2">
        <v>8048</v>
      </c>
      <c r="E119" s="31"/>
      <c r="F119" s="284">
        <v>43097</v>
      </c>
      <c r="G119" s="280">
        <v>2.2929999999999999E-2</v>
      </c>
      <c r="H119" s="280">
        <v>3.2930000000000001E-2</v>
      </c>
      <c r="I119" s="280">
        <v>1.2930000000000001E-2</v>
      </c>
      <c r="J119" s="25"/>
      <c r="K119" s="25"/>
      <c r="M119" s="23"/>
      <c r="N119" s="23"/>
      <c r="O119" s="14"/>
      <c r="P119" s="24"/>
      <c r="Q119" s="23"/>
      <c r="R119" s="23"/>
    </row>
    <row r="120" spans="1:18" outlineLevel="1">
      <c r="A120" s="223">
        <v>43100</v>
      </c>
      <c r="B120" s="285">
        <v>2.315E-2</v>
      </c>
      <c r="C120" s="2" t="s">
        <v>8</v>
      </c>
      <c r="D120" s="2">
        <v>8048</v>
      </c>
      <c r="E120" s="31"/>
      <c r="F120" s="284">
        <v>43098</v>
      </c>
      <c r="G120" s="280">
        <v>2.315E-2</v>
      </c>
      <c r="H120" s="280">
        <v>3.3149999999999999E-2</v>
      </c>
      <c r="I120" s="280">
        <v>1.315E-2</v>
      </c>
      <c r="J120" s="25"/>
      <c r="K120" s="25"/>
      <c r="M120" s="23"/>
      <c r="N120" s="23"/>
      <c r="O120" s="14"/>
      <c r="P120" s="24"/>
      <c r="Q120" s="23"/>
      <c r="R120" s="23"/>
    </row>
    <row r="121" spans="1:18" outlineLevel="1">
      <c r="A121" s="223">
        <v>43101</v>
      </c>
      <c r="B121" s="285">
        <v>2.315E-2</v>
      </c>
      <c r="C121" s="2" t="s">
        <v>8</v>
      </c>
      <c r="D121" s="2">
        <v>8048</v>
      </c>
      <c r="E121" s="31"/>
      <c r="F121" s="284">
        <v>43099</v>
      </c>
      <c r="G121" s="280">
        <v>2.315E-2</v>
      </c>
      <c r="H121" s="280">
        <v>3.3149999999999999E-2</v>
      </c>
      <c r="I121" s="280">
        <v>1.315E-2</v>
      </c>
      <c r="J121" s="25"/>
      <c r="K121" s="25"/>
      <c r="M121" s="23"/>
      <c r="N121" s="23"/>
      <c r="O121" s="14"/>
      <c r="P121" s="24"/>
      <c r="Q121" s="23"/>
      <c r="R121" s="23"/>
    </row>
    <row r="122" spans="1:18" outlineLevel="1">
      <c r="A122" s="223">
        <v>43102</v>
      </c>
      <c r="B122" s="285">
        <v>2.281E-2</v>
      </c>
      <c r="C122" s="2">
        <v>7290</v>
      </c>
      <c r="D122" s="2">
        <v>12735</v>
      </c>
      <c r="E122" s="31"/>
      <c r="F122" s="284">
        <v>43100</v>
      </c>
      <c r="G122" s="280">
        <v>2.315E-2</v>
      </c>
      <c r="H122" s="280">
        <v>3.3149999999999999E-2</v>
      </c>
      <c r="I122" s="280">
        <v>1.315E-2</v>
      </c>
      <c r="J122" s="25"/>
      <c r="K122" s="25"/>
      <c r="M122" s="23"/>
      <c r="N122" s="23"/>
      <c r="O122" s="14"/>
      <c r="P122" s="24"/>
      <c r="Q122" s="23"/>
      <c r="R122" s="23"/>
    </row>
    <row r="123" spans="1:18" outlineLevel="1">
      <c r="A123" s="223">
        <v>43103</v>
      </c>
      <c r="B123" s="285">
        <v>2.264E-2</v>
      </c>
      <c r="C123" s="2">
        <v>5006</v>
      </c>
      <c r="D123" s="2">
        <v>10051</v>
      </c>
      <c r="E123" s="31"/>
      <c r="F123" s="284">
        <v>43101</v>
      </c>
      <c r="G123" s="280">
        <v>2.315E-2</v>
      </c>
      <c r="H123" s="280">
        <v>3.3149999999999999E-2</v>
      </c>
      <c r="I123" s="280">
        <v>1.315E-2</v>
      </c>
      <c r="J123" s="25"/>
      <c r="K123" s="25"/>
      <c r="M123" s="23"/>
      <c r="N123" s="23"/>
      <c r="O123" s="14"/>
      <c r="P123" s="24"/>
      <c r="Q123" s="23"/>
      <c r="R123" s="23"/>
    </row>
    <row r="124" spans="1:18" outlineLevel="1">
      <c r="A124" s="223">
        <v>43104</v>
      </c>
      <c r="B124" s="285">
        <v>2.2720000000000001E-2</v>
      </c>
      <c r="C124" s="2">
        <v>4675</v>
      </c>
      <c r="D124" s="2">
        <v>10470</v>
      </c>
      <c r="E124" s="31"/>
      <c r="F124" s="284">
        <v>43102</v>
      </c>
      <c r="G124" s="280">
        <v>2.281E-2</v>
      </c>
      <c r="H124" s="280">
        <v>3.2809999999999999E-2</v>
      </c>
      <c r="I124" s="280">
        <v>1.281E-2</v>
      </c>
      <c r="J124" s="25"/>
      <c r="K124" s="25"/>
      <c r="M124" s="23"/>
      <c r="N124" s="23"/>
      <c r="O124" s="14"/>
      <c r="P124" s="24"/>
      <c r="Q124" s="23"/>
      <c r="R124" s="23"/>
    </row>
    <row r="125" spans="1:18" outlineLevel="1">
      <c r="A125" s="223">
        <v>43105</v>
      </c>
      <c r="B125" s="285">
        <v>2.2749999999999999E-2</v>
      </c>
      <c r="C125" s="2">
        <v>3987</v>
      </c>
      <c r="D125" s="2">
        <v>9782</v>
      </c>
      <c r="E125" s="31"/>
      <c r="F125" s="284">
        <v>43103</v>
      </c>
      <c r="G125" s="280">
        <v>2.264E-2</v>
      </c>
      <c r="H125" s="280">
        <v>3.2640000000000002E-2</v>
      </c>
      <c r="I125" s="280">
        <v>1.264E-2</v>
      </c>
      <c r="J125" s="25"/>
      <c r="K125" s="25"/>
      <c r="M125" s="23"/>
      <c r="N125" s="23"/>
      <c r="O125" s="14"/>
      <c r="P125" s="24"/>
      <c r="Q125" s="23"/>
      <c r="R125" s="23"/>
    </row>
    <row r="126" spans="1:18" outlineLevel="1">
      <c r="A126" s="223">
        <v>43106</v>
      </c>
      <c r="B126" s="285">
        <v>2.2749999999999999E-2</v>
      </c>
      <c r="C126" s="2" t="s">
        <v>8</v>
      </c>
      <c r="D126" s="2">
        <v>9782</v>
      </c>
      <c r="E126" s="31"/>
      <c r="F126" s="284">
        <v>43104</v>
      </c>
      <c r="G126" s="280">
        <v>2.2720000000000001E-2</v>
      </c>
      <c r="H126" s="280">
        <v>3.2719999999999999E-2</v>
      </c>
      <c r="I126" s="280">
        <v>1.272E-2</v>
      </c>
      <c r="J126" s="25"/>
      <c r="K126" s="25"/>
      <c r="M126" s="23"/>
      <c r="N126" s="23"/>
      <c r="O126" s="14"/>
      <c r="P126" s="24"/>
      <c r="Q126" s="23"/>
      <c r="R126" s="23"/>
    </row>
    <row r="127" spans="1:18" outlineLevel="1">
      <c r="A127" s="223">
        <v>43107</v>
      </c>
      <c r="B127" s="285">
        <v>2.2749999999999999E-2</v>
      </c>
      <c r="C127" s="2" t="s">
        <v>8</v>
      </c>
      <c r="D127" s="2">
        <v>9782</v>
      </c>
      <c r="E127" s="31"/>
      <c r="F127" s="284">
        <v>43105</v>
      </c>
      <c r="G127" s="280">
        <v>2.2749999999999999E-2</v>
      </c>
      <c r="H127" s="280">
        <v>3.2750000000000001E-2</v>
      </c>
      <c r="I127" s="280">
        <v>1.2749999999999999E-2</v>
      </c>
      <c r="J127" s="25"/>
      <c r="K127" s="25"/>
      <c r="M127" s="23"/>
      <c r="N127" s="23"/>
      <c r="O127" s="14"/>
      <c r="P127" s="24"/>
      <c r="Q127" s="23"/>
      <c r="R127" s="23"/>
    </row>
    <row r="128" spans="1:18" outlineLevel="1">
      <c r="A128" s="223">
        <v>43108</v>
      </c>
      <c r="B128" s="285">
        <v>2.273E-2</v>
      </c>
      <c r="C128" s="2">
        <v>4930</v>
      </c>
      <c r="D128" s="2">
        <v>10410</v>
      </c>
      <c r="E128" s="31"/>
      <c r="F128" s="284">
        <v>43106</v>
      </c>
      <c r="G128" s="280">
        <v>2.2749999999999999E-2</v>
      </c>
      <c r="H128" s="280">
        <v>3.2750000000000001E-2</v>
      </c>
      <c r="I128" s="280">
        <v>1.2749999999999999E-2</v>
      </c>
      <c r="J128" s="25"/>
      <c r="K128" s="25"/>
      <c r="M128" s="23"/>
      <c r="N128" s="23"/>
      <c r="O128" s="14"/>
      <c r="P128" s="24"/>
      <c r="Q128" s="23"/>
      <c r="R128" s="23"/>
    </row>
    <row r="129" spans="1:18" outlineLevel="1">
      <c r="A129" s="223">
        <v>43109</v>
      </c>
      <c r="B129" s="285">
        <v>2.273E-2</v>
      </c>
      <c r="C129" s="2">
        <v>5198</v>
      </c>
      <c r="D129" s="2">
        <v>10878</v>
      </c>
      <c r="E129" s="31"/>
      <c r="F129" s="284">
        <v>43107</v>
      </c>
      <c r="G129" s="280">
        <v>2.2749999999999999E-2</v>
      </c>
      <c r="H129" s="280">
        <v>3.2750000000000001E-2</v>
      </c>
      <c r="I129" s="280">
        <v>1.2749999999999999E-2</v>
      </c>
      <c r="J129" s="25"/>
      <c r="K129" s="25"/>
      <c r="M129" s="23"/>
      <c r="N129" s="23"/>
      <c r="O129" s="14"/>
      <c r="P129" s="24"/>
      <c r="Q129" s="23"/>
      <c r="R129" s="23"/>
    </row>
    <row r="130" spans="1:18" outlineLevel="1">
      <c r="A130" s="223">
        <v>43110</v>
      </c>
      <c r="B130" s="285">
        <v>2.2519999999999998E-2</v>
      </c>
      <c r="C130" s="2">
        <v>4119</v>
      </c>
      <c r="D130" s="2">
        <v>9799</v>
      </c>
      <c r="E130" s="31"/>
      <c r="F130" s="284">
        <v>43108</v>
      </c>
      <c r="G130" s="280">
        <v>2.273E-2</v>
      </c>
      <c r="H130" s="280">
        <v>3.2730000000000002E-2</v>
      </c>
      <c r="I130" s="280">
        <v>1.273E-2</v>
      </c>
      <c r="J130" s="25"/>
      <c r="K130" s="25"/>
      <c r="M130" s="23"/>
      <c r="N130" s="23"/>
      <c r="O130" s="14"/>
      <c r="P130" s="24"/>
      <c r="Q130" s="23"/>
      <c r="R130" s="23"/>
    </row>
    <row r="131" spans="1:18" outlineLevel="1">
      <c r="A131" s="223">
        <v>43111</v>
      </c>
      <c r="B131" s="285">
        <v>2.2519999999999998E-2</v>
      </c>
      <c r="C131" s="2" t="s">
        <v>8</v>
      </c>
      <c r="D131" s="2">
        <v>9799</v>
      </c>
      <c r="E131" s="31"/>
      <c r="F131" s="284">
        <v>43109</v>
      </c>
      <c r="G131" s="280">
        <v>2.273E-2</v>
      </c>
      <c r="H131" s="280">
        <v>3.2730000000000002E-2</v>
      </c>
      <c r="I131" s="280">
        <v>1.273E-2</v>
      </c>
      <c r="J131" s="25"/>
      <c r="K131" s="25"/>
      <c r="M131" s="23"/>
      <c r="N131" s="23"/>
      <c r="O131" s="14"/>
      <c r="P131" s="24"/>
      <c r="Q131" s="23"/>
      <c r="R131" s="23"/>
    </row>
    <row r="132" spans="1:18" outlineLevel="1">
      <c r="A132" s="223">
        <v>43112</v>
      </c>
      <c r="B132" s="285">
        <v>2.2530000000000001E-2</v>
      </c>
      <c r="C132" s="2">
        <v>5360</v>
      </c>
      <c r="D132" s="2">
        <v>10490</v>
      </c>
      <c r="E132" s="31"/>
      <c r="F132" s="284">
        <v>43110</v>
      </c>
      <c r="G132" s="280">
        <v>2.2519999999999998E-2</v>
      </c>
      <c r="H132" s="280">
        <v>3.252E-2</v>
      </c>
      <c r="I132" s="280">
        <v>1.252E-2</v>
      </c>
      <c r="J132" s="25"/>
      <c r="K132" s="25"/>
      <c r="M132" s="23"/>
      <c r="N132" s="23"/>
      <c r="O132" s="14"/>
      <c r="P132" s="24"/>
      <c r="Q132" s="23"/>
      <c r="R132" s="23"/>
    </row>
    <row r="133" spans="1:18" outlineLevel="1">
      <c r="A133" s="223">
        <v>43113</v>
      </c>
      <c r="B133" s="285">
        <v>2.2530000000000001E-2</v>
      </c>
      <c r="C133" s="2" t="s">
        <v>8</v>
      </c>
      <c r="D133" s="2">
        <v>10490</v>
      </c>
      <c r="E133" s="31"/>
      <c r="F133" s="284">
        <v>43111</v>
      </c>
      <c r="G133" s="280">
        <v>2.2519999999999998E-2</v>
      </c>
      <c r="H133" s="280">
        <v>3.252E-2</v>
      </c>
      <c r="I133" s="280">
        <v>1.252E-2</v>
      </c>
      <c r="J133" s="25"/>
      <c r="K133" s="25"/>
      <c r="M133" s="23"/>
      <c r="N133" s="23"/>
      <c r="O133" s="14"/>
      <c r="P133" s="24"/>
      <c r="Q133" s="23"/>
      <c r="R133" s="23"/>
    </row>
    <row r="134" spans="1:18" outlineLevel="1">
      <c r="A134" s="223">
        <v>43114</v>
      </c>
      <c r="B134" s="285">
        <v>2.2530000000000001E-2</v>
      </c>
      <c r="C134" s="2" t="s">
        <v>8</v>
      </c>
      <c r="D134" s="2">
        <v>10490</v>
      </c>
      <c r="E134" s="31"/>
      <c r="F134" s="284">
        <v>43112</v>
      </c>
      <c r="G134" s="280">
        <v>2.2530000000000001E-2</v>
      </c>
      <c r="H134" s="280">
        <v>3.2530000000000003E-2</v>
      </c>
      <c r="I134" s="280">
        <v>1.2529999999999999E-2</v>
      </c>
      <c r="J134" s="25"/>
      <c r="K134" s="25"/>
      <c r="M134" s="23"/>
      <c r="N134" s="23"/>
      <c r="O134" s="14"/>
      <c r="P134" s="24"/>
      <c r="Q134" s="23"/>
      <c r="R134" s="23"/>
    </row>
    <row r="135" spans="1:18" outlineLevel="1">
      <c r="A135" s="223">
        <v>43115</v>
      </c>
      <c r="B135" s="285">
        <v>2.2610000000000002E-2</v>
      </c>
      <c r="C135" s="2">
        <v>5721</v>
      </c>
      <c r="D135" s="2">
        <v>10851</v>
      </c>
      <c r="E135" s="31"/>
      <c r="F135" s="284">
        <v>43113</v>
      </c>
      <c r="G135" s="280">
        <v>2.2530000000000001E-2</v>
      </c>
      <c r="H135" s="280">
        <v>3.2530000000000003E-2</v>
      </c>
      <c r="I135" s="280">
        <v>1.2529999999999999E-2</v>
      </c>
      <c r="J135" s="25"/>
      <c r="K135" s="25"/>
      <c r="M135" s="23"/>
      <c r="N135" s="23"/>
      <c r="O135" s="14"/>
      <c r="P135" s="24"/>
      <c r="Q135" s="23"/>
      <c r="R135" s="23"/>
    </row>
    <row r="136" spans="1:18" outlineLevel="1">
      <c r="A136" s="223">
        <v>43116</v>
      </c>
      <c r="B136" s="285">
        <v>2.2530000000000001E-2</v>
      </c>
      <c r="C136" s="2">
        <v>5952</v>
      </c>
      <c r="D136" s="2">
        <v>10282</v>
      </c>
      <c r="E136" s="31"/>
      <c r="F136" s="284">
        <v>43114</v>
      </c>
      <c r="G136" s="280">
        <v>2.2530000000000001E-2</v>
      </c>
      <c r="H136" s="280">
        <v>3.2530000000000003E-2</v>
      </c>
      <c r="I136" s="280">
        <v>1.2529999999999999E-2</v>
      </c>
      <c r="J136" s="25"/>
      <c r="K136" s="25"/>
      <c r="M136" s="23"/>
      <c r="N136" s="23"/>
      <c r="O136" s="14"/>
      <c r="P136" s="24"/>
      <c r="Q136" s="23"/>
      <c r="R136" s="23"/>
    </row>
    <row r="137" spans="1:18" outlineLevel="1">
      <c r="A137" s="223">
        <v>43117</v>
      </c>
      <c r="B137" s="285">
        <v>2.2589999999999999E-2</v>
      </c>
      <c r="C137" s="2">
        <v>5317</v>
      </c>
      <c r="D137" s="2">
        <v>9647</v>
      </c>
      <c r="E137" s="31"/>
      <c r="F137" s="284">
        <v>43115</v>
      </c>
      <c r="G137" s="280">
        <v>2.2610000000000002E-2</v>
      </c>
      <c r="H137" s="280">
        <v>3.261E-2</v>
      </c>
      <c r="I137" s="280">
        <v>1.261E-2</v>
      </c>
      <c r="J137" s="25"/>
      <c r="K137" s="25"/>
      <c r="M137" s="23"/>
      <c r="N137" s="23"/>
      <c r="O137" s="14"/>
      <c r="P137" s="24"/>
      <c r="Q137" s="23"/>
      <c r="R137" s="23"/>
    </row>
    <row r="138" spans="1:18" outlineLevel="1">
      <c r="A138" s="223">
        <v>43118</v>
      </c>
      <c r="B138" s="285">
        <v>2.2599999999999999E-2</v>
      </c>
      <c r="C138" s="2">
        <v>7465</v>
      </c>
      <c r="D138" s="2">
        <v>11435</v>
      </c>
      <c r="E138" s="31"/>
      <c r="F138" s="284">
        <v>43116</v>
      </c>
      <c r="G138" s="280">
        <v>2.2530000000000001E-2</v>
      </c>
      <c r="H138" s="280">
        <v>3.2530000000000003E-2</v>
      </c>
      <c r="I138" s="280">
        <v>1.2529999999999999E-2</v>
      </c>
      <c r="J138" s="25"/>
      <c r="K138" s="25"/>
      <c r="M138" s="23"/>
      <c r="N138" s="23"/>
      <c r="O138" s="14"/>
      <c r="P138" s="24"/>
      <c r="Q138" s="23"/>
      <c r="R138" s="23"/>
    </row>
    <row r="139" spans="1:18" outlineLevel="1">
      <c r="A139" s="223">
        <v>43119</v>
      </c>
      <c r="B139" s="285">
        <v>2.2550000000000001E-2</v>
      </c>
      <c r="C139" s="2">
        <v>7148</v>
      </c>
      <c r="D139" s="2">
        <v>11016</v>
      </c>
      <c r="E139" s="31"/>
      <c r="F139" s="284">
        <v>43117</v>
      </c>
      <c r="G139" s="280">
        <v>2.2589999999999999E-2</v>
      </c>
      <c r="H139" s="280">
        <v>3.2590000000000001E-2</v>
      </c>
      <c r="I139" s="280">
        <v>1.259E-2</v>
      </c>
      <c r="J139" s="25"/>
      <c r="K139" s="25"/>
      <c r="M139" s="23"/>
      <c r="N139" s="23"/>
      <c r="O139" s="14"/>
      <c r="P139" s="24"/>
      <c r="Q139" s="23"/>
      <c r="R139" s="23"/>
    </row>
    <row r="140" spans="1:18" outlineLevel="1">
      <c r="A140" s="223">
        <v>43120</v>
      </c>
      <c r="B140" s="285">
        <v>2.2550000000000001E-2</v>
      </c>
      <c r="C140" s="2" t="s">
        <v>8</v>
      </c>
      <c r="D140" s="2">
        <v>11016</v>
      </c>
      <c r="E140" s="31"/>
      <c r="F140" s="284">
        <v>43118</v>
      </c>
      <c r="G140" s="280">
        <v>2.2599999999999999E-2</v>
      </c>
      <c r="H140" s="280">
        <v>3.2599999999999997E-2</v>
      </c>
      <c r="I140" s="280">
        <v>1.26E-2</v>
      </c>
      <c r="J140" s="25"/>
      <c r="K140" s="25"/>
      <c r="M140" s="23"/>
      <c r="N140" s="23"/>
      <c r="O140" s="14"/>
      <c r="P140" s="24"/>
      <c r="Q140" s="23"/>
      <c r="R140" s="23"/>
    </row>
    <row r="141" spans="1:18" outlineLevel="1">
      <c r="A141" s="223">
        <v>43121</v>
      </c>
      <c r="B141" s="285">
        <v>2.2550000000000001E-2</v>
      </c>
      <c r="C141" s="2" t="s">
        <v>8</v>
      </c>
      <c r="D141" s="2">
        <v>11016</v>
      </c>
      <c r="E141" s="31"/>
      <c r="F141" s="284">
        <v>43119</v>
      </c>
      <c r="G141" s="280">
        <v>2.2550000000000001E-2</v>
      </c>
      <c r="H141" s="280">
        <v>3.2550000000000003E-2</v>
      </c>
      <c r="I141" s="280">
        <v>1.255E-2</v>
      </c>
      <c r="J141" s="25"/>
      <c r="K141" s="25"/>
      <c r="M141" s="23"/>
      <c r="N141" s="23"/>
      <c r="O141" s="14"/>
      <c r="P141" s="24"/>
      <c r="Q141" s="23"/>
      <c r="R141" s="23"/>
    </row>
    <row r="142" spans="1:18" outlineLevel="1">
      <c r="A142" s="223">
        <v>43122</v>
      </c>
      <c r="B142" s="285">
        <v>2.2499999999999999E-2</v>
      </c>
      <c r="C142" s="2">
        <v>3241</v>
      </c>
      <c r="D142" s="2">
        <v>7109</v>
      </c>
      <c r="E142" s="31"/>
      <c r="F142" s="284">
        <v>43120</v>
      </c>
      <c r="G142" s="280">
        <v>2.2550000000000001E-2</v>
      </c>
      <c r="H142" s="280">
        <v>3.2550000000000003E-2</v>
      </c>
      <c r="I142" s="280">
        <v>1.255E-2</v>
      </c>
      <c r="J142" s="25"/>
      <c r="K142" s="25"/>
      <c r="M142" s="23"/>
      <c r="N142" s="23"/>
      <c r="O142" s="14"/>
      <c r="P142" s="24"/>
      <c r="Q142" s="23"/>
      <c r="R142" s="23"/>
    </row>
    <row r="143" spans="1:18" outlineLevel="1">
      <c r="A143" s="223">
        <v>43123</v>
      </c>
      <c r="B143" s="285">
        <v>2.2499999999999999E-2</v>
      </c>
      <c r="C143" s="2">
        <v>3844</v>
      </c>
      <c r="D143" s="2">
        <v>7712</v>
      </c>
      <c r="E143" s="31"/>
      <c r="F143" s="284">
        <v>43121</v>
      </c>
      <c r="G143" s="280">
        <v>2.2550000000000001E-2</v>
      </c>
      <c r="H143" s="280">
        <v>3.2550000000000003E-2</v>
      </c>
      <c r="I143" s="280">
        <v>1.255E-2</v>
      </c>
      <c r="J143" s="25"/>
      <c r="K143" s="25"/>
      <c r="M143" s="23"/>
      <c r="N143" s="23"/>
      <c r="O143" s="14"/>
      <c r="P143" s="24"/>
      <c r="Q143" s="23"/>
      <c r="R143" s="23"/>
    </row>
    <row r="144" spans="1:18" outlineLevel="1">
      <c r="A144" s="223">
        <v>43124</v>
      </c>
      <c r="B144" s="285">
        <v>2.2499999999999999E-2</v>
      </c>
      <c r="C144" s="2">
        <v>4683</v>
      </c>
      <c r="D144" s="2">
        <v>8551</v>
      </c>
      <c r="E144" s="31"/>
      <c r="F144" s="284">
        <v>43122</v>
      </c>
      <c r="G144" s="280">
        <v>2.2499999999999999E-2</v>
      </c>
      <c r="H144" s="280">
        <v>3.2500000000000001E-2</v>
      </c>
      <c r="I144" s="280">
        <v>1.2500000000000001E-2</v>
      </c>
      <c r="J144" s="25"/>
      <c r="K144" s="25"/>
      <c r="M144" s="23"/>
      <c r="N144" s="23"/>
      <c r="O144" s="14"/>
      <c r="P144" s="24"/>
      <c r="Q144" s="23"/>
      <c r="R144" s="23"/>
    </row>
    <row r="145" spans="1:22" outlineLevel="1">
      <c r="A145" s="223">
        <v>43125</v>
      </c>
      <c r="B145" s="285">
        <v>2.2499999999999999E-2</v>
      </c>
      <c r="C145" s="2">
        <v>4908</v>
      </c>
      <c r="D145" s="2">
        <v>9676</v>
      </c>
      <c r="E145" s="31"/>
      <c r="F145" s="284">
        <v>43123</v>
      </c>
      <c r="G145" s="280">
        <v>2.2499999999999999E-2</v>
      </c>
      <c r="H145" s="280">
        <v>3.2500000000000001E-2</v>
      </c>
      <c r="I145" s="280">
        <v>1.2500000000000001E-2</v>
      </c>
      <c r="J145" s="25"/>
      <c r="K145" s="25"/>
      <c r="M145" s="23"/>
      <c r="N145" s="23"/>
      <c r="O145" s="14"/>
      <c r="P145" s="24"/>
      <c r="Q145" s="23"/>
      <c r="R145" s="23"/>
    </row>
    <row r="146" spans="1:22" outlineLevel="1">
      <c r="A146" s="223">
        <v>43126</v>
      </c>
      <c r="B146" s="285">
        <v>2.2540000000000001E-2</v>
      </c>
      <c r="C146" s="2">
        <v>5639</v>
      </c>
      <c r="D146" s="2">
        <v>10537</v>
      </c>
      <c r="E146" s="31"/>
      <c r="F146" s="284">
        <v>43124</v>
      </c>
      <c r="G146" s="280">
        <v>2.2499999999999999E-2</v>
      </c>
      <c r="H146" s="280">
        <v>3.2500000000000001E-2</v>
      </c>
      <c r="I146" s="280">
        <v>1.2500000000000001E-2</v>
      </c>
      <c r="J146" s="25"/>
      <c r="K146" s="25"/>
      <c r="M146" s="23"/>
      <c r="N146" s="23"/>
      <c r="O146" s="14"/>
      <c r="P146" s="24"/>
      <c r="Q146" s="23"/>
      <c r="R146" s="23"/>
    </row>
    <row r="147" spans="1:22" outlineLevel="1">
      <c r="A147" s="223">
        <v>43127</v>
      </c>
      <c r="B147" s="285">
        <v>2.2540000000000001E-2</v>
      </c>
      <c r="C147" s="2" t="s">
        <v>8</v>
      </c>
      <c r="D147" s="2">
        <v>10537</v>
      </c>
      <c r="E147" s="31"/>
      <c r="F147" s="284">
        <v>43125</v>
      </c>
      <c r="G147" s="280">
        <v>2.2499999999999999E-2</v>
      </c>
      <c r="H147" s="280">
        <v>3.2500000000000001E-2</v>
      </c>
      <c r="I147" s="280">
        <v>1.2500000000000001E-2</v>
      </c>
      <c r="J147" s="25"/>
      <c r="K147" s="25"/>
      <c r="M147" s="23"/>
      <c r="N147" s="23"/>
      <c r="O147" s="14"/>
      <c r="P147" s="24"/>
      <c r="Q147" s="23"/>
      <c r="R147" s="23"/>
    </row>
    <row r="148" spans="1:22" outlineLevel="1">
      <c r="A148" s="223">
        <v>43128</v>
      </c>
      <c r="B148" s="285">
        <v>2.2540000000000001E-2</v>
      </c>
      <c r="C148" s="2" t="s">
        <v>8</v>
      </c>
      <c r="D148" s="2">
        <v>10537</v>
      </c>
      <c r="E148" s="31"/>
      <c r="F148" s="284">
        <v>43126</v>
      </c>
      <c r="G148" s="280">
        <v>2.2540000000000001E-2</v>
      </c>
      <c r="H148" s="280">
        <v>3.2539999999999999E-2</v>
      </c>
      <c r="I148" s="280">
        <v>1.2540000000000001E-2</v>
      </c>
      <c r="J148" s="25"/>
      <c r="K148" s="25"/>
      <c r="M148" s="23"/>
      <c r="N148" s="23"/>
      <c r="O148" s="14"/>
      <c r="P148" s="24"/>
      <c r="Q148" s="23"/>
      <c r="R148" s="23"/>
    </row>
    <row r="149" spans="1:22" outlineLevel="1">
      <c r="A149" s="223">
        <v>43129</v>
      </c>
      <c r="B149" s="285">
        <v>2.2519999999999998E-2</v>
      </c>
      <c r="C149" s="2">
        <v>5194</v>
      </c>
      <c r="D149" s="2">
        <v>10063</v>
      </c>
      <c r="E149" s="31"/>
      <c r="F149" s="284">
        <v>43127</v>
      </c>
      <c r="G149" s="280">
        <v>2.2540000000000001E-2</v>
      </c>
      <c r="H149" s="280">
        <v>3.2539999999999999E-2</v>
      </c>
      <c r="I149" s="280">
        <v>1.2540000000000001E-2</v>
      </c>
      <c r="J149" s="25"/>
      <c r="K149" s="25"/>
      <c r="M149" s="23"/>
      <c r="N149" s="23"/>
      <c r="O149" s="14"/>
      <c r="P149" s="24"/>
      <c r="Q149" s="23"/>
      <c r="R149" s="23"/>
    </row>
    <row r="150" spans="1:22" outlineLevel="1">
      <c r="A150" s="223">
        <v>43130</v>
      </c>
      <c r="B150" s="285">
        <v>2.2540000000000001E-2</v>
      </c>
      <c r="C150" s="2">
        <v>5427</v>
      </c>
      <c r="D150" s="2">
        <v>10296</v>
      </c>
      <c r="E150" s="31"/>
      <c r="F150" s="284">
        <v>43128</v>
      </c>
      <c r="G150" s="280">
        <v>2.2540000000000001E-2</v>
      </c>
      <c r="H150" s="280">
        <v>3.2539999999999999E-2</v>
      </c>
      <c r="I150" s="280">
        <v>1.2540000000000001E-2</v>
      </c>
      <c r="J150" s="25"/>
      <c r="K150" s="25"/>
      <c r="M150" s="23"/>
      <c r="N150" s="23"/>
      <c r="O150" s="14"/>
      <c r="P150" s="24"/>
      <c r="Q150" s="23"/>
      <c r="R150" s="23"/>
    </row>
    <row r="151" spans="1:22" outlineLevel="1">
      <c r="A151" s="223">
        <v>43131</v>
      </c>
      <c r="B151" s="285">
        <v>2.2540000000000001E-2</v>
      </c>
      <c r="C151" s="2">
        <v>5118</v>
      </c>
      <c r="D151" s="2">
        <v>10587</v>
      </c>
      <c r="E151" s="31"/>
      <c r="F151" s="284">
        <v>43129</v>
      </c>
      <c r="G151" s="280">
        <v>2.2519999999999998E-2</v>
      </c>
      <c r="H151" s="280">
        <v>3.252E-2</v>
      </c>
      <c r="I151" s="280">
        <v>1.252E-2</v>
      </c>
      <c r="J151" s="25"/>
      <c r="K151" s="25"/>
      <c r="M151" s="23"/>
      <c r="N151" s="23"/>
      <c r="O151" s="14"/>
      <c r="P151" s="24"/>
      <c r="Q151" s="23"/>
      <c r="R151" s="23"/>
    </row>
    <row r="152" spans="1:22" outlineLevel="1">
      <c r="A152" s="223">
        <v>43132</v>
      </c>
      <c r="B152" s="285">
        <v>2.2499999999999999E-2</v>
      </c>
      <c r="C152" s="2">
        <v>4747</v>
      </c>
      <c r="D152" s="2">
        <v>9266</v>
      </c>
      <c r="E152" s="31"/>
      <c r="F152" s="284">
        <v>43130</v>
      </c>
      <c r="G152" s="280">
        <v>2.2540000000000001E-2</v>
      </c>
      <c r="H152" s="280">
        <v>3.2539999999999999E-2</v>
      </c>
      <c r="I152" s="280">
        <v>1.2540000000000001E-2</v>
      </c>
      <c r="J152" s="25"/>
      <c r="K152" s="25"/>
      <c r="M152" s="23"/>
      <c r="N152" s="23"/>
      <c r="O152" s="14"/>
      <c r="P152" s="24"/>
      <c r="Q152" s="23"/>
      <c r="R152" s="23"/>
    </row>
    <row r="153" spans="1:22" outlineLevel="1">
      <c r="A153" s="223">
        <v>43133</v>
      </c>
      <c r="B153" s="285">
        <v>2.2499999999999999E-2</v>
      </c>
      <c r="C153" s="2">
        <v>3915</v>
      </c>
      <c r="D153" s="2">
        <v>8434</v>
      </c>
      <c r="E153" s="31"/>
      <c r="F153" s="284">
        <v>43131</v>
      </c>
      <c r="G153" s="280">
        <v>2.2540000000000001E-2</v>
      </c>
      <c r="H153" s="280">
        <v>3.2539999999999999E-2</v>
      </c>
      <c r="I153" s="280">
        <v>1.2540000000000001E-2</v>
      </c>
      <c r="J153" s="25"/>
      <c r="K153" s="25"/>
      <c r="M153" s="23"/>
      <c r="N153" s="23"/>
      <c r="O153" s="14"/>
      <c r="P153" s="24"/>
      <c r="Q153" s="23"/>
      <c r="R153" s="23"/>
      <c r="S153" s="35"/>
      <c r="T153" s="35"/>
      <c r="U153" s="35"/>
      <c r="V153" s="35"/>
    </row>
    <row r="154" spans="1:22" outlineLevel="1">
      <c r="A154" s="223">
        <v>43134</v>
      </c>
      <c r="B154" s="285">
        <v>2.2499999999999999E-2</v>
      </c>
      <c r="C154" s="2" t="s">
        <v>8</v>
      </c>
      <c r="D154" s="2">
        <v>8434</v>
      </c>
      <c r="E154" s="31"/>
      <c r="F154" s="284">
        <v>43132</v>
      </c>
      <c r="G154" s="280">
        <v>2.2499999999999999E-2</v>
      </c>
      <c r="H154" s="280">
        <v>3.2500000000000001E-2</v>
      </c>
      <c r="I154" s="280">
        <v>1.2500000000000001E-2</v>
      </c>
      <c r="J154" s="25"/>
      <c r="K154" s="25"/>
      <c r="M154" s="23"/>
      <c r="N154" s="23"/>
      <c r="O154" s="14"/>
      <c r="P154" s="24"/>
      <c r="Q154" s="23"/>
      <c r="R154" s="23"/>
    </row>
    <row r="155" spans="1:22" outlineLevel="1">
      <c r="A155" s="223">
        <v>43135</v>
      </c>
      <c r="B155" s="285">
        <v>2.2499999999999999E-2</v>
      </c>
      <c r="C155" s="2" t="s">
        <v>8</v>
      </c>
      <c r="D155" s="2">
        <v>8434</v>
      </c>
      <c r="E155" s="31"/>
      <c r="F155" s="284">
        <v>43133</v>
      </c>
      <c r="G155" s="280">
        <v>2.2499999999999999E-2</v>
      </c>
      <c r="H155" s="280">
        <v>3.2500000000000001E-2</v>
      </c>
      <c r="I155" s="280">
        <v>1.2500000000000001E-2</v>
      </c>
      <c r="J155" s="25"/>
      <c r="K155" s="25"/>
      <c r="M155" s="23"/>
      <c r="N155" s="23"/>
      <c r="O155" s="14"/>
      <c r="P155" s="24"/>
      <c r="Q155" s="23"/>
      <c r="R155" s="23"/>
    </row>
    <row r="156" spans="1:22" outlineLevel="1">
      <c r="A156" s="223">
        <v>43136</v>
      </c>
      <c r="B156" s="285">
        <v>2.2499999999999999E-2</v>
      </c>
      <c r="C156" s="2">
        <v>3572</v>
      </c>
      <c r="D156" s="2">
        <v>8391</v>
      </c>
      <c r="E156" s="31"/>
      <c r="F156" s="284">
        <v>43134</v>
      </c>
      <c r="G156" s="280">
        <v>2.2499999999999999E-2</v>
      </c>
      <c r="H156" s="280">
        <v>3.2500000000000001E-2</v>
      </c>
      <c r="I156" s="280">
        <v>1.2500000000000001E-2</v>
      </c>
      <c r="J156" s="25"/>
      <c r="K156" s="25"/>
      <c r="M156" s="23"/>
      <c r="N156" s="23"/>
      <c r="O156" s="14"/>
      <c r="P156" s="24"/>
      <c r="Q156" s="23"/>
      <c r="R156" s="23"/>
    </row>
    <row r="157" spans="1:22" outlineLevel="1">
      <c r="A157" s="223">
        <v>43137</v>
      </c>
      <c r="B157" s="285">
        <v>2.2499999999999999E-2</v>
      </c>
      <c r="C157" s="2">
        <v>3431</v>
      </c>
      <c r="D157" s="2">
        <v>8180</v>
      </c>
      <c r="E157" s="31"/>
      <c r="F157" s="284">
        <v>43135</v>
      </c>
      <c r="G157" s="280">
        <v>2.2499999999999999E-2</v>
      </c>
      <c r="H157" s="280">
        <v>3.2500000000000001E-2</v>
      </c>
      <c r="I157" s="280">
        <v>1.2500000000000001E-2</v>
      </c>
      <c r="J157" s="25"/>
      <c r="K157" s="25"/>
      <c r="M157" s="23"/>
      <c r="N157" s="23"/>
      <c r="O157" s="14"/>
      <c r="P157" s="24"/>
      <c r="Q157" s="23"/>
      <c r="R157" s="23"/>
    </row>
    <row r="158" spans="1:22" outlineLevel="1">
      <c r="A158" s="223">
        <v>43138</v>
      </c>
      <c r="B158" s="285">
        <v>2.2499999999999999E-2</v>
      </c>
      <c r="C158" s="2">
        <v>3470</v>
      </c>
      <c r="D158" s="2">
        <v>8219</v>
      </c>
      <c r="E158" s="31"/>
      <c r="F158" s="284">
        <v>43136</v>
      </c>
      <c r="G158" s="280">
        <v>2.2499999999999999E-2</v>
      </c>
      <c r="H158" s="280">
        <v>3.2500000000000001E-2</v>
      </c>
      <c r="I158" s="280">
        <v>1.2500000000000001E-2</v>
      </c>
      <c r="J158" s="25"/>
      <c r="K158" s="25"/>
      <c r="M158" s="23"/>
      <c r="N158" s="23"/>
      <c r="O158" s="14"/>
      <c r="P158" s="24"/>
      <c r="Q158" s="23"/>
      <c r="R158" s="23"/>
    </row>
    <row r="159" spans="1:22" outlineLevel="1">
      <c r="A159" s="223">
        <v>43139</v>
      </c>
      <c r="B159" s="285">
        <v>2.2499999999999999E-2</v>
      </c>
      <c r="C159" s="2">
        <v>2388</v>
      </c>
      <c r="D159" s="2">
        <v>7337</v>
      </c>
      <c r="E159" s="31"/>
      <c r="F159" s="284">
        <v>43137</v>
      </c>
      <c r="G159" s="280">
        <v>2.2499999999999999E-2</v>
      </c>
      <c r="H159" s="280">
        <v>3.2500000000000001E-2</v>
      </c>
      <c r="I159" s="280">
        <v>1.2500000000000001E-2</v>
      </c>
      <c r="J159" s="25"/>
      <c r="K159" s="25"/>
      <c r="M159" s="23"/>
      <c r="N159" s="23"/>
      <c r="O159" s="14"/>
      <c r="P159" s="24"/>
      <c r="Q159" s="23"/>
      <c r="R159" s="23"/>
    </row>
    <row r="160" spans="1:22" outlineLevel="1">
      <c r="A160" s="223">
        <v>43140</v>
      </c>
      <c r="B160" s="285">
        <v>2.2540000000000001E-2</v>
      </c>
      <c r="C160" s="2">
        <v>3399</v>
      </c>
      <c r="D160" s="2">
        <v>8348</v>
      </c>
      <c r="E160" s="31"/>
      <c r="F160" s="284">
        <v>43138</v>
      </c>
      <c r="G160" s="280">
        <v>2.2499999999999999E-2</v>
      </c>
      <c r="H160" s="280">
        <v>3.2500000000000001E-2</v>
      </c>
      <c r="I160" s="280">
        <v>1.2500000000000001E-2</v>
      </c>
      <c r="J160" s="25"/>
      <c r="K160" s="25"/>
      <c r="M160" s="23"/>
      <c r="N160" s="23"/>
      <c r="O160" s="14"/>
      <c r="P160" s="24"/>
      <c r="Q160" s="23"/>
      <c r="R160" s="23"/>
    </row>
    <row r="161" spans="1:18" outlineLevel="1">
      <c r="A161" s="223">
        <v>43141</v>
      </c>
      <c r="B161" s="285">
        <v>2.2540000000000001E-2</v>
      </c>
      <c r="C161" s="2" t="s">
        <v>8</v>
      </c>
      <c r="D161" s="2">
        <v>8348</v>
      </c>
      <c r="E161" s="31"/>
      <c r="F161" s="284">
        <v>43139</v>
      </c>
      <c r="G161" s="280">
        <v>2.2499999999999999E-2</v>
      </c>
      <c r="H161" s="280">
        <v>3.2500000000000001E-2</v>
      </c>
      <c r="I161" s="280">
        <v>1.2500000000000001E-2</v>
      </c>
      <c r="J161" s="25"/>
      <c r="K161" s="25"/>
      <c r="M161" s="23"/>
      <c r="N161" s="23"/>
      <c r="O161" s="14"/>
      <c r="P161" s="24"/>
      <c r="Q161" s="23"/>
      <c r="R161" s="23"/>
    </row>
    <row r="162" spans="1:18" outlineLevel="1">
      <c r="A162" s="223">
        <v>43142</v>
      </c>
      <c r="B162" s="285">
        <v>2.2540000000000001E-2</v>
      </c>
      <c r="C162" s="2" t="s">
        <v>8</v>
      </c>
      <c r="D162" s="2">
        <v>8348</v>
      </c>
      <c r="E162" s="31"/>
      <c r="F162" s="284">
        <v>43140</v>
      </c>
      <c r="G162" s="280">
        <v>2.2540000000000001E-2</v>
      </c>
      <c r="H162" s="280">
        <v>3.2539999999999999E-2</v>
      </c>
      <c r="I162" s="280">
        <v>1.2540000000000001E-2</v>
      </c>
      <c r="J162" s="25"/>
      <c r="K162" s="25"/>
      <c r="M162" s="23"/>
      <c r="N162" s="23"/>
      <c r="O162" s="14"/>
      <c r="P162" s="24"/>
      <c r="Q162" s="23"/>
      <c r="R162" s="23"/>
    </row>
    <row r="163" spans="1:18" outlineLevel="1">
      <c r="A163" s="223">
        <v>43143</v>
      </c>
      <c r="B163" s="285">
        <v>2.2589999999999999E-2</v>
      </c>
      <c r="C163" s="2">
        <v>3271</v>
      </c>
      <c r="D163" s="2">
        <v>8220</v>
      </c>
      <c r="E163" s="31"/>
      <c r="F163" s="284">
        <v>43141</v>
      </c>
      <c r="G163" s="280">
        <v>2.2540000000000001E-2</v>
      </c>
      <c r="H163" s="280">
        <v>3.2539999999999999E-2</v>
      </c>
      <c r="I163" s="280">
        <v>1.2540000000000001E-2</v>
      </c>
      <c r="J163" s="25"/>
      <c r="K163" s="25"/>
      <c r="M163" s="23"/>
      <c r="N163" s="23"/>
      <c r="O163" s="14"/>
      <c r="P163" s="24"/>
      <c r="Q163" s="23"/>
      <c r="R163" s="23"/>
    </row>
    <row r="164" spans="1:18" outlineLevel="1">
      <c r="A164" s="223">
        <v>43144</v>
      </c>
      <c r="B164" s="285">
        <v>2.2499999999999999E-2</v>
      </c>
      <c r="C164" s="2">
        <v>3415</v>
      </c>
      <c r="D164" s="2">
        <v>8364</v>
      </c>
      <c r="E164" s="31"/>
      <c r="F164" s="284">
        <v>43142</v>
      </c>
      <c r="G164" s="280">
        <v>2.2540000000000001E-2</v>
      </c>
      <c r="H164" s="280">
        <v>3.2539999999999999E-2</v>
      </c>
      <c r="I164" s="280">
        <v>1.2540000000000001E-2</v>
      </c>
      <c r="J164" s="25"/>
      <c r="K164" s="25"/>
      <c r="M164" s="23"/>
      <c r="N164" s="23"/>
      <c r="O164" s="14"/>
      <c r="P164" s="24"/>
      <c r="Q164" s="23"/>
      <c r="R164" s="23"/>
    </row>
    <row r="165" spans="1:18" outlineLevel="1">
      <c r="A165" s="223">
        <v>43145</v>
      </c>
      <c r="B165" s="285">
        <v>2.2599999999999999E-2</v>
      </c>
      <c r="C165" s="2">
        <v>4316</v>
      </c>
      <c r="D165" s="2">
        <v>8904</v>
      </c>
      <c r="E165" s="31"/>
      <c r="F165" s="284">
        <v>43143</v>
      </c>
      <c r="G165" s="280">
        <v>2.2589999999999999E-2</v>
      </c>
      <c r="H165" s="280">
        <v>3.2590000000000001E-2</v>
      </c>
      <c r="I165" s="280">
        <v>1.259E-2</v>
      </c>
      <c r="J165" s="25"/>
      <c r="K165" s="25"/>
      <c r="M165" s="23"/>
      <c r="N165" s="23"/>
      <c r="O165" s="14"/>
      <c r="P165" s="24"/>
      <c r="Q165" s="23"/>
      <c r="R165" s="23"/>
    </row>
    <row r="166" spans="1:18" outlineLevel="1">
      <c r="A166" s="223">
        <v>43146</v>
      </c>
      <c r="B166" s="285">
        <v>2.2499999999999999E-2</v>
      </c>
      <c r="C166" s="2">
        <v>3734</v>
      </c>
      <c r="D166" s="2">
        <v>7972</v>
      </c>
      <c r="E166" s="31"/>
      <c r="F166" s="284">
        <v>43144</v>
      </c>
      <c r="G166" s="280">
        <v>2.2499999999999999E-2</v>
      </c>
      <c r="H166" s="280">
        <v>3.2500000000000001E-2</v>
      </c>
      <c r="I166" s="280">
        <v>1.2500000000000001E-2</v>
      </c>
      <c r="J166" s="25"/>
      <c r="K166" s="25"/>
      <c r="M166" s="23"/>
      <c r="N166" s="23"/>
      <c r="O166" s="14"/>
      <c r="P166" s="24"/>
      <c r="Q166" s="23"/>
      <c r="R166" s="23"/>
    </row>
    <row r="167" spans="1:18" outlineLevel="1">
      <c r="A167" s="223">
        <v>43147</v>
      </c>
      <c r="B167" s="285">
        <v>2.257E-2</v>
      </c>
      <c r="C167" s="2">
        <v>4335</v>
      </c>
      <c r="D167" s="2">
        <v>8443</v>
      </c>
      <c r="E167" s="31"/>
      <c r="F167" s="284">
        <v>43145</v>
      </c>
      <c r="G167" s="280">
        <v>2.2599999999999999E-2</v>
      </c>
      <c r="H167" s="280">
        <v>3.2599999999999997E-2</v>
      </c>
      <c r="I167" s="280">
        <v>1.26E-2</v>
      </c>
      <c r="J167" s="25"/>
      <c r="K167" s="25"/>
      <c r="M167" s="23"/>
      <c r="N167" s="23"/>
      <c r="O167" s="14"/>
      <c r="P167" s="24"/>
      <c r="Q167" s="23"/>
      <c r="R167" s="23"/>
    </row>
    <row r="168" spans="1:18" outlineLevel="1">
      <c r="A168" s="223">
        <v>43148</v>
      </c>
      <c r="B168" s="285">
        <v>2.257E-2</v>
      </c>
      <c r="C168" s="2" t="s">
        <v>8</v>
      </c>
      <c r="D168" s="2">
        <v>8443</v>
      </c>
      <c r="E168" s="31"/>
      <c r="F168" s="284">
        <v>43146</v>
      </c>
      <c r="G168" s="280">
        <v>2.2499999999999999E-2</v>
      </c>
      <c r="H168" s="280">
        <v>3.2500000000000001E-2</v>
      </c>
      <c r="I168" s="280">
        <v>1.2500000000000001E-2</v>
      </c>
      <c r="J168" s="25"/>
      <c r="K168" s="25"/>
      <c r="M168" s="23"/>
      <c r="N168" s="23"/>
      <c r="O168" s="14"/>
      <c r="P168" s="24"/>
      <c r="Q168" s="23"/>
      <c r="R168" s="23"/>
    </row>
    <row r="169" spans="1:18" outlineLevel="1">
      <c r="A169" s="223">
        <v>43149</v>
      </c>
      <c r="B169" s="285">
        <v>2.257E-2</v>
      </c>
      <c r="C169" s="2">
        <v>0</v>
      </c>
      <c r="D169" s="2">
        <v>8443</v>
      </c>
      <c r="E169" s="31"/>
      <c r="F169" s="284">
        <v>43147</v>
      </c>
      <c r="G169" s="280">
        <v>2.257E-2</v>
      </c>
      <c r="H169" s="280">
        <v>3.2570000000000002E-2</v>
      </c>
      <c r="I169" s="280">
        <v>1.257E-2</v>
      </c>
      <c r="J169" s="25"/>
      <c r="K169" s="25"/>
      <c r="M169" s="23"/>
      <c r="N169" s="23"/>
      <c r="O169" s="14"/>
      <c r="P169" s="24"/>
      <c r="Q169" s="23"/>
      <c r="R169" s="23"/>
    </row>
    <row r="170" spans="1:18" outlineLevel="1">
      <c r="A170" s="223">
        <v>43150</v>
      </c>
      <c r="B170" s="285">
        <v>2.2540000000000001E-2</v>
      </c>
      <c r="C170" s="2">
        <v>3533</v>
      </c>
      <c r="D170" s="2">
        <v>7641</v>
      </c>
      <c r="E170" s="31"/>
      <c r="F170" s="284">
        <v>43148</v>
      </c>
      <c r="G170" s="280">
        <v>2.257E-2</v>
      </c>
      <c r="H170" s="280">
        <v>3.2570000000000002E-2</v>
      </c>
      <c r="I170" s="280">
        <v>1.257E-2</v>
      </c>
      <c r="J170" s="25"/>
      <c r="K170" s="25"/>
      <c r="M170" s="23"/>
      <c r="N170" s="23"/>
      <c r="O170" s="14"/>
      <c r="P170" s="24"/>
      <c r="Q170" s="23"/>
      <c r="R170" s="23"/>
    </row>
    <row r="171" spans="1:18" outlineLevel="1">
      <c r="A171" s="223">
        <v>43151</v>
      </c>
      <c r="B171" s="285">
        <v>2.2499999999999999E-2</v>
      </c>
      <c r="C171" s="2">
        <v>3749</v>
      </c>
      <c r="D171" s="2">
        <v>7857</v>
      </c>
      <c r="E171" s="31"/>
      <c r="F171" s="284">
        <v>43149</v>
      </c>
      <c r="G171" s="280">
        <v>2.257E-2</v>
      </c>
      <c r="H171" s="280">
        <v>3.2570000000000002E-2</v>
      </c>
      <c r="I171" s="280">
        <v>1.257E-2</v>
      </c>
      <c r="J171" s="25"/>
      <c r="K171" s="25"/>
      <c r="M171" s="23"/>
      <c r="N171" s="23"/>
      <c r="O171" s="14"/>
      <c r="P171" s="24"/>
      <c r="Q171" s="23"/>
      <c r="R171" s="23"/>
    </row>
    <row r="172" spans="1:18" outlineLevel="1">
      <c r="A172" s="223">
        <v>43152</v>
      </c>
      <c r="B172" s="285">
        <v>2.2499999999999999E-2</v>
      </c>
      <c r="C172" s="2">
        <v>3767</v>
      </c>
      <c r="D172" s="2">
        <v>7875</v>
      </c>
      <c r="E172" s="31"/>
      <c r="F172" s="284">
        <v>43150</v>
      </c>
      <c r="G172" s="280">
        <v>2.2540000000000001E-2</v>
      </c>
      <c r="H172" s="280">
        <v>3.2539999999999999E-2</v>
      </c>
      <c r="I172" s="280">
        <v>1.2540000000000001E-2</v>
      </c>
      <c r="J172" s="25"/>
      <c r="K172" s="25"/>
      <c r="M172" s="23"/>
      <c r="N172" s="23"/>
      <c r="O172" s="14"/>
      <c r="P172" s="24"/>
      <c r="Q172" s="23"/>
      <c r="R172" s="23"/>
    </row>
    <row r="173" spans="1:18" outlineLevel="1">
      <c r="A173" s="223">
        <v>43153</v>
      </c>
      <c r="B173" s="285">
        <v>2.2499999999999999E-2</v>
      </c>
      <c r="C173" s="2">
        <v>2536</v>
      </c>
      <c r="D173" s="2">
        <v>6734</v>
      </c>
      <c r="E173" s="31"/>
      <c r="F173" s="284">
        <v>43151</v>
      </c>
      <c r="G173" s="280">
        <v>2.2499999999999999E-2</v>
      </c>
      <c r="H173" s="280">
        <v>3.2500000000000001E-2</v>
      </c>
      <c r="I173" s="280">
        <v>1.2500000000000001E-2</v>
      </c>
      <c r="J173" s="25"/>
      <c r="K173" s="25"/>
      <c r="M173" s="23"/>
      <c r="N173" s="23"/>
      <c r="O173" s="14"/>
      <c r="P173" s="24"/>
      <c r="Q173" s="23"/>
      <c r="R173" s="23"/>
    </row>
    <row r="174" spans="1:18" outlineLevel="1">
      <c r="A174" s="223">
        <v>43154</v>
      </c>
      <c r="B174" s="285">
        <v>2.2499999999999999E-2</v>
      </c>
      <c r="C174" s="2">
        <v>2872</v>
      </c>
      <c r="D174" s="2">
        <v>7070</v>
      </c>
      <c r="E174" s="31"/>
      <c r="F174" s="284">
        <v>43152</v>
      </c>
      <c r="G174" s="280">
        <v>2.2499999999999999E-2</v>
      </c>
      <c r="H174" s="280">
        <v>3.2500000000000001E-2</v>
      </c>
      <c r="I174" s="280">
        <v>1.2500000000000001E-2</v>
      </c>
      <c r="J174" s="25"/>
      <c r="K174" s="25"/>
      <c r="M174" s="23"/>
      <c r="N174" s="23"/>
      <c r="O174" s="14"/>
      <c r="P174" s="24"/>
      <c r="Q174" s="23"/>
      <c r="R174" s="23"/>
    </row>
    <row r="175" spans="1:18" outlineLevel="1">
      <c r="A175" s="223">
        <v>43155</v>
      </c>
      <c r="B175" s="285">
        <v>2.2499999999999999E-2</v>
      </c>
      <c r="C175" s="2" t="s">
        <v>8</v>
      </c>
      <c r="D175" s="2">
        <v>7070</v>
      </c>
      <c r="E175" s="31"/>
      <c r="F175" s="284">
        <v>43153</v>
      </c>
      <c r="G175" s="280">
        <v>2.2499999999999999E-2</v>
      </c>
      <c r="H175" s="280">
        <v>3.2500000000000001E-2</v>
      </c>
      <c r="I175" s="280">
        <v>1.2500000000000001E-2</v>
      </c>
      <c r="J175" s="25"/>
      <c r="K175" s="25"/>
      <c r="M175" s="23"/>
      <c r="N175" s="23"/>
      <c r="O175" s="14"/>
      <c r="P175" s="24"/>
      <c r="Q175" s="23"/>
      <c r="R175" s="23"/>
    </row>
    <row r="176" spans="1:18" outlineLevel="1">
      <c r="A176" s="223">
        <v>43156</v>
      </c>
      <c r="B176" s="285">
        <v>2.2499999999999999E-2</v>
      </c>
      <c r="C176" s="2" t="s">
        <v>8</v>
      </c>
      <c r="D176" s="2">
        <v>7070</v>
      </c>
      <c r="E176" s="31"/>
      <c r="F176" s="284">
        <v>43154</v>
      </c>
      <c r="G176" s="280">
        <v>2.2499999999999999E-2</v>
      </c>
      <c r="H176" s="280">
        <v>3.2500000000000001E-2</v>
      </c>
      <c r="I176" s="280">
        <v>1.2500000000000001E-2</v>
      </c>
      <c r="J176" s="25"/>
      <c r="K176" s="25"/>
      <c r="M176" s="23"/>
      <c r="N176" s="23"/>
      <c r="O176" s="14"/>
      <c r="P176" s="24"/>
      <c r="Q176" s="23"/>
      <c r="R176" s="23"/>
    </row>
    <row r="177" spans="1:18" outlineLevel="1">
      <c r="A177" s="223">
        <v>43157</v>
      </c>
      <c r="B177" s="285">
        <v>2.2499999999999999E-2</v>
      </c>
      <c r="C177" s="2">
        <v>2821</v>
      </c>
      <c r="D177" s="2">
        <v>7010</v>
      </c>
      <c r="E177" s="31"/>
      <c r="F177" s="284">
        <v>43155</v>
      </c>
      <c r="G177" s="280">
        <v>2.2499999999999999E-2</v>
      </c>
      <c r="H177" s="280">
        <v>3.2500000000000001E-2</v>
      </c>
      <c r="I177" s="280">
        <v>1.2500000000000001E-2</v>
      </c>
      <c r="J177" s="25"/>
      <c r="K177" s="25"/>
      <c r="M177" s="23"/>
      <c r="N177" s="23"/>
      <c r="O177" s="14"/>
      <c r="P177" s="24"/>
      <c r="Q177" s="23"/>
      <c r="R177" s="23"/>
    </row>
    <row r="178" spans="1:18" outlineLevel="1">
      <c r="A178" s="223">
        <v>43158</v>
      </c>
      <c r="B178" s="285">
        <v>2.2499999999999999E-2</v>
      </c>
      <c r="C178" s="2">
        <v>2964</v>
      </c>
      <c r="D178" s="2">
        <v>7353</v>
      </c>
      <c r="E178" s="31"/>
      <c r="F178" s="284">
        <v>43156</v>
      </c>
      <c r="G178" s="280">
        <v>2.2499999999999999E-2</v>
      </c>
      <c r="H178" s="280">
        <v>3.2500000000000001E-2</v>
      </c>
      <c r="I178" s="280">
        <v>1.2500000000000001E-2</v>
      </c>
      <c r="J178" s="25"/>
      <c r="K178" s="25"/>
      <c r="M178" s="23"/>
      <c r="N178" s="23"/>
      <c r="O178" s="14"/>
      <c r="P178" s="24"/>
      <c r="Q178" s="23"/>
      <c r="R178" s="23"/>
    </row>
    <row r="179" spans="1:18" outlineLevel="1">
      <c r="A179" s="223">
        <v>43159</v>
      </c>
      <c r="B179" s="285">
        <v>2.2550000000000001E-2</v>
      </c>
      <c r="C179" s="2">
        <v>3951</v>
      </c>
      <c r="D179" s="2">
        <v>8840</v>
      </c>
      <c r="E179" s="31"/>
      <c r="F179" s="284">
        <v>43157</v>
      </c>
      <c r="G179" s="280">
        <v>2.2499999999999999E-2</v>
      </c>
      <c r="H179" s="280">
        <v>3.2500000000000001E-2</v>
      </c>
      <c r="I179" s="280">
        <v>1.2500000000000001E-2</v>
      </c>
      <c r="J179" s="25"/>
      <c r="K179" s="25"/>
      <c r="M179" s="23"/>
      <c r="N179" s="23"/>
      <c r="O179" s="14"/>
      <c r="P179" s="24"/>
      <c r="Q179" s="23"/>
      <c r="R179" s="23"/>
    </row>
    <row r="180" spans="1:18" outlineLevel="1">
      <c r="A180" s="223">
        <v>43160</v>
      </c>
      <c r="B180" s="285">
        <v>2.2550000000000001E-2</v>
      </c>
      <c r="C180" s="2">
        <v>4247</v>
      </c>
      <c r="D180" s="2">
        <v>8786</v>
      </c>
      <c r="E180" s="31"/>
      <c r="F180" s="284">
        <v>43158</v>
      </c>
      <c r="G180" s="280">
        <v>2.2499999999999999E-2</v>
      </c>
      <c r="H180" s="280">
        <v>3.2500000000000001E-2</v>
      </c>
      <c r="I180" s="280">
        <v>1.2500000000000001E-2</v>
      </c>
      <c r="J180" s="25"/>
      <c r="K180" s="25"/>
      <c r="M180" s="23"/>
      <c r="N180" s="23"/>
      <c r="O180" s="14"/>
      <c r="P180" s="24"/>
      <c r="Q180" s="23"/>
      <c r="R180" s="23"/>
    </row>
    <row r="181" spans="1:18" outlineLevel="1">
      <c r="A181" s="223">
        <v>43161</v>
      </c>
      <c r="B181" s="285">
        <v>2.2499999999999999E-2</v>
      </c>
      <c r="C181" s="2">
        <v>2860</v>
      </c>
      <c r="D181" s="2">
        <v>7399</v>
      </c>
      <c r="E181" s="31"/>
      <c r="F181" s="284">
        <v>43159</v>
      </c>
      <c r="G181" s="280">
        <v>2.2550000000000001E-2</v>
      </c>
      <c r="H181" s="280">
        <v>3.2550000000000003E-2</v>
      </c>
      <c r="I181" s="280">
        <v>1.255E-2</v>
      </c>
      <c r="J181" s="25"/>
      <c r="K181" s="25"/>
      <c r="M181" s="23"/>
      <c r="N181" s="23"/>
      <c r="O181" s="14"/>
      <c r="P181" s="24"/>
      <c r="Q181" s="23"/>
      <c r="R181" s="23"/>
    </row>
    <row r="182" spans="1:18" outlineLevel="1">
      <c r="A182" s="223">
        <v>43162</v>
      </c>
      <c r="B182" s="285">
        <v>2.2499999999999999E-2</v>
      </c>
      <c r="C182" s="2" t="s">
        <v>8</v>
      </c>
      <c r="D182" s="2">
        <v>7399</v>
      </c>
      <c r="E182" s="31"/>
      <c r="F182" s="284">
        <v>43160</v>
      </c>
      <c r="G182" s="280">
        <v>2.2550000000000001E-2</v>
      </c>
      <c r="H182" s="280">
        <v>3.2550000000000003E-2</v>
      </c>
      <c r="I182" s="280">
        <v>1.255E-2</v>
      </c>
      <c r="J182" s="25"/>
      <c r="K182" s="25"/>
      <c r="M182" s="23"/>
      <c r="N182" s="23"/>
      <c r="O182" s="14"/>
      <c r="P182" s="24"/>
      <c r="Q182" s="23"/>
      <c r="R182" s="23"/>
    </row>
    <row r="183" spans="1:18" outlineLevel="1">
      <c r="A183" s="223">
        <v>43163</v>
      </c>
      <c r="B183" s="285">
        <v>2.2499999999999999E-2</v>
      </c>
      <c r="C183" s="2" t="s">
        <v>8</v>
      </c>
      <c r="D183" s="2">
        <v>7399</v>
      </c>
      <c r="E183" s="31"/>
      <c r="F183" s="284">
        <v>43161</v>
      </c>
      <c r="G183" s="280">
        <v>2.2499999999999999E-2</v>
      </c>
      <c r="H183" s="280">
        <v>3.2500000000000001E-2</v>
      </c>
      <c r="I183" s="280">
        <v>1.2500000000000001E-2</v>
      </c>
      <c r="J183" s="25"/>
      <c r="K183" s="25"/>
      <c r="M183" s="23"/>
      <c r="N183" s="23"/>
      <c r="O183" s="14"/>
      <c r="P183" s="24"/>
      <c r="Q183" s="23"/>
      <c r="R183" s="23"/>
    </row>
    <row r="184" spans="1:18" outlineLevel="1">
      <c r="A184" s="223">
        <v>43164</v>
      </c>
      <c r="B184" s="285">
        <v>2.2499999999999999E-2</v>
      </c>
      <c r="C184" s="2">
        <v>3326</v>
      </c>
      <c r="D184" s="2">
        <v>7565</v>
      </c>
      <c r="E184" s="31"/>
      <c r="F184" s="284">
        <v>43162</v>
      </c>
      <c r="G184" s="280">
        <v>2.2499999999999999E-2</v>
      </c>
      <c r="H184" s="280">
        <v>3.2500000000000001E-2</v>
      </c>
      <c r="I184" s="280">
        <v>1.2500000000000001E-2</v>
      </c>
      <c r="J184" s="25"/>
      <c r="K184" s="25"/>
      <c r="M184" s="23"/>
      <c r="N184" s="23"/>
      <c r="O184" s="14"/>
      <c r="P184" s="24"/>
      <c r="Q184" s="23"/>
      <c r="R184" s="23"/>
    </row>
    <row r="185" spans="1:18" outlineLevel="1">
      <c r="A185" s="223">
        <v>43165</v>
      </c>
      <c r="B185" s="285">
        <v>2.2679999999999999E-2</v>
      </c>
      <c r="C185" s="2">
        <v>2815</v>
      </c>
      <c r="D185" s="2">
        <v>6854</v>
      </c>
      <c r="E185" s="31"/>
      <c r="F185" s="284">
        <v>43163</v>
      </c>
      <c r="G185" s="280">
        <v>2.2499999999999999E-2</v>
      </c>
      <c r="H185" s="280">
        <v>3.2500000000000001E-2</v>
      </c>
      <c r="I185" s="280">
        <v>1.2500000000000001E-2</v>
      </c>
      <c r="J185" s="25"/>
      <c r="K185" s="25"/>
      <c r="M185" s="36"/>
      <c r="N185" s="36"/>
      <c r="O185" s="14"/>
      <c r="P185" s="24"/>
      <c r="Q185" s="36"/>
      <c r="R185" s="36"/>
    </row>
    <row r="186" spans="1:18" outlineLevel="1">
      <c r="A186" s="223">
        <v>43166</v>
      </c>
      <c r="B186" s="285">
        <v>2.2710000000000001E-2</v>
      </c>
      <c r="C186" s="2">
        <v>4397</v>
      </c>
      <c r="D186" s="2">
        <v>8436</v>
      </c>
      <c r="E186" s="31"/>
      <c r="F186" s="284">
        <v>43164</v>
      </c>
      <c r="G186" s="280">
        <v>2.2499999999999999E-2</v>
      </c>
      <c r="H186" s="280">
        <v>3.2500000000000001E-2</v>
      </c>
      <c r="I186" s="280">
        <v>1.2500000000000001E-2</v>
      </c>
      <c r="J186" s="25"/>
      <c r="K186" s="25"/>
      <c r="M186" s="23"/>
      <c r="N186" s="23"/>
      <c r="O186" s="14"/>
      <c r="P186" s="24"/>
      <c r="Q186" s="23"/>
      <c r="R186" s="23"/>
    </row>
    <row r="187" spans="1:18" outlineLevel="1">
      <c r="A187" s="223">
        <v>43167</v>
      </c>
      <c r="B187" s="285">
        <v>2.274E-2</v>
      </c>
      <c r="C187" s="2">
        <v>4062</v>
      </c>
      <c r="D187" s="2">
        <v>8101</v>
      </c>
      <c r="E187" s="31"/>
      <c r="F187" s="284">
        <v>43165</v>
      </c>
      <c r="G187" s="280">
        <v>2.2679999999999999E-2</v>
      </c>
      <c r="H187" s="280">
        <v>3.2680000000000001E-2</v>
      </c>
      <c r="I187" s="280">
        <v>1.268E-2</v>
      </c>
      <c r="J187" s="25"/>
      <c r="K187" s="25"/>
      <c r="M187" s="23"/>
      <c r="N187" s="23"/>
      <c r="O187" s="14"/>
      <c r="P187" s="24"/>
      <c r="Q187" s="23"/>
      <c r="R187" s="23"/>
    </row>
    <row r="188" spans="1:18" outlineLevel="1">
      <c r="A188" s="223">
        <v>43168</v>
      </c>
      <c r="B188" s="285">
        <v>2.2749999999999999E-2</v>
      </c>
      <c r="C188" s="2">
        <v>4003</v>
      </c>
      <c r="D188" s="2">
        <v>8542</v>
      </c>
      <c r="E188" s="31"/>
      <c r="F188" s="284">
        <v>43166</v>
      </c>
      <c r="G188" s="280">
        <v>2.2710000000000001E-2</v>
      </c>
      <c r="H188" s="280">
        <v>3.2710000000000003E-2</v>
      </c>
      <c r="I188" s="280">
        <v>1.2710000000000001E-2</v>
      </c>
      <c r="J188" s="25"/>
      <c r="K188" s="25"/>
      <c r="M188" s="23"/>
      <c r="N188" s="23"/>
      <c r="O188" s="14"/>
      <c r="P188" s="24"/>
      <c r="Q188" s="23"/>
      <c r="R188" s="23"/>
    </row>
    <row r="189" spans="1:18" outlineLevel="1">
      <c r="A189" s="223">
        <v>43169</v>
      </c>
      <c r="B189" s="285">
        <v>2.2749999999999999E-2</v>
      </c>
      <c r="C189" s="2" t="s">
        <v>8</v>
      </c>
      <c r="D189" s="2">
        <v>8542</v>
      </c>
      <c r="E189" s="31"/>
      <c r="F189" s="284">
        <v>43167</v>
      </c>
      <c r="G189" s="280">
        <v>2.274E-2</v>
      </c>
      <c r="H189" s="280">
        <v>3.2739999999999998E-2</v>
      </c>
      <c r="I189" s="280">
        <v>1.274E-2</v>
      </c>
      <c r="J189" s="25"/>
      <c r="K189" s="25"/>
      <c r="M189" s="23"/>
      <c r="N189" s="23"/>
      <c r="O189" s="14"/>
      <c r="P189" s="24"/>
      <c r="Q189" s="23"/>
      <c r="R189" s="23"/>
    </row>
    <row r="190" spans="1:18" outlineLevel="1">
      <c r="A190" s="223">
        <v>43170</v>
      </c>
      <c r="B190" s="285">
        <v>2.2749999999999999E-2</v>
      </c>
      <c r="C190" s="2" t="s">
        <v>8</v>
      </c>
      <c r="D190" s="2">
        <v>8542</v>
      </c>
      <c r="E190" s="31"/>
      <c r="F190" s="284">
        <v>43168</v>
      </c>
      <c r="G190" s="280">
        <v>2.2749999999999999E-2</v>
      </c>
      <c r="H190" s="280">
        <v>3.2750000000000001E-2</v>
      </c>
      <c r="I190" s="280">
        <v>1.2749999999999999E-2</v>
      </c>
      <c r="J190" s="25"/>
      <c r="K190" s="25"/>
      <c r="M190" s="23"/>
      <c r="N190" s="23"/>
      <c r="O190" s="14"/>
      <c r="P190" s="24"/>
      <c r="Q190" s="23"/>
      <c r="R190" s="23"/>
    </row>
    <row r="191" spans="1:18" outlineLevel="1">
      <c r="A191" s="223">
        <v>43171</v>
      </c>
      <c r="B191" s="285">
        <v>2.2700000000000001E-2</v>
      </c>
      <c r="C191" s="2">
        <v>3720</v>
      </c>
      <c r="D191" s="2">
        <v>8259</v>
      </c>
      <c r="E191" s="31"/>
      <c r="F191" s="284">
        <v>43169</v>
      </c>
      <c r="G191" s="280">
        <v>2.2749999999999999E-2</v>
      </c>
      <c r="H191" s="280">
        <v>3.2750000000000001E-2</v>
      </c>
      <c r="I191" s="280">
        <v>1.2749999999999999E-2</v>
      </c>
      <c r="J191" s="25"/>
      <c r="K191" s="25"/>
      <c r="M191" s="23"/>
      <c r="N191" s="23"/>
      <c r="O191" s="14"/>
      <c r="P191" s="24"/>
      <c r="Q191" s="23"/>
      <c r="R191" s="23"/>
    </row>
    <row r="192" spans="1:18" outlineLevel="1">
      <c r="A192" s="223">
        <v>43172</v>
      </c>
      <c r="B192" s="285">
        <v>2.2710000000000001E-2</v>
      </c>
      <c r="C192" s="2">
        <v>3645</v>
      </c>
      <c r="D192" s="2">
        <v>8284</v>
      </c>
      <c r="E192" s="31"/>
      <c r="F192" s="284">
        <v>43170</v>
      </c>
      <c r="G192" s="280">
        <v>2.2749999999999999E-2</v>
      </c>
      <c r="H192" s="280">
        <v>3.2750000000000001E-2</v>
      </c>
      <c r="I192" s="280">
        <v>1.2749999999999999E-2</v>
      </c>
      <c r="J192" s="25"/>
      <c r="K192" s="25"/>
      <c r="M192" s="23"/>
      <c r="N192" s="23"/>
      <c r="O192" s="14"/>
      <c r="P192" s="24"/>
      <c r="Q192" s="23"/>
      <c r="R192" s="23"/>
    </row>
    <row r="193" spans="1:18" outlineLevel="1">
      <c r="A193" s="223">
        <v>43173</v>
      </c>
      <c r="B193" s="285">
        <v>2.2710000000000001E-2</v>
      </c>
      <c r="C193" s="2">
        <v>3309</v>
      </c>
      <c r="D193" s="2">
        <v>7978</v>
      </c>
      <c r="E193" s="31"/>
      <c r="F193" s="284">
        <v>43171</v>
      </c>
      <c r="G193" s="280">
        <v>2.2700000000000001E-2</v>
      </c>
      <c r="H193" s="280">
        <v>3.27E-2</v>
      </c>
      <c r="I193" s="280">
        <v>1.2699999999999999E-2</v>
      </c>
      <c r="J193" s="25"/>
      <c r="K193" s="25"/>
      <c r="M193" s="23"/>
      <c r="N193" s="23"/>
      <c r="O193" s="14"/>
      <c r="P193" s="24"/>
      <c r="Q193" s="23"/>
      <c r="R193" s="23"/>
    </row>
    <row r="194" spans="1:18" outlineLevel="1">
      <c r="A194" s="223">
        <v>43174</v>
      </c>
      <c r="B194" s="285">
        <v>2.2790000000000001E-2</v>
      </c>
      <c r="C194" s="2">
        <v>4397</v>
      </c>
      <c r="D194" s="2">
        <v>9196</v>
      </c>
      <c r="E194" s="31"/>
      <c r="F194" s="284">
        <v>43172</v>
      </c>
      <c r="G194" s="280">
        <v>2.2710000000000001E-2</v>
      </c>
      <c r="H194" s="280">
        <v>3.2710000000000003E-2</v>
      </c>
      <c r="I194" s="280">
        <v>1.2710000000000001E-2</v>
      </c>
      <c r="J194" s="25"/>
      <c r="K194" s="25"/>
      <c r="M194" s="23"/>
      <c r="N194" s="23"/>
      <c r="O194" s="14"/>
      <c r="P194" s="24"/>
      <c r="Q194" s="23"/>
      <c r="R194" s="23"/>
    </row>
    <row r="195" spans="1:18" outlineLevel="1">
      <c r="A195" s="223">
        <v>43175</v>
      </c>
      <c r="B195" s="285">
        <v>2.2710000000000001E-2</v>
      </c>
      <c r="C195" s="2">
        <v>4843</v>
      </c>
      <c r="D195" s="2">
        <v>9642</v>
      </c>
      <c r="E195" s="31"/>
      <c r="F195" s="284">
        <v>43173</v>
      </c>
      <c r="G195" s="280">
        <v>2.2710000000000001E-2</v>
      </c>
      <c r="H195" s="280">
        <v>3.2710000000000003E-2</v>
      </c>
      <c r="I195" s="280">
        <v>1.2710000000000001E-2</v>
      </c>
      <c r="J195" s="25"/>
      <c r="K195" s="25"/>
      <c r="M195" s="23"/>
      <c r="N195" s="23"/>
      <c r="O195" s="14"/>
      <c r="P195" s="24"/>
      <c r="Q195" s="23"/>
      <c r="R195" s="23"/>
    </row>
    <row r="196" spans="1:18" outlineLevel="1">
      <c r="A196" s="223">
        <v>43176</v>
      </c>
      <c r="B196" s="285">
        <v>2.2710000000000001E-2</v>
      </c>
      <c r="C196" s="2" t="s">
        <v>8</v>
      </c>
      <c r="D196" s="2">
        <v>9642</v>
      </c>
      <c r="E196" s="31"/>
      <c r="F196" s="284">
        <v>43174</v>
      </c>
      <c r="G196" s="280">
        <v>2.2790000000000001E-2</v>
      </c>
      <c r="H196" s="280">
        <v>3.279E-2</v>
      </c>
      <c r="I196" s="280">
        <v>1.2789999999999999E-2</v>
      </c>
      <c r="J196" s="25"/>
      <c r="K196" s="25"/>
      <c r="M196" s="23"/>
      <c r="N196" s="23"/>
      <c r="O196" s="14"/>
      <c r="P196" s="24"/>
      <c r="Q196" s="23"/>
      <c r="R196" s="23"/>
    </row>
    <row r="197" spans="1:18" outlineLevel="1">
      <c r="A197" s="223">
        <v>43177</v>
      </c>
      <c r="B197" s="285">
        <v>2.2710000000000001E-2</v>
      </c>
      <c r="C197" s="2" t="s">
        <v>8</v>
      </c>
      <c r="D197" s="2">
        <v>9642</v>
      </c>
      <c r="E197" s="31"/>
      <c r="F197" s="284">
        <v>43175</v>
      </c>
      <c r="G197" s="280">
        <v>2.2710000000000001E-2</v>
      </c>
      <c r="H197" s="280">
        <v>3.2710000000000003E-2</v>
      </c>
      <c r="I197" s="280">
        <v>1.2710000000000001E-2</v>
      </c>
      <c r="J197" s="25"/>
      <c r="K197" s="25"/>
      <c r="M197" s="23"/>
      <c r="N197" s="23"/>
      <c r="O197" s="14"/>
      <c r="P197" s="24"/>
      <c r="Q197" s="23"/>
      <c r="R197" s="23"/>
    </row>
    <row r="198" spans="1:18" outlineLevel="1">
      <c r="A198" s="223">
        <v>43178</v>
      </c>
      <c r="B198" s="285">
        <v>2.2550000000000001E-2</v>
      </c>
      <c r="C198" s="2">
        <v>4901</v>
      </c>
      <c r="D198" s="2">
        <v>9320</v>
      </c>
      <c r="E198" s="31"/>
      <c r="F198" s="284">
        <v>43176</v>
      </c>
      <c r="G198" s="280">
        <v>2.2710000000000001E-2</v>
      </c>
      <c r="H198" s="280">
        <v>3.2710000000000003E-2</v>
      </c>
      <c r="I198" s="280">
        <v>1.2710000000000001E-2</v>
      </c>
      <c r="J198" s="25"/>
      <c r="K198" s="25"/>
      <c r="M198" s="23"/>
      <c r="N198" s="23"/>
      <c r="O198" s="14"/>
      <c r="P198" s="24"/>
      <c r="Q198" s="23"/>
      <c r="R198" s="23"/>
    </row>
    <row r="199" spans="1:18" outlineLevel="1">
      <c r="A199" s="223">
        <v>43179</v>
      </c>
      <c r="B199" s="285">
        <v>2.2519999999999998E-2</v>
      </c>
      <c r="C199" s="2">
        <v>3332</v>
      </c>
      <c r="D199" s="2">
        <v>7751</v>
      </c>
      <c r="E199" s="31"/>
      <c r="F199" s="284">
        <v>43177</v>
      </c>
      <c r="G199" s="280">
        <v>2.2710000000000001E-2</v>
      </c>
      <c r="H199" s="280">
        <v>3.2710000000000003E-2</v>
      </c>
      <c r="I199" s="280">
        <v>1.2710000000000001E-2</v>
      </c>
      <c r="J199" s="25"/>
      <c r="K199" s="25"/>
      <c r="M199" s="23"/>
      <c r="N199" s="23"/>
      <c r="O199" s="14"/>
      <c r="P199" s="24"/>
      <c r="Q199" s="23"/>
      <c r="R199" s="23"/>
    </row>
    <row r="200" spans="1:18" outlineLevel="1">
      <c r="A200" s="223">
        <v>43180</v>
      </c>
      <c r="B200" s="285">
        <v>2.2499999999999999E-2</v>
      </c>
      <c r="C200" s="2">
        <v>3572</v>
      </c>
      <c r="D200" s="2">
        <v>7991</v>
      </c>
      <c r="E200" s="31"/>
      <c r="F200" s="284">
        <v>43178</v>
      </c>
      <c r="G200" s="280">
        <v>2.2550000000000001E-2</v>
      </c>
      <c r="H200" s="280">
        <v>3.2550000000000003E-2</v>
      </c>
      <c r="I200" s="280">
        <v>1.255E-2</v>
      </c>
      <c r="J200" s="25"/>
      <c r="K200" s="25"/>
      <c r="M200" s="23"/>
      <c r="N200" s="23"/>
      <c r="O200" s="14"/>
      <c r="P200" s="24"/>
      <c r="Q200" s="23"/>
      <c r="R200" s="23"/>
    </row>
    <row r="201" spans="1:18" outlineLevel="1">
      <c r="A201" s="223">
        <v>43181</v>
      </c>
      <c r="B201" s="285">
        <v>2.2499999999999999E-2</v>
      </c>
      <c r="C201" s="2">
        <v>2775</v>
      </c>
      <c r="D201" s="2">
        <v>7845</v>
      </c>
      <c r="E201" s="31"/>
      <c r="F201" s="284">
        <v>43179</v>
      </c>
      <c r="G201" s="280">
        <v>2.2519999999999998E-2</v>
      </c>
      <c r="H201" s="280">
        <v>3.252E-2</v>
      </c>
      <c r="I201" s="280">
        <v>1.252E-2</v>
      </c>
      <c r="J201" s="25"/>
      <c r="K201" s="25"/>
      <c r="M201" s="23"/>
      <c r="N201" s="23"/>
      <c r="O201" s="14"/>
      <c r="P201" s="24"/>
      <c r="Q201" s="23"/>
      <c r="R201" s="23"/>
    </row>
    <row r="202" spans="1:18" outlineLevel="1">
      <c r="A202" s="223">
        <v>43182</v>
      </c>
      <c r="B202" s="285">
        <v>2.257E-2</v>
      </c>
      <c r="C202" s="2">
        <v>3146</v>
      </c>
      <c r="D202" s="2">
        <v>8486</v>
      </c>
      <c r="E202" s="31"/>
      <c r="F202" s="284">
        <v>43180</v>
      </c>
      <c r="G202" s="280">
        <v>2.2499999999999999E-2</v>
      </c>
      <c r="H202" s="280">
        <v>3.2500000000000001E-2</v>
      </c>
      <c r="I202" s="280">
        <v>1.2500000000000001E-2</v>
      </c>
      <c r="J202" s="25"/>
      <c r="K202" s="25"/>
      <c r="M202" s="23"/>
      <c r="N202" s="23"/>
      <c r="O202" s="14"/>
      <c r="P202" s="24"/>
      <c r="Q202" s="23"/>
      <c r="R202" s="23"/>
    </row>
    <row r="203" spans="1:18" outlineLevel="1">
      <c r="A203" s="223">
        <v>43183</v>
      </c>
      <c r="B203" s="285">
        <v>2.257E-2</v>
      </c>
      <c r="C203" s="2" t="s">
        <v>8</v>
      </c>
      <c r="D203" s="2">
        <v>8486</v>
      </c>
      <c r="E203" s="31"/>
      <c r="F203" s="284">
        <v>43181</v>
      </c>
      <c r="G203" s="280">
        <v>2.2499999999999999E-2</v>
      </c>
      <c r="H203" s="280">
        <v>3.2500000000000001E-2</v>
      </c>
      <c r="I203" s="280">
        <v>1.2500000000000001E-2</v>
      </c>
      <c r="J203" s="25"/>
      <c r="K203" s="25"/>
      <c r="M203" s="23"/>
      <c r="N203" s="23"/>
      <c r="O203" s="14"/>
      <c r="P203" s="24"/>
      <c r="Q203" s="23"/>
      <c r="R203" s="23"/>
    </row>
    <row r="204" spans="1:18" outlineLevel="1">
      <c r="A204" s="223">
        <v>43184</v>
      </c>
      <c r="B204" s="285">
        <v>2.257E-2</v>
      </c>
      <c r="C204" s="2" t="s">
        <v>8</v>
      </c>
      <c r="D204" s="2">
        <v>8486</v>
      </c>
      <c r="E204" s="31"/>
      <c r="F204" s="284">
        <v>43182</v>
      </c>
      <c r="G204" s="280">
        <v>2.257E-2</v>
      </c>
      <c r="H204" s="280">
        <v>3.2570000000000002E-2</v>
      </c>
      <c r="I204" s="280">
        <v>1.257E-2</v>
      </c>
      <c r="J204" s="25"/>
      <c r="K204" s="25"/>
      <c r="M204" s="23"/>
      <c r="N204" s="23"/>
      <c r="O204" s="14"/>
      <c r="P204" s="24"/>
      <c r="Q204" s="23"/>
      <c r="R204" s="23"/>
    </row>
    <row r="205" spans="1:18" outlineLevel="1">
      <c r="A205" s="223">
        <v>43185</v>
      </c>
      <c r="B205" s="285">
        <v>2.2759999999999999E-2</v>
      </c>
      <c r="C205" s="2">
        <v>3951</v>
      </c>
      <c r="D205" s="2">
        <v>9291</v>
      </c>
      <c r="E205" s="31"/>
      <c r="F205" s="284">
        <v>43183</v>
      </c>
      <c r="G205" s="280">
        <v>2.257E-2</v>
      </c>
      <c r="H205" s="280">
        <v>3.2570000000000002E-2</v>
      </c>
      <c r="I205" s="280">
        <v>1.257E-2</v>
      </c>
      <c r="J205" s="25"/>
      <c r="K205" s="25"/>
      <c r="M205" s="23"/>
      <c r="N205" s="23"/>
      <c r="O205" s="14"/>
      <c r="P205" s="24"/>
      <c r="Q205" s="23"/>
      <c r="R205" s="23"/>
    </row>
    <row r="206" spans="1:18" outlineLevel="1">
      <c r="A206" s="223">
        <v>43186</v>
      </c>
      <c r="B206" s="285">
        <v>2.273E-2</v>
      </c>
      <c r="C206" s="2">
        <v>4595</v>
      </c>
      <c r="D206" s="2">
        <v>10535</v>
      </c>
      <c r="E206" s="31"/>
      <c r="F206" s="284">
        <v>43184</v>
      </c>
      <c r="G206" s="280">
        <v>2.257E-2</v>
      </c>
      <c r="H206" s="280">
        <v>3.2570000000000002E-2</v>
      </c>
      <c r="I206" s="280">
        <v>1.257E-2</v>
      </c>
      <c r="J206" s="25"/>
      <c r="K206" s="25"/>
      <c r="M206" s="23"/>
      <c r="N206" s="23"/>
      <c r="O206" s="14"/>
      <c r="P206" s="24"/>
      <c r="Q206" s="23"/>
      <c r="R206" s="23"/>
    </row>
    <row r="207" spans="1:18" outlineLevel="1">
      <c r="A207" s="223">
        <v>43187</v>
      </c>
      <c r="B207" s="285">
        <v>2.273E-2</v>
      </c>
      <c r="C207" s="2">
        <v>4520</v>
      </c>
      <c r="D207" s="2">
        <v>10560</v>
      </c>
      <c r="E207" s="31"/>
      <c r="F207" s="284">
        <v>43185</v>
      </c>
      <c r="G207" s="280">
        <v>2.2759999999999999E-2</v>
      </c>
      <c r="H207" s="280">
        <v>3.2759999999999997E-2</v>
      </c>
      <c r="I207" s="280">
        <v>1.2760000000000001E-2</v>
      </c>
      <c r="J207" s="25"/>
      <c r="K207" s="25"/>
      <c r="M207" s="23"/>
      <c r="N207" s="23"/>
      <c r="O207" s="14"/>
      <c r="P207" s="24"/>
      <c r="Q207" s="23"/>
      <c r="R207" s="23"/>
    </row>
    <row r="208" spans="1:18" outlineLevel="1">
      <c r="A208" s="223">
        <v>43188</v>
      </c>
      <c r="B208" s="285">
        <v>2.283E-2</v>
      </c>
      <c r="C208" s="2">
        <v>4534</v>
      </c>
      <c r="D208" s="2">
        <v>10124</v>
      </c>
      <c r="E208" s="31"/>
      <c r="F208" s="284">
        <v>43186</v>
      </c>
      <c r="G208" s="280">
        <v>2.273E-2</v>
      </c>
      <c r="H208" s="280">
        <v>3.2730000000000002E-2</v>
      </c>
      <c r="I208" s="280">
        <v>1.273E-2</v>
      </c>
      <c r="J208" s="25"/>
      <c r="K208" s="25"/>
      <c r="M208" s="23"/>
      <c r="N208" s="23"/>
      <c r="O208" s="14"/>
      <c r="P208" s="24"/>
      <c r="Q208" s="23"/>
      <c r="R208" s="23"/>
    </row>
    <row r="209" spans="1:18" outlineLevel="1">
      <c r="A209" s="223">
        <v>43189</v>
      </c>
      <c r="B209" s="285">
        <v>2.3230000000000001E-2</v>
      </c>
      <c r="C209" s="2">
        <v>5161</v>
      </c>
      <c r="D209" s="2">
        <v>10281</v>
      </c>
      <c r="E209" s="31"/>
      <c r="F209" s="284">
        <v>43187</v>
      </c>
      <c r="G209" s="280">
        <v>2.273E-2</v>
      </c>
      <c r="H209" s="280">
        <v>3.2730000000000002E-2</v>
      </c>
      <c r="I209" s="280">
        <v>1.273E-2</v>
      </c>
      <c r="J209" s="25"/>
      <c r="K209" s="25"/>
      <c r="M209" s="23"/>
      <c r="N209" s="23"/>
      <c r="O209" s="14"/>
      <c r="P209" s="24"/>
      <c r="Q209" s="23"/>
      <c r="R209" s="23"/>
    </row>
    <row r="210" spans="1:18" outlineLevel="1">
      <c r="A210" s="223">
        <v>43190</v>
      </c>
      <c r="B210" s="285">
        <v>2.3230000000000001E-2</v>
      </c>
      <c r="C210" s="2" t="s">
        <v>8</v>
      </c>
      <c r="D210" s="2">
        <v>10281</v>
      </c>
      <c r="E210" s="31"/>
      <c r="F210" s="284">
        <v>43188</v>
      </c>
      <c r="G210" s="280">
        <v>2.283E-2</v>
      </c>
      <c r="H210" s="280">
        <v>3.2829999999999998E-2</v>
      </c>
      <c r="I210" s="280">
        <v>1.2829999999999999E-2</v>
      </c>
      <c r="J210" s="25"/>
      <c r="K210" s="25"/>
      <c r="M210" s="23"/>
      <c r="N210" s="23"/>
      <c r="O210" s="14"/>
      <c r="P210" s="24"/>
      <c r="Q210" s="23"/>
      <c r="R210" s="23"/>
    </row>
    <row r="211" spans="1:18" outlineLevel="1">
      <c r="A211" s="223">
        <v>43191</v>
      </c>
      <c r="B211" s="285">
        <v>2.3230000000000001E-2</v>
      </c>
      <c r="C211" s="2" t="s">
        <v>8</v>
      </c>
      <c r="D211" s="2">
        <v>10281</v>
      </c>
      <c r="E211" s="31"/>
      <c r="F211" s="284">
        <v>43189</v>
      </c>
      <c r="G211" s="280">
        <v>2.3230000000000001E-2</v>
      </c>
      <c r="H211" s="280">
        <v>3.3230000000000003E-2</v>
      </c>
      <c r="I211" s="280">
        <v>1.323E-2</v>
      </c>
      <c r="J211" s="25"/>
      <c r="K211" s="25"/>
      <c r="M211" s="23"/>
      <c r="N211" s="23"/>
      <c r="O211" s="14"/>
      <c r="P211" s="24"/>
      <c r="Q211" s="23"/>
      <c r="R211" s="23"/>
    </row>
    <row r="212" spans="1:18" outlineLevel="1">
      <c r="A212" s="223">
        <v>43192</v>
      </c>
      <c r="B212" s="285">
        <v>2.291E-2</v>
      </c>
      <c r="C212" s="2">
        <v>5240</v>
      </c>
      <c r="D212" s="2">
        <v>9890</v>
      </c>
      <c r="E212" s="31"/>
      <c r="F212" s="284">
        <v>43190</v>
      </c>
      <c r="G212" s="280">
        <v>2.3230000000000001E-2</v>
      </c>
      <c r="H212" s="280">
        <v>3.3230000000000003E-2</v>
      </c>
      <c r="I212" s="280">
        <v>1.323E-2</v>
      </c>
      <c r="J212" s="25"/>
      <c r="K212" s="25"/>
      <c r="M212" s="23"/>
      <c r="N212" s="23"/>
      <c r="O212" s="14"/>
      <c r="P212" s="24"/>
      <c r="Q212" s="23"/>
      <c r="R212" s="23"/>
    </row>
    <row r="213" spans="1:18" outlineLevel="1">
      <c r="A213" s="223">
        <v>43193</v>
      </c>
      <c r="B213" s="285">
        <v>2.299E-2</v>
      </c>
      <c r="C213" s="2">
        <v>5682</v>
      </c>
      <c r="D213" s="2">
        <v>10332</v>
      </c>
      <c r="E213" s="31"/>
      <c r="F213" s="284">
        <v>43191</v>
      </c>
      <c r="G213" s="280">
        <v>2.3230000000000001E-2</v>
      </c>
      <c r="H213" s="280">
        <v>3.3230000000000003E-2</v>
      </c>
      <c r="I213" s="280">
        <v>1.323E-2</v>
      </c>
      <c r="J213" s="25"/>
      <c r="K213" s="25"/>
      <c r="M213" s="23"/>
      <c r="N213" s="23"/>
      <c r="O213" s="14"/>
      <c r="P213" s="24"/>
      <c r="Q213" s="23"/>
      <c r="R213" s="23"/>
    </row>
    <row r="214" spans="1:18" outlineLevel="1">
      <c r="A214" s="223">
        <v>43194</v>
      </c>
      <c r="B214" s="285">
        <v>2.29E-2</v>
      </c>
      <c r="C214" s="2">
        <v>6352</v>
      </c>
      <c r="D214" s="2">
        <v>11002</v>
      </c>
      <c r="E214" s="31"/>
      <c r="F214" s="284">
        <v>43192</v>
      </c>
      <c r="G214" s="280">
        <v>2.291E-2</v>
      </c>
      <c r="H214" s="280">
        <v>3.2910000000000002E-2</v>
      </c>
      <c r="I214" s="280">
        <v>1.291E-2</v>
      </c>
      <c r="J214" s="25"/>
      <c r="K214" s="25"/>
      <c r="M214" s="23"/>
      <c r="N214" s="23"/>
      <c r="O214" s="14"/>
      <c r="P214" s="24"/>
      <c r="Q214" s="23"/>
      <c r="R214" s="23"/>
    </row>
    <row r="215" spans="1:18" outlineLevel="1">
      <c r="A215" s="223">
        <v>43195</v>
      </c>
      <c r="B215" s="285">
        <v>2.3019999999999999E-2</v>
      </c>
      <c r="C215" s="2">
        <v>5375</v>
      </c>
      <c r="D215" s="2">
        <v>9825</v>
      </c>
      <c r="E215" s="31"/>
      <c r="F215" s="284">
        <v>43193</v>
      </c>
      <c r="G215" s="280">
        <v>2.299E-2</v>
      </c>
      <c r="H215" s="280">
        <v>3.2989999999999998E-2</v>
      </c>
      <c r="I215" s="280">
        <v>1.299E-2</v>
      </c>
      <c r="J215" s="25"/>
      <c r="K215" s="25"/>
      <c r="M215" s="23"/>
      <c r="N215" s="23"/>
      <c r="O215" s="14"/>
      <c r="P215" s="24"/>
      <c r="Q215" s="23"/>
      <c r="R215" s="23"/>
    </row>
    <row r="216" spans="1:18" outlineLevel="1">
      <c r="A216" s="223">
        <v>43196</v>
      </c>
      <c r="B216" s="285">
        <v>2.2589999999999999E-2</v>
      </c>
      <c r="C216" s="2">
        <v>4904</v>
      </c>
      <c r="D216" s="2">
        <v>9504</v>
      </c>
      <c r="E216" s="31"/>
      <c r="F216" s="284">
        <v>43194</v>
      </c>
      <c r="G216" s="280">
        <v>2.29E-2</v>
      </c>
      <c r="H216" s="280">
        <v>3.2899999999999999E-2</v>
      </c>
      <c r="I216" s="280">
        <v>1.29E-2</v>
      </c>
      <c r="J216" s="25"/>
      <c r="K216" s="25"/>
      <c r="M216" s="23"/>
      <c r="N216" s="23"/>
      <c r="O216" s="14"/>
      <c r="P216" s="24"/>
      <c r="Q216" s="23"/>
      <c r="R216" s="23"/>
    </row>
    <row r="217" spans="1:18" outlineLevel="1">
      <c r="A217" s="223">
        <v>43197</v>
      </c>
      <c r="B217" s="285">
        <v>2.2589999999999999E-2</v>
      </c>
      <c r="C217" s="2" t="s">
        <v>8</v>
      </c>
      <c r="D217" s="2">
        <v>9504</v>
      </c>
      <c r="E217" s="31"/>
      <c r="F217" s="284">
        <v>43195</v>
      </c>
      <c r="G217" s="280">
        <v>2.3019999999999999E-2</v>
      </c>
      <c r="H217" s="280">
        <v>3.3020000000000001E-2</v>
      </c>
      <c r="I217" s="280">
        <v>1.302E-2</v>
      </c>
      <c r="J217" s="25"/>
      <c r="K217" s="25"/>
      <c r="M217" s="23"/>
      <c r="N217" s="23"/>
      <c r="O217" s="14"/>
      <c r="P217" s="24"/>
      <c r="Q217" s="23"/>
      <c r="R217" s="23"/>
    </row>
    <row r="218" spans="1:18" outlineLevel="1">
      <c r="A218" s="223">
        <v>43198</v>
      </c>
      <c r="B218" s="285">
        <v>2.2589999999999999E-2</v>
      </c>
      <c r="C218" s="2" t="s">
        <v>8</v>
      </c>
      <c r="D218" s="2">
        <v>9504</v>
      </c>
      <c r="E218" s="31"/>
      <c r="F218" s="284">
        <v>43196</v>
      </c>
      <c r="G218" s="280">
        <v>2.2589999999999999E-2</v>
      </c>
      <c r="H218" s="280">
        <v>3.2590000000000001E-2</v>
      </c>
      <c r="I218" s="280">
        <v>1.259E-2</v>
      </c>
      <c r="J218" s="25"/>
      <c r="K218" s="25"/>
      <c r="M218" s="23"/>
      <c r="N218" s="23"/>
      <c r="O218" s="14"/>
      <c r="P218" s="24"/>
      <c r="Q218" s="23"/>
      <c r="R218" s="23"/>
    </row>
    <row r="219" spans="1:18" outlineLevel="1">
      <c r="A219" s="223">
        <v>43199</v>
      </c>
      <c r="B219" s="285">
        <v>2.2519999999999998E-2</v>
      </c>
      <c r="C219" s="2">
        <v>3895</v>
      </c>
      <c r="D219" s="2">
        <v>8760</v>
      </c>
      <c r="E219" s="31"/>
      <c r="F219" s="284">
        <v>43197</v>
      </c>
      <c r="G219" s="280">
        <v>2.2589999999999999E-2</v>
      </c>
      <c r="H219" s="280">
        <v>3.2590000000000001E-2</v>
      </c>
      <c r="I219" s="280">
        <v>1.259E-2</v>
      </c>
      <c r="J219" s="25"/>
      <c r="K219" s="25"/>
      <c r="M219" s="23"/>
      <c r="N219" s="23"/>
      <c r="O219" s="14"/>
      <c r="P219" s="24"/>
      <c r="Q219" s="23"/>
      <c r="R219" s="23"/>
    </row>
    <row r="220" spans="1:18" outlineLevel="1">
      <c r="A220" s="223">
        <v>43200</v>
      </c>
      <c r="B220" s="285">
        <v>2.2519999999999998E-2</v>
      </c>
      <c r="C220" s="2">
        <v>4513</v>
      </c>
      <c r="D220" s="2">
        <v>9378</v>
      </c>
      <c r="E220" s="31"/>
      <c r="F220" s="284">
        <v>43198</v>
      </c>
      <c r="G220" s="280">
        <v>2.2589999999999999E-2</v>
      </c>
      <c r="H220" s="280">
        <v>3.2590000000000001E-2</v>
      </c>
      <c r="I220" s="280">
        <v>1.259E-2</v>
      </c>
      <c r="J220" s="25"/>
      <c r="K220" s="25"/>
      <c r="M220" s="23"/>
      <c r="N220" s="23"/>
      <c r="O220" s="14"/>
      <c r="P220" s="24"/>
      <c r="Q220" s="23"/>
      <c r="R220" s="23"/>
    </row>
    <row r="221" spans="1:18" outlineLevel="1">
      <c r="A221" s="223">
        <v>43201</v>
      </c>
      <c r="B221" s="285">
        <v>2.2509999999999999E-2</v>
      </c>
      <c r="C221" s="2">
        <v>4572</v>
      </c>
      <c r="D221" s="2">
        <v>9497</v>
      </c>
      <c r="E221" s="31"/>
      <c r="F221" s="284">
        <v>43199</v>
      </c>
      <c r="G221" s="280">
        <v>2.2519999999999998E-2</v>
      </c>
      <c r="H221" s="280">
        <v>3.252E-2</v>
      </c>
      <c r="I221" s="280">
        <v>1.252E-2</v>
      </c>
      <c r="J221" s="25"/>
      <c r="K221" s="25"/>
      <c r="M221" s="23"/>
      <c r="N221" s="23"/>
      <c r="O221" s="14"/>
      <c r="P221" s="24"/>
      <c r="Q221" s="23"/>
      <c r="R221" s="23"/>
    </row>
    <row r="222" spans="1:18" outlineLevel="1">
      <c r="A222" s="223">
        <v>43202</v>
      </c>
      <c r="B222" s="285">
        <v>2.2499999999999999E-2</v>
      </c>
      <c r="C222" s="2">
        <v>5204</v>
      </c>
      <c r="D222" s="2">
        <v>10230</v>
      </c>
      <c r="E222" s="31"/>
      <c r="F222" s="284">
        <v>43200</v>
      </c>
      <c r="G222" s="280">
        <v>2.2519999999999998E-2</v>
      </c>
      <c r="H222" s="280">
        <v>3.252E-2</v>
      </c>
      <c r="I222" s="280">
        <v>1.252E-2</v>
      </c>
      <c r="J222" s="25"/>
      <c r="K222" s="25"/>
      <c r="M222" s="23"/>
      <c r="N222" s="23"/>
      <c r="O222" s="14"/>
      <c r="P222" s="24"/>
      <c r="Q222" s="23"/>
      <c r="R222" s="23"/>
    </row>
    <row r="223" spans="1:18" outlineLevel="1">
      <c r="A223" s="223">
        <v>43203</v>
      </c>
      <c r="B223" s="285">
        <v>2.2499999999999999E-2</v>
      </c>
      <c r="C223" s="2">
        <v>5615</v>
      </c>
      <c r="D223" s="2">
        <v>10641</v>
      </c>
      <c r="E223" s="31"/>
      <c r="F223" s="284">
        <v>43201</v>
      </c>
      <c r="G223" s="280">
        <v>2.2509999999999999E-2</v>
      </c>
      <c r="H223" s="280">
        <v>3.2509999999999997E-2</v>
      </c>
      <c r="I223" s="280">
        <v>1.251E-2</v>
      </c>
      <c r="J223" s="25"/>
      <c r="K223" s="25"/>
      <c r="M223" s="23"/>
      <c r="N223" s="23"/>
      <c r="O223" s="14"/>
      <c r="P223" s="24"/>
      <c r="Q223" s="23"/>
      <c r="R223" s="23"/>
    </row>
    <row r="224" spans="1:18" outlineLevel="1">
      <c r="A224" s="223">
        <v>43204</v>
      </c>
      <c r="B224" s="285">
        <v>2.2499999999999999E-2</v>
      </c>
      <c r="C224" s="2" t="s">
        <v>8</v>
      </c>
      <c r="D224" s="2">
        <v>10641</v>
      </c>
      <c r="E224" s="31"/>
      <c r="F224" s="284">
        <v>43202</v>
      </c>
      <c r="G224" s="280">
        <v>2.2499999999999999E-2</v>
      </c>
      <c r="H224" s="280">
        <v>3.2500000000000001E-2</v>
      </c>
      <c r="I224" s="280">
        <v>1.2500000000000001E-2</v>
      </c>
      <c r="J224" s="25"/>
      <c r="K224" s="25"/>
      <c r="M224" s="23"/>
      <c r="N224" s="23"/>
      <c r="O224" s="14"/>
      <c r="P224" s="24"/>
      <c r="Q224" s="23"/>
      <c r="R224" s="23"/>
    </row>
    <row r="225" spans="1:18" outlineLevel="1">
      <c r="A225" s="223">
        <v>43205</v>
      </c>
      <c r="B225" s="285">
        <v>2.2499999999999999E-2</v>
      </c>
      <c r="C225" s="2" t="s">
        <v>8</v>
      </c>
      <c r="D225" s="2">
        <v>10641</v>
      </c>
      <c r="E225" s="31"/>
      <c r="F225" s="284">
        <v>43203</v>
      </c>
      <c r="G225" s="280">
        <v>2.2499999999999999E-2</v>
      </c>
      <c r="H225" s="280">
        <v>3.2500000000000001E-2</v>
      </c>
      <c r="I225" s="280">
        <v>1.2500000000000001E-2</v>
      </c>
      <c r="J225" s="25"/>
      <c r="K225" s="25"/>
      <c r="M225" s="23"/>
      <c r="N225" s="23"/>
      <c r="O225" s="14"/>
      <c r="P225" s="24"/>
      <c r="Q225" s="23"/>
      <c r="R225" s="23"/>
    </row>
    <row r="226" spans="1:18" outlineLevel="1">
      <c r="A226" s="223">
        <v>43206</v>
      </c>
      <c r="B226" s="285">
        <v>2.2519999999999998E-2</v>
      </c>
      <c r="C226" s="2">
        <v>4838</v>
      </c>
      <c r="D226" s="2">
        <v>9834</v>
      </c>
      <c r="E226" s="31"/>
      <c r="F226" s="284">
        <v>43204</v>
      </c>
      <c r="G226" s="280">
        <v>2.2499999999999999E-2</v>
      </c>
      <c r="H226" s="280">
        <v>3.2500000000000001E-2</v>
      </c>
      <c r="I226" s="280">
        <v>1.2500000000000001E-2</v>
      </c>
      <c r="J226" s="25"/>
      <c r="K226" s="25"/>
      <c r="M226" s="23"/>
      <c r="N226" s="23"/>
      <c r="O226" s="14"/>
      <c r="P226" s="24"/>
      <c r="Q226" s="23"/>
      <c r="R226" s="23"/>
    </row>
    <row r="227" spans="1:18" outlineLevel="1">
      <c r="A227" s="223">
        <v>43207</v>
      </c>
      <c r="B227" s="285">
        <v>2.2610000000000002E-2</v>
      </c>
      <c r="C227" s="2">
        <v>6831</v>
      </c>
      <c r="D227" s="2">
        <v>11827</v>
      </c>
      <c r="E227" s="31"/>
      <c r="F227" s="284">
        <v>43205</v>
      </c>
      <c r="G227" s="280">
        <v>2.2499999999999999E-2</v>
      </c>
      <c r="H227" s="280">
        <v>3.2500000000000001E-2</v>
      </c>
      <c r="I227" s="280">
        <v>1.2500000000000001E-2</v>
      </c>
      <c r="J227" s="25"/>
      <c r="K227" s="25"/>
      <c r="M227" s="23"/>
      <c r="N227" s="23"/>
      <c r="O227" s="14"/>
      <c r="P227" s="24"/>
      <c r="Q227" s="23"/>
      <c r="R227" s="23"/>
    </row>
    <row r="228" spans="1:18" outlineLevel="1">
      <c r="A228" s="223">
        <v>43208</v>
      </c>
      <c r="B228" s="285">
        <v>2.2679999999999999E-2</v>
      </c>
      <c r="C228" s="2">
        <v>6614</v>
      </c>
      <c r="D228" s="2">
        <v>11610</v>
      </c>
      <c r="E228" s="31"/>
      <c r="F228" s="284">
        <v>43206</v>
      </c>
      <c r="G228" s="280">
        <v>2.2519999999999998E-2</v>
      </c>
      <c r="H228" s="280">
        <v>3.252E-2</v>
      </c>
      <c r="I228" s="280">
        <v>1.252E-2</v>
      </c>
      <c r="J228" s="25"/>
      <c r="K228" s="25"/>
      <c r="M228" s="23"/>
      <c r="N228" s="23"/>
      <c r="O228" s="14"/>
      <c r="P228" s="24"/>
      <c r="Q228" s="23"/>
      <c r="R228" s="23"/>
    </row>
    <row r="229" spans="1:18" outlineLevel="1">
      <c r="A229" s="223">
        <v>43209</v>
      </c>
      <c r="B229" s="285">
        <v>2.274E-2</v>
      </c>
      <c r="C229" s="2">
        <v>4957</v>
      </c>
      <c r="D229" s="2">
        <v>10423</v>
      </c>
      <c r="E229" s="31"/>
      <c r="F229" s="284">
        <v>43207</v>
      </c>
      <c r="G229" s="280">
        <v>2.2610000000000002E-2</v>
      </c>
      <c r="H229" s="280">
        <v>3.261E-2</v>
      </c>
      <c r="I229" s="280">
        <v>1.261E-2</v>
      </c>
      <c r="J229" s="25"/>
      <c r="K229" s="25"/>
      <c r="M229" s="23"/>
      <c r="N229" s="23"/>
      <c r="O229" s="14"/>
      <c r="P229" s="24"/>
      <c r="Q229" s="23"/>
      <c r="R229" s="23"/>
    </row>
    <row r="230" spans="1:18" outlineLevel="1">
      <c r="A230" s="223">
        <v>43210</v>
      </c>
      <c r="B230" s="285">
        <v>2.257E-2</v>
      </c>
      <c r="C230" s="2">
        <v>3553</v>
      </c>
      <c r="D230" s="2">
        <v>10010</v>
      </c>
      <c r="E230" s="31"/>
      <c r="F230" s="284">
        <v>43208</v>
      </c>
      <c r="G230" s="280">
        <v>2.2679999999999999E-2</v>
      </c>
      <c r="H230" s="280">
        <v>3.2680000000000001E-2</v>
      </c>
      <c r="I230" s="280">
        <v>1.268E-2</v>
      </c>
      <c r="J230" s="25"/>
      <c r="K230" s="25"/>
      <c r="M230" s="23"/>
      <c r="N230" s="23"/>
      <c r="O230" s="14"/>
      <c r="P230" s="24"/>
      <c r="Q230" s="23"/>
      <c r="R230" s="23"/>
    </row>
    <row r="231" spans="1:18" outlineLevel="1">
      <c r="A231" s="223">
        <v>43211</v>
      </c>
      <c r="B231" s="285">
        <v>2.257E-2</v>
      </c>
      <c r="C231" s="2">
        <v>0</v>
      </c>
      <c r="D231" s="2">
        <v>10010</v>
      </c>
      <c r="E231" s="31"/>
      <c r="F231" s="284">
        <v>43209</v>
      </c>
      <c r="G231" s="280">
        <v>2.274E-2</v>
      </c>
      <c r="H231" s="280">
        <v>3.2739999999999998E-2</v>
      </c>
      <c r="I231" s="280">
        <v>1.274E-2</v>
      </c>
      <c r="J231" s="25"/>
      <c r="K231" s="25"/>
      <c r="M231" s="23"/>
      <c r="N231" s="23"/>
      <c r="O231" s="14"/>
      <c r="P231" s="24"/>
      <c r="Q231" s="23"/>
      <c r="R231" s="23"/>
    </row>
    <row r="232" spans="1:18" outlineLevel="1">
      <c r="A232" s="223">
        <v>43212</v>
      </c>
      <c r="B232" s="285">
        <v>2.257E-2</v>
      </c>
      <c r="C232" s="2">
        <v>0</v>
      </c>
      <c r="D232" s="2">
        <v>10010</v>
      </c>
      <c r="E232" s="31"/>
      <c r="F232" s="284">
        <v>43210</v>
      </c>
      <c r="G232" s="280">
        <v>2.257E-2</v>
      </c>
      <c r="H232" s="280">
        <v>3.2570000000000002E-2</v>
      </c>
      <c r="I232" s="280">
        <v>1.257E-2</v>
      </c>
      <c r="J232" s="25"/>
      <c r="K232" s="25"/>
      <c r="M232" s="23"/>
      <c r="N232" s="23"/>
      <c r="O232" s="14"/>
      <c r="P232" s="24"/>
      <c r="Q232" s="23"/>
      <c r="R232" s="23"/>
    </row>
    <row r="233" spans="1:18" outlineLevel="1">
      <c r="A233" s="223">
        <v>43213</v>
      </c>
      <c r="B233" s="285">
        <v>2.2519999999999998E-2</v>
      </c>
      <c r="C233" s="2">
        <v>3735</v>
      </c>
      <c r="D233" s="2">
        <v>10192</v>
      </c>
      <c r="E233" s="31"/>
      <c r="F233" s="284">
        <v>43211</v>
      </c>
      <c r="G233" s="280">
        <v>2.257E-2</v>
      </c>
      <c r="H233" s="280">
        <v>3.2570000000000002E-2</v>
      </c>
      <c r="I233" s="280">
        <v>1.257E-2</v>
      </c>
      <c r="J233" s="25"/>
      <c r="K233" s="25"/>
      <c r="M233" s="23"/>
      <c r="N233" s="23"/>
      <c r="O233" s="14"/>
      <c r="P233" s="24"/>
      <c r="Q233" s="23"/>
      <c r="R233" s="23"/>
    </row>
    <row r="234" spans="1:18" outlineLevel="1">
      <c r="A234" s="223">
        <v>43214</v>
      </c>
      <c r="B234" s="285">
        <v>2.2530000000000001E-2</v>
      </c>
      <c r="C234" s="2">
        <v>4029</v>
      </c>
      <c r="D234" s="2">
        <v>10486</v>
      </c>
      <c r="E234" s="31"/>
      <c r="F234" s="284">
        <v>43212</v>
      </c>
      <c r="G234" s="280">
        <v>2.257E-2</v>
      </c>
      <c r="H234" s="280">
        <v>3.2570000000000002E-2</v>
      </c>
      <c r="I234" s="280">
        <v>1.257E-2</v>
      </c>
      <c r="J234" s="25"/>
      <c r="K234" s="25"/>
      <c r="M234" s="23"/>
      <c r="N234" s="23"/>
      <c r="O234" s="14"/>
      <c r="P234" s="24"/>
      <c r="Q234" s="23"/>
      <c r="R234" s="23"/>
    </row>
    <row r="235" spans="1:18" outlineLevel="1">
      <c r="A235" s="223">
        <v>43215</v>
      </c>
      <c r="B235" s="285">
        <v>2.2530000000000001E-2</v>
      </c>
      <c r="C235" s="2">
        <v>3897</v>
      </c>
      <c r="D235" s="2">
        <v>10274</v>
      </c>
      <c r="E235" s="31"/>
      <c r="F235" s="284">
        <v>43213</v>
      </c>
      <c r="G235" s="280">
        <v>2.2519999999999998E-2</v>
      </c>
      <c r="H235" s="280">
        <v>3.252E-2</v>
      </c>
      <c r="I235" s="280">
        <v>1.252E-2</v>
      </c>
      <c r="J235" s="25"/>
      <c r="K235" s="25"/>
      <c r="M235" s="23"/>
      <c r="N235" s="23"/>
      <c r="O235" s="14"/>
      <c r="P235" s="24"/>
      <c r="Q235" s="23"/>
      <c r="R235" s="23"/>
    </row>
    <row r="236" spans="1:18" outlineLevel="1">
      <c r="A236" s="223">
        <v>43216</v>
      </c>
      <c r="B236" s="285">
        <v>2.266E-2</v>
      </c>
      <c r="C236" s="2">
        <v>3573</v>
      </c>
      <c r="D236" s="2">
        <v>9900</v>
      </c>
      <c r="E236" s="31"/>
      <c r="F236" s="284">
        <v>43214</v>
      </c>
      <c r="G236" s="280">
        <v>2.2530000000000001E-2</v>
      </c>
      <c r="H236" s="280">
        <v>3.2530000000000003E-2</v>
      </c>
      <c r="I236" s="280">
        <v>1.2529999999999999E-2</v>
      </c>
      <c r="J236" s="25"/>
      <c r="K236" s="25"/>
      <c r="M236" s="23"/>
      <c r="N236" s="23"/>
      <c r="O236" s="14"/>
      <c r="P236" s="24"/>
      <c r="Q236" s="23"/>
      <c r="R236" s="23"/>
    </row>
    <row r="237" spans="1:18" outlineLevel="1">
      <c r="A237" s="223">
        <v>43217</v>
      </c>
      <c r="B237" s="285">
        <v>2.264E-2</v>
      </c>
      <c r="C237" s="2">
        <v>4238</v>
      </c>
      <c r="D237" s="2">
        <v>10385</v>
      </c>
      <c r="E237" s="31"/>
      <c r="F237" s="284">
        <v>43215</v>
      </c>
      <c r="G237" s="280">
        <v>2.2530000000000001E-2</v>
      </c>
      <c r="H237" s="280">
        <v>3.2530000000000003E-2</v>
      </c>
      <c r="I237" s="280">
        <v>1.2529999999999999E-2</v>
      </c>
      <c r="J237" s="25"/>
      <c r="K237" s="25"/>
      <c r="M237" s="23"/>
      <c r="N237" s="23"/>
      <c r="O237" s="14"/>
      <c r="P237" s="24"/>
      <c r="Q237" s="23"/>
      <c r="R237" s="23"/>
    </row>
    <row r="238" spans="1:18" outlineLevel="1">
      <c r="A238" s="223">
        <v>43218</v>
      </c>
      <c r="B238" s="285">
        <v>2.264E-2</v>
      </c>
      <c r="C238" s="2" t="s">
        <v>8</v>
      </c>
      <c r="D238" s="2">
        <v>10385</v>
      </c>
      <c r="E238" s="31"/>
      <c r="F238" s="284">
        <v>43216</v>
      </c>
      <c r="G238" s="280">
        <v>2.266E-2</v>
      </c>
      <c r="H238" s="280">
        <v>3.2660000000000002E-2</v>
      </c>
      <c r="I238" s="280">
        <v>1.2659999999999999E-2</v>
      </c>
      <c r="J238" s="25"/>
      <c r="K238" s="25"/>
      <c r="M238" s="23"/>
      <c r="N238" s="23"/>
      <c r="O238" s="14"/>
      <c r="P238" s="24"/>
      <c r="Q238" s="23"/>
      <c r="R238" s="23"/>
    </row>
    <row r="239" spans="1:18" outlineLevel="1">
      <c r="A239" s="223">
        <v>43219</v>
      </c>
      <c r="B239" s="285">
        <v>2.264E-2</v>
      </c>
      <c r="C239" s="2" t="s">
        <v>8</v>
      </c>
      <c r="D239" s="2">
        <v>10385</v>
      </c>
      <c r="E239" s="31"/>
      <c r="F239" s="284">
        <v>43217</v>
      </c>
      <c r="G239" s="280">
        <v>2.264E-2</v>
      </c>
      <c r="H239" s="280">
        <v>3.2640000000000002E-2</v>
      </c>
      <c r="I239" s="280">
        <v>1.264E-2</v>
      </c>
      <c r="J239" s="25"/>
      <c r="K239" s="25"/>
      <c r="M239" s="23"/>
      <c r="N239" s="23"/>
      <c r="O239" s="14"/>
      <c r="P239" s="24"/>
      <c r="Q239" s="23"/>
      <c r="R239" s="23"/>
    </row>
    <row r="240" spans="1:18" outlineLevel="1">
      <c r="A240" s="223">
        <v>43220</v>
      </c>
      <c r="B240" s="285">
        <v>2.2669999999999999E-2</v>
      </c>
      <c r="C240" s="2">
        <v>3858</v>
      </c>
      <c r="D240" s="2">
        <v>9555</v>
      </c>
      <c r="E240" s="31"/>
      <c r="F240" s="284">
        <v>43218</v>
      </c>
      <c r="G240" s="280">
        <v>2.264E-2</v>
      </c>
      <c r="H240" s="280">
        <v>3.2640000000000002E-2</v>
      </c>
      <c r="I240" s="280">
        <v>1.264E-2</v>
      </c>
      <c r="J240" s="25"/>
      <c r="K240" s="25"/>
      <c r="M240" s="23"/>
      <c r="N240" s="23"/>
      <c r="O240" s="14"/>
      <c r="P240" s="24"/>
      <c r="Q240" s="23"/>
      <c r="R240" s="23"/>
    </row>
    <row r="241" spans="1:18" outlineLevel="1">
      <c r="A241" s="223">
        <v>43221</v>
      </c>
      <c r="B241" s="285">
        <v>2.2669999999999999E-2</v>
      </c>
      <c r="C241" s="2">
        <v>0</v>
      </c>
      <c r="D241" s="2">
        <v>9555</v>
      </c>
      <c r="E241" s="31"/>
      <c r="F241" s="284">
        <v>43219</v>
      </c>
      <c r="G241" s="280">
        <v>2.264E-2</v>
      </c>
      <c r="H241" s="280">
        <v>3.2640000000000002E-2</v>
      </c>
      <c r="I241" s="280">
        <v>1.264E-2</v>
      </c>
      <c r="J241" s="25"/>
      <c r="K241" s="25"/>
      <c r="M241" s="23"/>
      <c r="N241" s="23"/>
      <c r="O241" s="14"/>
      <c r="P241" s="24"/>
      <c r="Q241" s="23"/>
      <c r="R241" s="23"/>
    </row>
    <row r="242" spans="1:18" outlineLevel="1">
      <c r="A242" s="223">
        <v>43222</v>
      </c>
      <c r="B242" s="285">
        <v>2.256E-2</v>
      </c>
      <c r="C242" s="2">
        <v>3313</v>
      </c>
      <c r="D242" s="2">
        <v>9800</v>
      </c>
      <c r="E242" s="31"/>
      <c r="F242" s="284">
        <v>43220</v>
      </c>
      <c r="G242" s="280">
        <v>2.2669999999999999E-2</v>
      </c>
      <c r="H242" s="280">
        <v>3.2669999999999998E-2</v>
      </c>
      <c r="I242" s="280">
        <v>1.2670000000000001E-2</v>
      </c>
      <c r="J242" s="25"/>
      <c r="K242" s="25"/>
      <c r="M242" s="23"/>
      <c r="N242" s="23"/>
      <c r="O242" s="14"/>
      <c r="P242" s="24"/>
      <c r="Q242" s="23"/>
      <c r="R242" s="23"/>
    </row>
    <row r="243" spans="1:18" outlineLevel="1">
      <c r="A243" s="223">
        <v>43223</v>
      </c>
      <c r="B243" s="285">
        <v>2.274E-2</v>
      </c>
      <c r="C243" s="2">
        <v>3652</v>
      </c>
      <c r="D243" s="2">
        <v>9983</v>
      </c>
      <c r="E243" s="31"/>
      <c r="F243" s="284">
        <v>43221</v>
      </c>
      <c r="G243" s="280">
        <v>2.2669999999999999E-2</v>
      </c>
      <c r="H243" s="280">
        <v>3.2669999999999998E-2</v>
      </c>
      <c r="I243" s="280">
        <v>1.2670000000000001E-2</v>
      </c>
      <c r="J243" s="25"/>
      <c r="K243" s="25"/>
      <c r="M243" s="23"/>
      <c r="N243" s="23"/>
      <c r="O243" s="14"/>
      <c r="P243" s="24"/>
      <c r="Q243" s="23"/>
      <c r="R243" s="23"/>
    </row>
    <row r="244" spans="1:18" outlineLevel="1">
      <c r="A244" s="223">
        <v>43224</v>
      </c>
      <c r="B244" s="285">
        <v>2.2960000000000001E-2</v>
      </c>
      <c r="C244" s="2">
        <v>4056</v>
      </c>
      <c r="D244" s="2">
        <v>10287</v>
      </c>
      <c r="E244" s="31"/>
      <c r="F244" s="284">
        <v>43222</v>
      </c>
      <c r="G244" s="280">
        <v>2.256E-2</v>
      </c>
      <c r="H244" s="280">
        <v>3.2559999999999999E-2</v>
      </c>
      <c r="I244" s="280">
        <v>1.256E-2</v>
      </c>
      <c r="J244" s="25"/>
      <c r="K244" s="25"/>
      <c r="M244" s="23"/>
      <c r="N244" s="23"/>
      <c r="O244" s="14"/>
      <c r="P244" s="24"/>
      <c r="Q244" s="23"/>
      <c r="R244" s="23"/>
    </row>
    <row r="245" spans="1:18" outlineLevel="1">
      <c r="A245" s="223">
        <v>43225</v>
      </c>
      <c r="B245" s="285">
        <v>2.2960000000000001E-2</v>
      </c>
      <c r="C245" s="2" t="s">
        <v>8</v>
      </c>
      <c r="D245" s="2">
        <v>10287</v>
      </c>
      <c r="E245" s="31"/>
      <c r="F245" s="284">
        <v>43223</v>
      </c>
      <c r="G245" s="280">
        <v>2.274E-2</v>
      </c>
      <c r="H245" s="280">
        <v>3.2739999999999998E-2</v>
      </c>
      <c r="I245" s="280">
        <v>1.274E-2</v>
      </c>
      <c r="J245" s="25"/>
      <c r="K245" s="25"/>
      <c r="M245" s="23"/>
      <c r="N245" s="23"/>
      <c r="O245" s="14"/>
      <c r="P245" s="24"/>
      <c r="Q245" s="23"/>
      <c r="R245" s="23"/>
    </row>
    <row r="246" spans="1:18" outlineLevel="1">
      <c r="A246" s="223">
        <v>43226</v>
      </c>
      <c r="B246" s="285">
        <v>2.2960000000000001E-2</v>
      </c>
      <c r="C246" s="2" t="s">
        <v>8</v>
      </c>
      <c r="D246" s="2">
        <v>10287</v>
      </c>
      <c r="E246" s="31"/>
      <c r="F246" s="284">
        <v>43224</v>
      </c>
      <c r="G246" s="280">
        <v>2.2960000000000001E-2</v>
      </c>
      <c r="H246" s="280">
        <v>3.2960000000000003E-2</v>
      </c>
      <c r="I246" s="280">
        <v>1.2959999999999999E-2</v>
      </c>
      <c r="J246" s="25"/>
      <c r="K246" s="25"/>
      <c r="M246" s="23"/>
      <c r="N246" s="23"/>
      <c r="O246" s="14"/>
      <c r="P246" s="24"/>
      <c r="Q246" s="23"/>
      <c r="R246" s="23"/>
    </row>
    <row r="247" spans="1:18" outlineLevel="1">
      <c r="A247" s="223">
        <v>43227</v>
      </c>
      <c r="B247" s="285">
        <v>2.325E-2</v>
      </c>
      <c r="C247" s="2">
        <v>4456</v>
      </c>
      <c r="D247" s="2">
        <v>9857</v>
      </c>
      <c r="E247" s="31"/>
      <c r="F247" s="284">
        <v>43225</v>
      </c>
      <c r="G247" s="280">
        <v>2.2960000000000001E-2</v>
      </c>
      <c r="H247" s="280">
        <v>3.2960000000000003E-2</v>
      </c>
      <c r="I247" s="280">
        <v>1.2959999999999999E-2</v>
      </c>
      <c r="J247" s="25"/>
      <c r="K247" s="25"/>
      <c r="M247" s="23"/>
      <c r="N247" s="23"/>
      <c r="O247" s="14"/>
      <c r="P247" s="24"/>
      <c r="Q247" s="23"/>
      <c r="R247" s="23"/>
    </row>
    <row r="248" spans="1:18" outlineLevel="1">
      <c r="A248" s="223">
        <v>43228</v>
      </c>
      <c r="B248" s="285">
        <v>2.333E-2</v>
      </c>
      <c r="C248" s="2">
        <v>5300</v>
      </c>
      <c r="D248" s="2">
        <v>10701</v>
      </c>
      <c r="E248" s="31"/>
      <c r="F248" s="284">
        <v>43226</v>
      </c>
      <c r="G248" s="280">
        <v>2.2960000000000001E-2</v>
      </c>
      <c r="H248" s="280">
        <v>3.2960000000000003E-2</v>
      </c>
      <c r="I248" s="280">
        <v>1.2959999999999999E-2</v>
      </c>
      <c r="J248" s="25"/>
      <c r="K248" s="25"/>
      <c r="M248" s="23"/>
      <c r="N248" s="23"/>
      <c r="O248" s="14"/>
      <c r="P248" s="24"/>
      <c r="Q248" s="23"/>
      <c r="R248" s="23"/>
    </row>
    <row r="249" spans="1:18" outlineLevel="1">
      <c r="A249" s="223">
        <v>43229</v>
      </c>
      <c r="B249" s="285">
        <v>2.3400000000000001E-2</v>
      </c>
      <c r="C249" s="2">
        <v>5592</v>
      </c>
      <c r="D249" s="2">
        <v>10813</v>
      </c>
      <c r="E249" s="31"/>
      <c r="F249" s="284">
        <v>43227</v>
      </c>
      <c r="G249" s="280">
        <v>2.325E-2</v>
      </c>
      <c r="H249" s="280">
        <v>3.3250000000000002E-2</v>
      </c>
      <c r="I249" s="280">
        <v>1.325E-2</v>
      </c>
      <c r="J249" s="25"/>
      <c r="K249" s="25"/>
      <c r="M249" s="23"/>
      <c r="N249" s="23"/>
      <c r="O249" s="14"/>
      <c r="P249" s="24"/>
      <c r="Q249" s="23"/>
      <c r="R249" s="23"/>
    </row>
    <row r="250" spans="1:18" outlineLevel="1">
      <c r="A250" s="223">
        <v>43230</v>
      </c>
      <c r="B250" s="285">
        <v>2.3130000000000001E-2</v>
      </c>
      <c r="C250" s="2">
        <v>4180</v>
      </c>
      <c r="D250" s="2">
        <v>9551</v>
      </c>
      <c r="E250" s="31"/>
      <c r="F250" s="284">
        <v>43228</v>
      </c>
      <c r="G250" s="280">
        <v>2.333E-2</v>
      </c>
      <c r="H250" s="280">
        <v>3.3329999999999999E-2</v>
      </c>
      <c r="I250" s="280">
        <v>1.333E-2</v>
      </c>
      <c r="J250" s="25"/>
      <c r="K250" s="25"/>
      <c r="M250" s="23"/>
      <c r="N250" s="23"/>
      <c r="O250" s="14"/>
      <c r="P250" s="24"/>
      <c r="Q250" s="23"/>
      <c r="R250" s="23"/>
    </row>
    <row r="251" spans="1:18" outlineLevel="1">
      <c r="A251" s="223">
        <v>43231</v>
      </c>
      <c r="B251" s="285">
        <v>2.3040000000000001E-2</v>
      </c>
      <c r="C251" s="2">
        <v>3717</v>
      </c>
      <c r="D251" s="2">
        <v>9143</v>
      </c>
      <c r="E251" s="31"/>
      <c r="F251" s="284">
        <v>43229</v>
      </c>
      <c r="G251" s="280">
        <v>2.3400000000000001E-2</v>
      </c>
      <c r="H251" s="280">
        <v>3.3399999999999999E-2</v>
      </c>
      <c r="I251" s="280">
        <v>1.34E-2</v>
      </c>
      <c r="J251" s="25"/>
      <c r="K251" s="25"/>
      <c r="M251" s="23"/>
      <c r="N251" s="23"/>
      <c r="O251" s="14"/>
      <c r="P251" s="24"/>
      <c r="Q251" s="23"/>
      <c r="R251" s="23"/>
    </row>
    <row r="252" spans="1:18" outlineLevel="1">
      <c r="A252" s="223">
        <v>43232</v>
      </c>
      <c r="B252" s="285">
        <v>2.3040000000000001E-2</v>
      </c>
      <c r="C252" s="2" t="s">
        <v>8</v>
      </c>
      <c r="D252" s="2">
        <v>9143</v>
      </c>
      <c r="E252" s="31"/>
      <c r="F252" s="284">
        <v>43230</v>
      </c>
      <c r="G252" s="280">
        <v>2.3130000000000001E-2</v>
      </c>
      <c r="H252" s="280">
        <v>3.313E-2</v>
      </c>
      <c r="I252" s="280">
        <v>1.3129999999999999E-2</v>
      </c>
      <c r="J252" s="25"/>
      <c r="K252" s="25"/>
      <c r="M252" s="23"/>
      <c r="N252" s="23"/>
      <c r="O252" s="14"/>
      <c r="P252" s="24"/>
      <c r="Q252" s="23"/>
      <c r="R252" s="23"/>
    </row>
    <row r="253" spans="1:18" outlineLevel="1">
      <c r="A253" s="223">
        <v>43233</v>
      </c>
      <c r="B253" s="285">
        <v>2.3040000000000001E-2</v>
      </c>
      <c r="C253" s="2" t="s">
        <v>8</v>
      </c>
      <c r="D253" s="2">
        <v>9143</v>
      </c>
      <c r="E253" s="31"/>
      <c r="F253" s="284">
        <v>43231</v>
      </c>
      <c r="G253" s="280">
        <v>2.3040000000000001E-2</v>
      </c>
      <c r="H253" s="280">
        <v>3.304E-2</v>
      </c>
      <c r="I253" s="280">
        <v>1.304E-2</v>
      </c>
      <c r="J253" s="25"/>
      <c r="K253" s="25"/>
      <c r="M253" s="23"/>
      <c r="N253" s="23"/>
      <c r="O253" s="14"/>
      <c r="P253" s="24"/>
      <c r="Q253" s="23"/>
      <c r="R253" s="23"/>
    </row>
    <row r="254" spans="1:18" outlineLevel="1">
      <c r="A254" s="223">
        <v>43234</v>
      </c>
      <c r="B254" s="285">
        <v>2.29E-2</v>
      </c>
      <c r="C254" s="2">
        <v>5582</v>
      </c>
      <c r="D254" s="2">
        <v>10008</v>
      </c>
      <c r="E254" s="31"/>
      <c r="F254" s="284">
        <v>43232</v>
      </c>
      <c r="G254" s="280">
        <v>2.3040000000000001E-2</v>
      </c>
      <c r="H254" s="280">
        <v>3.304E-2</v>
      </c>
      <c r="I254" s="280">
        <v>1.304E-2</v>
      </c>
      <c r="J254" s="25"/>
      <c r="K254" s="25"/>
      <c r="M254" s="23"/>
      <c r="N254" s="23"/>
      <c r="O254" s="14"/>
      <c r="P254" s="24"/>
      <c r="Q254" s="23"/>
      <c r="R254" s="23"/>
    </row>
    <row r="255" spans="1:18" outlineLevel="1">
      <c r="A255" s="223">
        <v>43235</v>
      </c>
      <c r="B255" s="285">
        <v>2.2880000000000001E-2</v>
      </c>
      <c r="C255" s="2">
        <v>3790</v>
      </c>
      <c r="D255" s="2">
        <v>8216</v>
      </c>
      <c r="E255" s="31"/>
      <c r="F255" s="284">
        <v>43233</v>
      </c>
      <c r="G255" s="280">
        <v>2.3040000000000001E-2</v>
      </c>
      <c r="H255" s="280">
        <v>3.304E-2</v>
      </c>
      <c r="I255" s="280">
        <v>1.304E-2</v>
      </c>
      <c r="J255" s="25"/>
      <c r="K255" s="25"/>
      <c r="M255" s="23"/>
      <c r="N255" s="23"/>
      <c r="O255" s="14"/>
      <c r="P255" s="24"/>
      <c r="Q255" s="23"/>
      <c r="R255" s="23"/>
    </row>
    <row r="256" spans="1:18" outlineLevel="1">
      <c r="A256" s="223">
        <v>43236</v>
      </c>
      <c r="B256" s="285">
        <v>2.2790000000000001E-2</v>
      </c>
      <c r="C256" s="2">
        <v>4928</v>
      </c>
      <c r="D256" s="2">
        <v>9354</v>
      </c>
      <c r="E256" s="31"/>
      <c r="F256" s="284">
        <v>43234</v>
      </c>
      <c r="G256" s="280">
        <v>2.29E-2</v>
      </c>
      <c r="H256" s="280">
        <v>3.2899999999999999E-2</v>
      </c>
      <c r="I256" s="280">
        <v>1.29E-2</v>
      </c>
      <c r="J256" s="25"/>
      <c r="K256" s="25"/>
      <c r="M256" s="23"/>
      <c r="N256" s="23"/>
      <c r="O256" s="14"/>
      <c r="P256" s="24"/>
      <c r="Q256" s="23"/>
      <c r="R256" s="23"/>
    </row>
    <row r="257" spans="1:18" outlineLevel="1">
      <c r="A257" s="223">
        <v>43237</v>
      </c>
      <c r="B257" s="285">
        <v>2.2800000000000001E-2</v>
      </c>
      <c r="C257" s="2">
        <v>3775</v>
      </c>
      <c r="D257" s="2">
        <v>7756</v>
      </c>
      <c r="E257" s="31"/>
      <c r="F257" s="284">
        <v>43235</v>
      </c>
      <c r="G257" s="280">
        <v>2.2880000000000001E-2</v>
      </c>
      <c r="H257" s="280">
        <v>3.288E-2</v>
      </c>
      <c r="I257" s="280">
        <v>1.2880000000000001E-2</v>
      </c>
      <c r="J257" s="25"/>
      <c r="K257" s="25"/>
      <c r="M257" s="23"/>
      <c r="N257" s="23"/>
      <c r="O257" s="14"/>
      <c r="P257" s="24"/>
      <c r="Q257" s="23"/>
      <c r="R257" s="23"/>
    </row>
    <row r="258" spans="1:18" outlineLevel="1">
      <c r="A258" s="223">
        <v>43238</v>
      </c>
      <c r="B258" s="285">
        <v>2.2700000000000001E-2</v>
      </c>
      <c r="C258" s="2">
        <v>5283</v>
      </c>
      <c r="D258" s="2">
        <v>9264</v>
      </c>
      <c r="E258" s="31"/>
      <c r="F258" s="284">
        <v>43236</v>
      </c>
      <c r="G258" s="280">
        <v>2.2790000000000001E-2</v>
      </c>
      <c r="H258" s="280">
        <v>3.279E-2</v>
      </c>
      <c r="I258" s="280">
        <v>1.2789999999999999E-2</v>
      </c>
      <c r="J258" s="25"/>
      <c r="K258" s="25"/>
      <c r="M258" s="23"/>
      <c r="N258" s="23"/>
      <c r="O258" s="14"/>
      <c r="P258" s="24"/>
      <c r="Q258" s="23"/>
      <c r="R258" s="23"/>
    </row>
    <row r="259" spans="1:18" outlineLevel="1">
      <c r="A259" s="223">
        <v>43239</v>
      </c>
      <c r="B259" s="285">
        <v>2.2700000000000001E-2</v>
      </c>
      <c r="C259" s="2" t="s">
        <v>8</v>
      </c>
      <c r="D259" s="2">
        <v>9264</v>
      </c>
      <c r="E259" s="31"/>
      <c r="F259" s="284">
        <v>43237</v>
      </c>
      <c r="G259" s="280">
        <v>2.2800000000000001E-2</v>
      </c>
      <c r="H259" s="280">
        <v>3.2800000000000003E-2</v>
      </c>
      <c r="I259" s="280">
        <v>1.2800000000000001E-2</v>
      </c>
      <c r="J259" s="25"/>
      <c r="K259" s="25"/>
      <c r="M259" s="23"/>
      <c r="N259" s="23"/>
      <c r="O259" s="14"/>
      <c r="P259" s="24"/>
      <c r="Q259" s="23"/>
      <c r="R259" s="23"/>
    </row>
    <row r="260" spans="1:18" outlineLevel="1">
      <c r="A260" s="223">
        <v>43240</v>
      </c>
      <c r="B260" s="285">
        <v>2.2700000000000001E-2</v>
      </c>
      <c r="C260" s="2" t="s">
        <v>8</v>
      </c>
      <c r="D260" s="2">
        <v>9264</v>
      </c>
      <c r="E260" s="31"/>
      <c r="F260" s="284">
        <v>43238</v>
      </c>
      <c r="G260" s="280">
        <v>2.2700000000000001E-2</v>
      </c>
      <c r="H260" s="280">
        <v>3.27E-2</v>
      </c>
      <c r="I260" s="280">
        <v>1.2699999999999999E-2</v>
      </c>
      <c r="J260" s="25"/>
      <c r="K260" s="25"/>
      <c r="M260" s="23"/>
      <c r="N260" s="23"/>
      <c r="O260" s="14"/>
      <c r="P260" s="24"/>
      <c r="Q260" s="23"/>
      <c r="R260" s="23"/>
    </row>
    <row r="261" spans="1:18" outlineLevel="1">
      <c r="A261" s="223">
        <v>43241</v>
      </c>
      <c r="B261" s="285">
        <v>2.257E-2</v>
      </c>
      <c r="C261" s="2">
        <v>4682</v>
      </c>
      <c r="D261" s="2">
        <v>9063</v>
      </c>
      <c r="E261" s="31"/>
      <c r="F261" s="284">
        <v>43239</v>
      </c>
      <c r="G261" s="280">
        <v>2.2700000000000001E-2</v>
      </c>
      <c r="H261" s="280">
        <v>3.27E-2</v>
      </c>
      <c r="I261" s="280">
        <v>1.2699999999999999E-2</v>
      </c>
      <c r="J261" s="25"/>
      <c r="K261" s="25"/>
      <c r="M261" s="23"/>
      <c r="N261" s="23"/>
      <c r="O261" s="14"/>
      <c r="P261" s="24"/>
      <c r="Q261" s="23"/>
      <c r="R261" s="23"/>
    </row>
    <row r="262" spans="1:18" outlineLevel="1">
      <c r="A262" s="223">
        <v>43242</v>
      </c>
      <c r="B262" s="285">
        <v>2.2589999999999999E-2</v>
      </c>
      <c r="C262" s="2">
        <v>4215</v>
      </c>
      <c r="D262" s="2">
        <v>8461</v>
      </c>
      <c r="E262" s="31"/>
      <c r="F262" s="284">
        <v>43240</v>
      </c>
      <c r="G262" s="280">
        <v>2.2700000000000001E-2</v>
      </c>
      <c r="H262" s="280">
        <v>3.27E-2</v>
      </c>
      <c r="I262" s="280">
        <v>1.2699999999999999E-2</v>
      </c>
      <c r="J262" s="25"/>
      <c r="K262" s="25"/>
      <c r="M262" s="23"/>
      <c r="N262" s="23"/>
      <c r="O262" s="14"/>
      <c r="P262" s="24"/>
      <c r="Q262" s="23"/>
      <c r="R262" s="23"/>
    </row>
    <row r="263" spans="1:18" outlineLevel="1">
      <c r="A263" s="223">
        <v>43243</v>
      </c>
      <c r="B263" s="285">
        <v>2.2579999999999999E-2</v>
      </c>
      <c r="C263" s="2">
        <v>4404</v>
      </c>
      <c r="D263" s="2">
        <v>8650</v>
      </c>
      <c r="E263" s="31"/>
      <c r="F263" s="284">
        <v>43241</v>
      </c>
      <c r="G263" s="280">
        <v>2.257E-2</v>
      </c>
      <c r="H263" s="280">
        <v>3.2570000000000002E-2</v>
      </c>
      <c r="I263" s="280">
        <v>1.257E-2</v>
      </c>
      <c r="J263" s="25"/>
      <c r="K263" s="25"/>
      <c r="M263" s="23"/>
      <c r="N263" s="23"/>
      <c r="O263" s="14"/>
      <c r="P263" s="24"/>
      <c r="Q263" s="23"/>
      <c r="R263" s="23"/>
    </row>
    <row r="264" spans="1:18" outlineLevel="1">
      <c r="A264" s="223">
        <v>43244</v>
      </c>
      <c r="B264" s="285">
        <v>2.265E-2</v>
      </c>
      <c r="C264" s="2">
        <v>4792</v>
      </c>
      <c r="D264" s="2">
        <v>9958</v>
      </c>
      <c r="E264" s="31"/>
      <c r="F264" s="284">
        <v>43242</v>
      </c>
      <c r="G264" s="280">
        <v>2.2589999999999999E-2</v>
      </c>
      <c r="H264" s="280">
        <v>3.2590000000000001E-2</v>
      </c>
      <c r="I264" s="280">
        <v>1.259E-2</v>
      </c>
      <c r="J264" s="25"/>
      <c r="K264" s="25"/>
      <c r="O264" s="14"/>
      <c r="P264" s="24"/>
    </row>
    <row r="265" spans="1:18" outlineLevel="1">
      <c r="A265" s="223">
        <v>43245</v>
      </c>
      <c r="B265" s="285">
        <v>2.2579999999999999E-2</v>
      </c>
      <c r="C265" s="2">
        <v>4120</v>
      </c>
      <c r="D265" s="2">
        <v>9336</v>
      </c>
      <c r="E265" s="31"/>
      <c r="F265" s="284">
        <v>43243</v>
      </c>
      <c r="G265" s="280">
        <v>2.2579999999999999E-2</v>
      </c>
      <c r="H265" s="280">
        <v>3.2579999999999998E-2</v>
      </c>
      <c r="I265" s="280">
        <v>1.2579999999999999E-2</v>
      </c>
      <c r="J265" s="25"/>
      <c r="K265" s="25"/>
      <c r="O265" s="14"/>
      <c r="P265" s="24"/>
    </row>
    <row r="266" spans="1:18" outlineLevel="1">
      <c r="A266" s="223">
        <v>43246</v>
      </c>
      <c r="B266" s="285">
        <v>2.2579999999999999E-2</v>
      </c>
      <c r="C266" s="2" t="s">
        <v>8</v>
      </c>
      <c r="D266" s="2">
        <v>9336</v>
      </c>
      <c r="E266" s="31"/>
      <c r="F266" s="284">
        <v>43244</v>
      </c>
      <c r="G266" s="280">
        <v>2.265E-2</v>
      </c>
      <c r="H266" s="280">
        <v>3.2649999999999998E-2</v>
      </c>
      <c r="I266" s="280">
        <v>1.265E-2</v>
      </c>
      <c r="J266" s="25"/>
      <c r="K266" s="25"/>
      <c r="O266" s="14"/>
      <c r="P266" s="24"/>
    </row>
    <row r="267" spans="1:18" outlineLevel="1">
      <c r="A267" s="223">
        <v>43247</v>
      </c>
      <c r="B267" s="285">
        <v>2.2579999999999999E-2</v>
      </c>
      <c r="C267" s="2" t="s">
        <v>8</v>
      </c>
      <c r="D267" s="2">
        <v>9336</v>
      </c>
      <c r="E267" s="31"/>
      <c r="F267" s="284">
        <v>43245</v>
      </c>
      <c r="G267" s="280">
        <v>2.2579999999999999E-2</v>
      </c>
      <c r="H267" s="280">
        <v>3.2579999999999998E-2</v>
      </c>
      <c r="I267" s="280">
        <v>1.2579999999999999E-2</v>
      </c>
      <c r="J267" s="25"/>
      <c r="K267" s="25"/>
      <c r="O267" s="14"/>
      <c r="P267" s="24"/>
    </row>
    <row r="268" spans="1:18" outlineLevel="1">
      <c r="A268" s="223">
        <v>43248</v>
      </c>
      <c r="B268" s="285">
        <v>2.265E-2</v>
      </c>
      <c r="C268" s="2">
        <v>4435</v>
      </c>
      <c r="D268" s="2">
        <v>9641</v>
      </c>
      <c r="E268" s="31"/>
      <c r="F268" s="284">
        <v>43246</v>
      </c>
      <c r="G268" s="280">
        <v>2.2579999999999999E-2</v>
      </c>
      <c r="H268" s="280">
        <v>3.2579999999999998E-2</v>
      </c>
      <c r="I268" s="280">
        <v>1.2579999999999999E-2</v>
      </c>
      <c r="J268" s="25"/>
      <c r="K268" s="25"/>
      <c r="O268" s="14"/>
      <c r="P268" s="24"/>
    </row>
    <row r="269" spans="1:18" outlineLevel="1">
      <c r="A269" s="223">
        <v>43249</v>
      </c>
      <c r="B269" s="285">
        <v>2.2589999999999999E-2</v>
      </c>
      <c r="C269" s="2">
        <v>3967</v>
      </c>
      <c r="D269" s="2">
        <v>9503</v>
      </c>
      <c r="E269" s="31"/>
      <c r="F269" s="284">
        <v>43247</v>
      </c>
      <c r="G269" s="280">
        <v>2.2579999999999999E-2</v>
      </c>
      <c r="H269" s="280">
        <v>3.2579999999999998E-2</v>
      </c>
      <c r="I269" s="280">
        <v>1.2579999999999999E-2</v>
      </c>
      <c r="J269" s="25"/>
      <c r="K269" s="25"/>
      <c r="O269" s="14"/>
      <c r="P269" s="24"/>
    </row>
    <row r="270" spans="1:18" outlineLevel="1">
      <c r="A270" s="223">
        <v>43250</v>
      </c>
      <c r="B270" s="285">
        <v>2.265E-2</v>
      </c>
      <c r="C270" s="2">
        <v>3949</v>
      </c>
      <c r="D270" s="2">
        <v>9385</v>
      </c>
      <c r="E270" s="31"/>
      <c r="F270" s="284">
        <v>43248</v>
      </c>
      <c r="G270" s="280">
        <v>2.265E-2</v>
      </c>
      <c r="H270" s="280">
        <v>3.2649999999999998E-2</v>
      </c>
      <c r="I270" s="280">
        <v>1.265E-2</v>
      </c>
      <c r="J270" s="25"/>
      <c r="K270" s="25"/>
      <c r="O270" s="14"/>
      <c r="P270" s="24"/>
    </row>
    <row r="271" spans="1:18" outlineLevel="1">
      <c r="A271" s="223">
        <v>43251</v>
      </c>
      <c r="B271" s="285">
        <v>2.2540000000000001E-2</v>
      </c>
      <c r="C271" s="2">
        <v>3046</v>
      </c>
      <c r="D271" s="2">
        <v>8207</v>
      </c>
      <c r="E271" s="31"/>
      <c r="F271" s="284">
        <v>43249</v>
      </c>
      <c r="G271" s="280">
        <v>2.2589999999999999E-2</v>
      </c>
      <c r="H271" s="280">
        <v>3.2590000000000001E-2</v>
      </c>
      <c r="I271" s="280">
        <v>1.259E-2</v>
      </c>
      <c r="J271" s="25"/>
      <c r="K271" s="25"/>
      <c r="O271" s="14"/>
      <c r="P271" s="24"/>
    </row>
    <row r="272" spans="1:18" outlineLevel="1">
      <c r="A272" s="223">
        <v>43252</v>
      </c>
      <c r="B272" s="285">
        <v>2.266E-2</v>
      </c>
      <c r="C272" s="2">
        <v>5164</v>
      </c>
      <c r="D272" s="2">
        <v>11045</v>
      </c>
      <c r="E272" s="31"/>
      <c r="F272" s="284">
        <v>43250</v>
      </c>
      <c r="G272" s="280">
        <v>2.265E-2</v>
      </c>
      <c r="H272" s="280">
        <v>3.2649999999999998E-2</v>
      </c>
      <c r="I272" s="280">
        <v>1.265E-2</v>
      </c>
      <c r="J272" s="25"/>
      <c r="K272" s="25"/>
      <c r="O272" s="14"/>
      <c r="P272" s="24"/>
    </row>
    <row r="273" spans="1:16" outlineLevel="1">
      <c r="A273" s="223">
        <v>43253</v>
      </c>
      <c r="B273" s="285">
        <v>2.266E-2</v>
      </c>
      <c r="C273" s="2" t="s">
        <v>8</v>
      </c>
      <c r="D273" s="2">
        <v>11045</v>
      </c>
      <c r="E273" s="31"/>
      <c r="F273" s="284">
        <v>43251</v>
      </c>
      <c r="G273" s="280">
        <v>2.2540000000000001E-2</v>
      </c>
      <c r="H273" s="280">
        <v>3.2539999999999999E-2</v>
      </c>
      <c r="I273" s="280">
        <v>1.2540000000000001E-2</v>
      </c>
      <c r="J273" s="25"/>
      <c r="K273" s="25"/>
      <c r="O273" s="14"/>
      <c r="P273" s="24"/>
    </row>
    <row r="274" spans="1:16" outlineLevel="1">
      <c r="A274" s="223">
        <v>43254</v>
      </c>
      <c r="B274" s="285">
        <v>2.266E-2</v>
      </c>
      <c r="C274" s="2" t="s">
        <v>8</v>
      </c>
      <c r="D274" s="2">
        <v>11045</v>
      </c>
      <c r="E274" s="31"/>
      <c r="F274" s="284">
        <v>43252</v>
      </c>
      <c r="G274" s="280">
        <v>2.266E-2</v>
      </c>
      <c r="H274" s="280">
        <v>3.2660000000000002E-2</v>
      </c>
      <c r="I274" s="280">
        <v>1.2659999999999999E-2</v>
      </c>
      <c r="J274" s="25"/>
      <c r="K274" s="25"/>
      <c r="O274" s="14"/>
      <c r="P274" s="24"/>
    </row>
    <row r="275" spans="1:16" outlineLevel="1">
      <c r="A275" s="223">
        <v>43255</v>
      </c>
      <c r="B275" s="285">
        <v>2.2689999999999998E-2</v>
      </c>
      <c r="C275" s="2">
        <v>3565</v>
      </c>
      <c r="D275" s="2">
        <v>9246</v>
      </c>
      <c r="E275" s="31"/>
      <c r="F275" s="284">
        <v>43253</v>
      </c>
      <c r="G275" s="280">
        <v>2.266E-2</v>
      </c>
      <c r="H275" s="280">
        <v>3.2660000000000002E-2</v>
      </c>
      <c r="I275" s="280">
        <v>1.2659999999999999E-2</v>
      </c>
      <c r="J275" s="25"/>
      <c r="K275" s="25"/>
      <c r="O275" s="14"/>
      <c r="P275" s="24"/>
    </row>
    <row r="276" spans="1:16" outlineLevel="1">
      <c r="A276" s="223">
        <v>43256</v>
      </c>
      <c r="B276" s="285">
        <v>2.2780000000000002E-2</v>
      </c>
      <c r="C276" s="2">
        <v>4497</v>
      </c>
      <c r="D276" s="2">
        <v>9848</v>
      </c>
      <c r="E276" s="31"/>
      <c r="F276" s="284">
        <v>43254</v>
      </c>
      <c r="G276" s="280">
        <v>2.266E-2</v>
      </c>
      <c r="H276" s="280">
        <v>3.2660000000000002E-2</v>
      </c>
      <c r="I276" s="280">
        <v>1.2659999999999999E-2</v>
      </c>
      <c r="J276" s="25"/>
      <c r="K276" s="25"/>
      <c r="O276" s="14"/>
      <c r="P276" s="24"/>
    </row>
    <row r="277" spans="1:16" outlineLevel="1">
      <c r="A277" s="223">
        <v>43257</v>
      </c>
      <c r="B277" s="285">
        <v>2.273E-2</v>
      </c>
      <c r="C277" s="2">
        <v>3729</v>
      </c>
      <c r="D277" s="2">
        <v>9050</v>
      </c>
      <c r="E277" s="31"/>
      <c r="F277" s="284">
        <v>43255</v>
      </c>
      <c r="G277" s="280">
        <v>2.2689999999999998E-2</v>
      </c>
      <c r="H277" s="280">
        <v>3.2689999999999997E-2</v>
      </c>
      <c r="I277" s="280">
        <v>1.269E-2</v>
      </c>
      <c r="J277" s="25"/>
      <c r="K277" s="25"/>
      <c r="O277" s="14"/>
      <c r="P277" s="24"/>
    </row>
    <row r="278" spans="1:16" outlineLevel="1">
      <c r="A278" s="223">
        <v>43258</v>
      </c>
      <c r="B278" s="285">
        <v>2.2579999999999999E-2</v>
      </c>
      <c r="C278" s="2">
        <v>3670</v>
      </c>
      <c r="D278" s="2">
        <v>8391</v>
      </c>
      <c r="E278" s="31"/>
      <c r="F278" s="284">
        <v>43256</v>
      </c>
      <c r="G278" s="280">
        <v>2.2780000000000002E-2</v>
      </c>
      <c r="H278" s="280">
        <v>3.2779999999999997E-2</v>
      </c>
      <c r="I278" s="280">
        <v>1.278E-2</v>
      </c>
      <c r="J278" s="25"/>
      <c r="K278" s="25"/>
      <c r="O278" s="14"/>
      <c r="P278" s="24"/>
    </row>
    <row r="279" spans="1:16" outlineLevel="1">
      <c r="A279" s="223">
        <v>43259</v>
      </c>
      <c r="B279" s="285">
        <v>2.273E-2</v>
      </c>
      <c r="C279" s="2">
        <v>3554</v>
      </c>
      <c r="D279" s="2">
        <v>8375</v>
      </c>
      <c r="E279" s="31"/>
      <c r="F279" s="284">
        <v>43257</v>
      </c>
      <c r="G279" s="280">
        <v>2.273E-2</v>
      </c>
      <c r="H279" s="280">
        <v>3.2730000000000002E-2</v>
      </c>
      <c r="I279" s="280">
        <v>1.273E-2</v>
      </c>
      <c r="J279" s="25"/>
      <c r="K279" s="25"/>
      <c r="O279" s="14"/>
      <c r="P279" s="24"/>
    </row>
    <row r="280" spans="1:16" outlineLevel="1">
      <c r="A280" s="223">
        <v>43260</v>
      </c>
      <c r="B280" s="285">
        <v>2.273E-2</v>
      </c>
      <c r="C280" s="2" t="s">
        <v>8</v>
      </c>
      <c r="D280" s="2">
        <v>8375</v>
      </c>
      <c r="E280" s="31"/>
      <c r="F280" s="284">
        <v>43258</v>
      </c>
      <c r="G280" s="280">
        <v>2.2579999999999999E-2</v>
      </c>
      <c r="H280" s="280">
        <v>3.2579999999999998E-2</v>
      </c>
      <c r="I280" s="280">
        <v>1.2579999999999999E-2</v>
      </c>
      <c r="J280" s="25"/>
      <c r="K280" s="25"/>
      <c r="O280" s="14"/>
      <c r="P280" s="24"/>
    </row>
    <row r="281" spans="1:16" outlineLevel="1">
      <c r="A281" s="223">
        <v>43261</v>
      </c>
      <c r="B281" s="285">
        <v>2.273E-2</v>
      </c>
      <c r="C281" s="2" t="s">
        <v>8</v>
      </c>
      <c r="D281" s="2">
        <v>8375</v>
      </c>
      <c r="E281" s="31"/>
      <c r="F281" s="284">
        <v>43259</v>
      </c>
      <c r="G281" s="280">
        <v>2.273E-2</v>
      </c>
      <c r="H281" s="280">
        <v>3.2730000000000002E-2</v>
      </c>
      <c r="I281" s="280">
        <v>1.273E-2</v>
      </c>
      <c r="J281" s="25"/>
      <c r="K281" s="25"/>
      <c r="O281" s="14"/>
      <c r="P281" s="24"/>
    </row>
    <row r="282" spans="1:16" outlineLevel="1">
      <c r="A282" s="223">
        <v>43262</v>
      </c>
      <c r="B282" s="285">
        <v>2.265E-2</v>
      </c>
      <c r="C282" s="2">
        <v>3095</v>
      </c>
      <c r="D282" s="2">
        <v>7411</v>
      </c>
      <c r="E282" s="31"/>
      <c r="F282" s="284">
        <v>43260</v>
      </c>
      <c r="G282" s="280">
        <v>2.273E-2</v>
      </c>
      <c r="H282" s="280">
        <v>3.2730000000000002E-2</v>
      </c>
      <c r="I282" s="280">
        <v>1.273E-2</v>
      </c>
      <c r="J282" s="25"/>
      <c r="K282" s="25"/>
      <c r="O282" s="14"/>
      <c r="P282" s="24"/>
    </row>
    <row r="283" spans="1:16" outlineLevel="1">
      <c r="A283" s="223">
        <v>43263</v>
      </c>
      <c r="B283" s="285">
        <v>2.2700000000000001E-2</v>
      </c>
      <c r="C283" s="2">
        <v>3410</v>
      </c>
      <c r="D283" s="2">
        <v>7726</v>
      </c>
      <c r="E283" s="31"/>
      <c r="F283" s="284">
        <v>43261</v>
      </c>
      <c r="G283" s="280">
        <v>2.273E-2</v>
      </c>
      <c r="H283" s="280">
        <v>3.2730000000000002E-2</v>
      </c>
      <c r="I283" s="280">
        <v>1.273E-2</v>
      </c>
      <c r="J283" s="25"/>
      <c r="K283" s="25"/>
      <c r="O283" s="14"/>
      <c r="P283" s="24"/>
    </row>
    <row r="284" spans="1:16" outlineLevel="1">
      <c r="A284" s="223">
        <v>43264</v>
      </c>
      <c r="B284" s="285">
        <v>2.2759999999999999E-2</v>
      </c>
      <c r="C284" s="2">
        <v>1774</v>
      </c>
      <c r="D284" s="2">
        <v>6540</v>
      </c>
      <c r="E284" s="31"/>
      <c r="F284" s="284">
        <v>43262</v>
      </c>
      <c r="G284" s="280">
        <v>2.265E-2</v>
      </c>
      <c r="H284" s="280">
        <v>3.2649999999999998E-2</v>
      </c>
      <c r="I284" s="280">
        <v>1.265E-2</v>
      </c>
      <c r="J284" s="25"/>
      <c r="K284" s="25"/>
      <c r="O284" s="14"/>
      <c r="P284" s="24"/>
    </row>
    <row r="285" spans="1:16" outlineLevel="1">
      <c r="A285" s="223">
        <v>43265</v>
      </c>
      <c r="B285" s="285">
        <v>2.3300000000000001E-2</v>
      </c>
      <c r="C285" s="2">
        <v>3069</v>
      </c>
      <c r="D285" s="2">
        <v>7835</v>
      </c>
      <c r="E285" s="31"/>
      <c r="F285" s="284">
        <v>43263</v>
      </c>
      <c r="G285" s="280">
        <v>2.2700000000000001E-2</v>
      </c>
      <c r="H285" s="280">
        <v>3.27E-2</v>
      </c>
      <c r="I285" s="280">
        <v>1.2699999999999999E-2</v>
      </c>
      <c r="J285" s="25"/>
      <c r="K285" s="25"/>
      <c r="O285" s="14"/>
      <c r="P285" s="24"/>
    </row>
    <row r="286" spans="1:16" outlineLevel="1">
      <c r="A286" s="223">
        <v>43266</v>
      </c>
      <c r="B286" s="285">
        <v>2.3300000000000001E-2</v>
      </c>
      <c r="C286" s="2" t="s">
        <v>8</v>
      </c>
      <c r="D286" s="2">
        <v>7835</v>
      </c>
      <c r="E286" s="31"/>
      <c r="F286" s="284">
        <v>43264</v>
      </c>
      <c r="G286" s="280">
        <v>2.2759999999999999E-2</v>
      </c>
      <c r="H286" s="280">
        <v>3.2759999999999997E-2</v>
      </c>
      <c r="I286" s="280">
        <v>1.2760000000000001E-2</v>
      </c>
      <c r="J286" s="25"/>
      <c r="K286" s="25"/>
      <c r="O286" s="14"/>
      <c r="P286" s="24"/>
    </row>
    <row r="287" spans="1:16" outlineLevel="1">
      <c r="A287" s="223">
        <v>43267</v>
      </c>
      <c r="B287" s="285">
        <v>2.3300000000000001E-2</v>
      </c>
      <c r="C287" s="2" t="s">
        <v>8</v>
      </c>
      <c r="D287" s="2">
        <v>7835</v>
      </c>
      <c r="E287" s="31"/>
      <c r="F287" s="284">
        <v>43265</v>
      </c>
      <c r="G287" s="280">
        <v>2.3300000000000001E-2</v>
      </c>
      <c r="H287" s="280">
        <v>3.3300000000000003E-2</v>
      </c>
      <c r="I287" s="280">
        <v>1.3299999999999999E-2</v>
      </c>
      <c r="J287" s="25"/>
      <c r="K287" s="25"/>
      <c r="O287" s="14"/>
      <c r="P287" s="24"/>
    </row>
    <row r="288" spans="1:16" outlineLevel="1">
      <c r="A288" s="223">
        <v>43268</v>
      </c>
      <c r="B288" s="285">
        <v>2.3300000000000001E-2</v>
      </c>
      <c r="C288" s="2" t="s">
        <v>8</v>
      </c>
      <c r="D288" s="2">
        <v>7835</v>
      </c>
      <c r="E288" s="31"/>
      <c r="F288" s="284">
        <v>43266</v>
      </c>
      <c r="G288" s="280">
        <v>2.3300000000000001E-2</v>
      </c>
      <c r="H288" s="280">
        <v>3.3300000000000003E-2</v>
      </c>
      <c r="I288" s="280">
        <v>1.3299999999999999E-2</v>
      </c>
      <c r="J288" s="25"/>
      <c r="K288" s="25"/>
      <c r="O288" s="14"/>
      <c r="P288" s="24"/>
    </row>
    <row r="289" spans="1:16" outlineLevel="1">
      <c r="A289" s="223">
        <v>43269</v>
      </c>
      <c r="B289" s="285">
        <v>2.316E-2</v>
      </c>
      <c r="C289" s="2">
        <v>6639</v>
      </c>
      <c r="D289" s="2">
        <v>10299</v>
      </c>
      <c r="E289" s="31"/>
      <c r="F289" s="284">
        <v>43267</v>
      </c>
      <c r="G289" s="280">
        <v>2.3300000000000001E-2</v>
      </c>
      <c r="H289" s="280">
        <v>3.3300000000000003E-2</v>
      </c>
      <c r="I289" s="280">
        <v>1.3299999999999999E-2</v>
      </c>
      <c r="J289" s="25"/>
      <c r="K289" s="25"/>
      <c r="O289" s="14"/>
      <c r="P289" s="24"/>
    </row>
    <row r="290" spans="1:16" outlineLevel="1">
      <c r="A290" s="223">
        <v>43270</v>
      </c>
      <c r="B290" s="285">
        <v>2.2610000000000002E-2</v>
      </c>
      <c r="C290" s="2">
        <v>3932</v>
      </c>
      <c r="D290" s="2">
        <v>8792</v>
      </c>
      <c r="E290" s="31"/>
      <c r="F290" s="284">
        <v>43268</v>
      </c>
      <c r="G290" s="280">
        <v>2.3300000000000001E-2</v>
      </c>
      <c r="H290" s="280">
        <v>3.3300000000000003E-2</v>
      </c>
      <c r="I290" s="280">
        <v>1.3299999999999999E-2</v>
      </c>
      <c r="J290" s="25"/>
      <c r="K290" s="25"/>
      <c r="O290" s="14"/>
      <c r="P290" s="24"/>
    </row>
    <row r="291" spans="1:16" outlineLevel="1">
      <c r="A291" s="223">
        <v>43271</v>
      </c>
      <c r="B291" s="285">
        <v>2.2550000000000001E-2</v>
      </c>
      <c r="C291" s="2">
        <v>3148</v>
      </c>
      <c r="D291" s="2">
        <v>8458</v>
      </c>
      <c r="E291" s="31"/>
      <c r="F291" s="284">
        <v>43269</v>
      </c>
      <c r="G291" s="280">
        <v>2.316E-2</v>
      </c>
      <c r="H291" s="280">
        <v>3.3160000000000002E-2</v>
      </c>
      <c r="I291" s="280">
        <v>1.316E-2</v>
      </c>
      <c r="J291" s="25"/>
      <c r="K291" s="25"/>
      <c r="O291" s="14"/>
      <c r="P291" s="24"/>
    </row>
    <row r="292" spans="1:16" outlineLevel="1">
      <c r="A292" s="223">
        <v>43272</v>
      </c>
      <c r="B292" s="285">
        <v>2.2519999999999998E-2</v>
      </c>
      <c r="C292" s="2">
        <v>2962</v>
      </c>
      <c r="D292" s="2">
        <v>7242</v>
      </c>
      <c r="E292" s="31"/>
      <c r="F292" s="284">
        <v>43270</v>
      </c>
      <c r="G292" s="280">
        <v>2.2610000000000002E-2</v>
      </c>
      <c r="H292" s="280">
        <v>3.261E-2</v>
      </c>
      <c r="I292" s="280">
        <v>1.261E-2</v>
      </c>
      <c r="J292" s="25"/>
      <c r="K292" s="25"/>
      <c r="O292" s="14"/>
      <c r="P292" s="24"/>
    </row>
    <row r="293" spans="1:16" outlineLevel="1">
      <c r="A293" s="223">
        <v>43273</v>
      </c>
      <c r="B293" s="285">
        <v>2.2519999999999998E-2</v>
      </c>
      <c r="C293" s="2">
        <v>2867</v>
      </c>
      <c r="D293" s="2">
        <v>7167</v>
      </c>
      <c r="E293" s="31"/>
      <c r="F293" s="284">
        <v>43271</v>
      </c>
      <c r="G293" s="280">
        <v>2.2550000000000001E-2</v>
      </c>
      <c r="H293" s="280">
        <v>3.2550000000000003E-2</v>
      </c>
      <c r="I293" s="280">
        <v>1.255E-2</v>
      </c>
      <c r="J293" s="25"/>
      <c r="K293" s="25"/>
      <c r="O293" s="14"/>
      <c r="P293" s="24"/>
    </row>
    <row r="294" spans="1:16" outlineLevel="1">
      <c r="A294" s="223">
        <v>43274</v>
      </c>
      <c r="B294" s="285">
        <v>2.2519999999999998E-2</v>
      </c>
      <c r="C294" s="2" t="s">
        <v>8</v>
      </c>
      <c r="D294" s="2">
        <v>7167</v>
      </c>
      <c r="E294" s="31"/>
      <c r="F294" s="284">
        <v>43272</v>
      </c>
      <c r="G294" s="280">
        <v>2.2519999999999998E-2</v>
      </c>
      <c r="H294" s="280">
        <v>3.252E-2</v>
      </c>
      <c r="I294" s="280">
        <v>1.252E-2</v>
      </c>
      <c r="J294" s="25"/>
      <c r="K294" s="25"/>
      <c r="O294" s="14"/>
      <c r="P294" s="24"/>
    </row>
    <row r="295" spans="1:16" outlineLevel="1">
      <c r="A295" s="223">
        <v>43275</v>
      </c>
      <c r="B295" s="285">
        <v>2.2519999999999998E-2</v>
      </c>
      <c r="C295" s="2" t="s">
        <v>8</v>
      </c>
      <c r="D295" s="2">
        <v>7167</v>
      </c>
      <c r="E295" s="31"/>
      <c r="F295" s="284">
        <v>43273</v>
      </c>
      <c r="G295" s="280">
        <v>2.2519999999999998E-2</v>
      </c>
      <c r="H295" s="280">
        <v>3.252E-2</v>
      </c>
      <c r="I295" s="280">
        <v>1.252E-2</v>
      </c>
      <c r="J295" s="25"/>
      <c r="K295" s="25"/>
      <c r="O295" s="14"/>
      <c r="P295" s="24"/>
    </row>
    <row r="296" spans="1:16" outlineLevel="1">
      <c r="A296" s="223">
        <v>43276</v>
      </c>
      <c r="B296" s="285">
        <v>2.2509999999999999E-2</v>
      </c>
      <c r="C296" s="2">
        <v>5691</v>
      </c>
      <c r="D296" s="2">
        <v>9876</v>
      </c>
      <c r="E296" s="31"/>
      <c r="F296" s="284">
        <v>43274</v>
      </c>
      <c r="G296" s="280">
        <v>2.2519999999999998E-2</v>
      </c>
      <c r="H296" s="280">
        <v>3.252E-2</v>
      </c>
      <c r="I296" s="280">
        <v>1.252E-2</v>
      </c>
      <c r="J296" s="25"/>
      <c r="K296" s="25"/>
      <c r="O296" s="14"/>
      <c r="P296" s="24"/>
    </row>
    <row r="297" spans="1:16" outlineLevel="1">
      <c r="A297" s="223">
        <v>43277</v>
      </c>
      <c r="B297" s="285">
        <v>2.2519999999999998E-2</v>
      </c>
      <c r="C297" s="2">
        <v>5992</v>
      </c>
      <c r="D297" s="2">
        <v>10177</v>
      </c>
      <c r="E297" s="31"/>
      <c r="F297" s="284">
        <v>43275</v>
      </c>
      <c r="G297" s="280">
        <v>2.2519999999999998E-2</v>
      </c>
      <c r="H297" s="280">
        <v>3.252E-2</v>
      </c>
      <c r="I297" s="280">
        <v>1.252E-2</v>
      </c>
      <c r="J297" s="25"/>
      <c r="K297" s="25"/>
      <c r="O297" s="14"/>
      <c r="P297" s="24"/>
    </row>
    <row r="298" spans="1:16" outlineLevel="1">
      <c r="A298" s="223">
        <v>43278</v>
      </c>
      <c r="B298" s="285">
        <v>2.2519999999999998E-2</v>
      </c>
      <c r="C298" s="2">
        <v>4718</v>
      </c>
      <c r="D298" s="2">
        <v>8903</v>
      </c>
      <c r="E298" s="31"/>
      <c r="F298" s="284">
        <v>43276</v>
      </c>
      <c r="G298" s="280">
        <v>2.2509999999999999E-2</v>
      </c>
      <c r="H298" s="280">
        <v>3.2509999999999997E-2</v>
      </c>
      <c r="I298" s="280">
        <v>1.251E-2</v>
      </c>
      <c r="J298" s="25"/>
      <c r="K298" s="25"/>
      <c r="O298" s="14"/>
      <c r="P298" s="24"/>
    </row>
    <row r="299" spans="1:16" outlineLevel="1">
      <c r="A299" s="223">
        <v>43279</v>
      </c>
      <c r="B299" s="285">
        <v>2.2849999999999999E-2</v>
      </c>
      <c r="C299" s="2">
        <v>7696</v>
      </c>
      <c r="D299" s="2">
        <v>11331</v>
      </c>
      <c r="E299" s="31"/>
      <c r="F299" s="284">
        <v>43277</v>
      </c>
      <c r="G299" s="280">
        <v>2.2519999999999998E-2</v>
      </c>
      <c r="H299" s="280">
        <v>3.252E-2</v>
      </c>
      <c r="I299" s="280">
        <v>1.252E-2</v>
      </c>
      <c r="J299" s="25"/>
      <c r="K299" s="25"/>
      <c r="O299" s="14"/>
      <c r="P299" s="24"/>
    </row>
    <row r="300" spans="1:16" outlineLevel="1">
      <c r="A300" s="223">
        <v>43280</v>
      </c>
      <c r="B300" s="285">
        <v>2.298E-2</v>
      </c>
      <c r="C300" s="2">
        <v>3806</v>
      </c>
      <c r="D300" s="2">
        <v>6931</v>
      </c>
      <c r="E300" s="31"/>
      <c r="F300" s="284">
        <v>43278</v>
      </c>
      <c r="G300" s="280">
        <v>2.2519999999999998E-2</v>
      </c>
      <c r="H300" s="280">
        <v>3.252E-2</v>
      </c>
      <c r="I300" s="280">
        <v>1.252E-2</v>
      </c>
      <c r="J300" s="25"/>
      <c r="K300" s="25"/>
      <c r="O300" s="14"/>
      <c r="P300" s="24"/>
    </row>
    <row r="301" spans="1:16" outlineLevel="1">
      <c r="A301" s="223">
        <v>43281</v>
      </c>
      <c r="B301" s="285">
        <v>2.298E-2</v>
      </c>
      <c r="C301" s="2" t="s">
        <v>8</v>
      </c>
      <c r="D301" s="2">
        <v>6931</v>
      </c>
      <c r="E301" s="31"/>
      <c r="F301" s="284">
        <v>43279</v>
      </c>
      <c r="G301" s="280">
        <v>2.2849999999999999E-2</v>
      </c>
      <c r="H301" s="280">
        <v>3.2849999999999997E-2</v>
      </c>
      <c r="I301" s="280">
        <v>1.285E-2</v>
      </c>
      <c r="J301" s="25"/>
      <c r="K301" s="25"/>
      <c r="O301" s="14"/>
      <c r="P301" s="24"/>
    </row>
    <row r="302" spans="1:16" outlineLevel="1">
      <c r="A302" s="223">
        <v>43282</v>
      </c>
      <c r="B302" s="285">
        <v>2.298E-2</v>
      </c>
      <c r="C302" s="2" t="s">
        <v>8</v>
      </c>
      <c r="D302" s="2">
        <v>6931</v>
      </c>
      <c r="E302" s="31"/>
      <c r="F302" s="284">
        <v>43280</v>
      </c>
      <c r="G302" s="280">
        <v>2.298E-2</v>
      </c>
      <c r="H302" s="280">
        <v>3.2980000000000002E-2</v>
      </c>
      <c r="I302" s="280">
        <v>1.298E-2</v>
      </c>
      <c r="J302" s="25"/>
      <c r="K302" s="25"/>
      <c r="O302" s="14"/>
      <c r="P302" s="24"/>
    </row>
    <row r="303" spans="1:16" outlineLevel="1">
      <c r="A303" s="223">
        <v>43283</v>
      </c>
      <c r="B303" s="285">
        <v>2.3099999999999999E-2</v>
      </c>
      <c r="C303" s="2">
        <v>3983</v>
      </c>
      <c r="D303" s="2">
        <v>8538</v>
      </c>
      <c r="E303" s="31"/>
      <c r="F303" s="284">
        <v>43281</v>
      </c>
      <c r="G303" s="280">
        <v>2.298E-2</v>
      </c>
      <c r="H303" s="280">
        <v>3.2980000000000002E-2</v>
      </c>
      <c r="I303" s="280">
        <v>1.298E-2</v>
      </c>
      <c r="J303" s="25"/>
      <c r="K303" s="25"/>
      <c r="O303" s="14"/>
      <c r="P303" s="24"/>
    </row>
    <row r="304" spans="1:16" outlineLevel="1">
      <c r="A304" s="223">
        <v>43284</v>
      </c>
      <c r="B304" s="285">
        <v>2.2950000000000002E-2</v>
      </c>
      <c r="C304" s="2">
        <v>3579</v>
      </c>
      <c r="D304" s="2">
        <v>7484</v>
      </c>
      <c r="E304" s="31"/>
      <c r="F304" s="284">
        <v>43282</v>
      </c>
      <c r="G304" s="280">
        <v>2.298E-2</v>
      </c>
      <c r="H304" s="280">
        <v>3.2980000000000002E-2</v>
      </c>
      <c r="I304" s="280">
        <v>1.298E-2</v>
      </c>
      <c r="J304" s="25"/>
      <c r="K304" s="25"/>
      <c r="O304" s="14"/>
      <c r="P304" s="24"/>
    </row>
    <row r="305" spans="1:16" outlineLevel="1">
      <c r="A305" s="223">
        <v>43285</v>
      </c>
      <c r="B305" s="285">
        <v>2.299E-2</v>
      </c>
      <c r="C305" s="2">
        <v>3189</v>
      </c>
      <c r="D305" s="2">
        <v>7094</v>
      </c>
      <c r="E305" s="31"/>
      <c r="F305" s="284">
        <v>43283</v>
      </c>
      <c r="G305" s="280">
        <v>2.3099999999999999E-2</v>
      </c>
      <c r="H305" s="280">
        <v>3.3099999999999997E-2</v>
      </c>
      <c r="I305" s="280">
        <v>1.3100000000000001E-2</v>
      </c>
      <c r="J305" s="25"/>
      <c r="K305" s="25"/>
      <c r="O305" s="14"/>
      <c r="P305" s="24"/>
    </row>
    <row r="306" spans="1:16" outlineLevel="1">
      <c r="A306" s="223">
        <v>43286</v>
      </c>
      <c r="B306" s="285">
        <v>2.2960000000000001E-2</v>
      </c>
      <c r="C306" s="2">
        <v>5041</v>
      </c>
      <c r="D306" s="2">
        <v>8246</v>
      </c>
      <c r="E306" s="31"/>
      <c r="F306" s="284">
        <v>43284</v>
      </c>
      <c r="G306" s="280">
        <v>2.2950000000000002E-2</v>
      </c>
      <c r="H306" s="280">
        <v>3.295E-2</v>
      </c>
      <c r="I306" s="280">
        <v>1.295E-2</v>
      </c>
      <c r="J306" s="25"/>
      <c r="K306" s="25"/>
      <c r="O306" s="14"/>
      <c r="P306" s="24"/>
    </row>
    <row r="307" spans="1:16" outlineLevel="1">
      <c r="A307" s="223">
        <v>43287</v>
      </c>
      <c r="B307" s="285">
        <v>2.3050000000000001E-2</v>
      </c>
      <c r="C307" s="2">
        <v>4794</v>
      </c>
      <c r="D307" s="2">
        <v>8649</v>
      </c>
      <c r="E307" s="31"/>
      <c r="F307" s="284">
        <v>43285</v>
      </c>
      <c r="G307" s="280">
        <v>2.299E-2</v>
      </c>
      <c r="H307" s="280">
        <v>3.2989999999999998E-2</v>
      </c>
      <c r="I307" s="280">
        <v>1.299E-2</v>
      </c>
      <c r="J307" s="25"/>
      <c r="K307" s="25"/>
      <c r="O307" s="14"/>
      <c r="P307" s="24"/>
    </row>
    <row r="308" spans="1:16" outlineLevel="1">
      <c r="A308" s="223">
        <v>43288</v>
      </c>
      <c r="B308" s="285">
        <v>2.3050000000000001E-2</v>
      </c>
      <c r="C308" s="2" t="s">
        <v>8</v>
      </c>
      <c r="D308" s="2">
        <v>8649</v>
      </c>
      <c r="E308" s="31"/>
      <c r="F308" s="284">
        <v>43286</v>
      </c>
      <c r="G308" s="280">
        <v>2.2960000000000001E-2</v>
      </c>
      <c r="H308" s="280">
        <v>3.2960000000000003E-2</v>
      </c>
      <c r="I308" s="280">
        <v>1.2959999999999999E-2</v>
      </c>
      <c r="J308" s="25"/>
      <c r="K308" s="25"/>
      <c r="O308" s="14"/>
      <c r="P308" s="24"/>
    </row>
    <row r="309" spans="1:16" outlineLevel="1">
      <c r="A309" s="223">
        <v>43289</v>
      </c>
      <c r="B309" s="285">
        <v>2.3050000000000001E-2</v>
      </c>
      <c r="C309" s="2" t="s">
        <v>8</v>
      </c>
      <c r="D309" s="2">
        <v>8649</v>
      </c>
      <c r="E309" s="31"/>
      <c r="F309" s="284">
        <v>43287</v>
      </c>
      <c r="G309" s="280">
        <v>2.3050000000000001E-2</v>
      </c>
      <c r="H309" s="280">
        <v>3.3050000000000003E-2</v>
      </c>
      <c r="I309" s="280">
        <v>1.3050000000000001E-2</v>
      </c>
      <c r="J309" s="25"/>
      <c r="K309" s="25"/>
      <c r="O309" s="14"/>
      <c r="P309" s="24"/>
    </row>
    <row r="310" spans="1:16" outlineLevel="1">
      <c r="A310" s="223">
        <v>43290</v>
      </c>
      <c r="B310" s="285">
        <v>2.3460000000000002E-2</v>
      </c>
      <c r="C310" s="2">
        <v>3812</v>
      </c>
      <c r="D310" s="2">
        <v>6737</v>
      </c>
      <c r="E310" s="31"/>
      <c r="F310" s="284">
        <v>43288</v>
      </c>
      <c r="G310" s="280">
        <v>2.3050000000000001E-2</v>
      </c>
      <c r="H310" s="280">
        <v>3.3050000000000003E-2</v>
      </c>
      <c r="I310" s="280">
        <v>1.3050000000000001E-2</v>
      </c>
      <c r="J310" s="25"/>
      <c r="K310" s="25"/>
      <c r="O310" s="14"/>
      <c r="P310" s="24"/>
    </row>
    <row r="311" spans="1:16" outlineLevel="1">
      <c r="A311" s="223">
        <v>43291</v>
      </c>
      <c r="B311" s="285">
        <v>2.35E-2</v>
      </c>
      <c r="C311" s="2">
        <v>4264</v>
      </c>
      <c r="D311" s="2">
        <v>7189</v>
      </c>
      <c r="E311" s="31"/>
      <c r="F311" s="284">
        <v>43289</v>
      </c>
      <c r="G311" s="280">
        <v>2.3050000000000001E-2</v>
      </c>
      <c r="H311" s="280">
        <v>3.3050000000000003E-2</v>
      </c>
      <c r="I311" s="280">
        <v>1.3050000000000001E-2</v>
      </c>
      <c r="J311" s="25"/>
      <c r="K311" s="25"/>
      <c r="O311" s="14"/>
      <c r="P311" s="24"/>
    </row>
    <row r="312" spans="1:16" outlineLevel="1">
      <c r="A312" s="223">
        <v>43292</v>
      </c>
      <c r="B312" s="285">
        <v>2.3570000000000001E-2</v>
      </c>
      <c r="C312" s="2">
        <v>5199</v>
      </c>
      <c r="D312" s="2">
        <v>8424</v>
      </c>
      <c r="E312" s="31"/>
      <c r="F312" s="284">
        <v>43290</v>
      </c>
      <c r="G312" s="280">
        <v>2.3460000000000002E-2</v>
      </c>
      <c r="H312" s="280">
        <v>3.3459999999999997E-2</v>
      </c>
      <c r="I312" s="280">
        <v>1.346E-2</v>
      </c>
      <c r="J312" s="25"/>
      <c r="K312" s="25"/>
      <c r="O312" s="14"/>
      <c r="P312" s="24"/>
    </row>
    <row r="313" spans="1:16" outlineLevel="1">
      <c r="A313" s="223">
        <v>43293</v>
      </c>
      <c r="B313" s="285">
        <v>2.2689999999999998E-2</v>
      </c>
      <c r="C313" s="2">
        <v>3162</v>
      </c>
      <c r="D313" s="2">
        <v>6387</v>
      </c>
      <c r="E313" s="31"/>
      <c r="F313" s="284">
        <v>43291</v>
      </c>
      <c r="G313" s="280">
        <v>2.35E-2</v>
      </c>
      <c r="H313" s="280">
        <v>3.3500000000000002E-2</v>
      </c>
      <c r="I313" s="280">
        <v>1.35E-2</v>
      </c>
      <c r="J313" s="25"/>
      <c r="K313" s="25"/>
      <c r="O313" s="14"/>
      <c r="P313" s="24"/>
    </row>
    <row r="314" spans="1:16" outlineLevel="1">
      <c r="A314" s="223">
        <v>43294</v>
      </c>
      <c r="B314" s="285">
        <v>2.2960000000000001E-2</v>
      </c>
      <c r="C314" s="2">
        <v>3682</v>
      </c>
      <c r="D314" s="2">
        <v>6667</v>
      </c>
      <c r="E314" s="31"/>
      <c r="F314" s="284">
        <v>43292</v>
      </c>
      <c r="G314" s="280">
        <v>2.3570000000000001E-2</v>
      </c>
      <c r="H314" s="280">
        <v>3.3570000000000003E-2</v>
      </c>
      <c r="I314" s="280">
        <v>1.357E-2</v>
      </c>
      <c r="J314" s="25"/>
      <c r="K314" s="25"/>
      <c r="O314" s="14"/>
      <c r="P314" s="24"/>
    </row>
    <row r="315" spans="1:16" outlineLevel="1">
      <c r="A315" s="223">
        <v>43295</v>
      </c>
      <c r="B315" s="285">
        <v>2.2960000000000001E-2</v>
      </c>
      <c r="C315" s="2" t="s">
        <v>8</v>
      </c>
      <c r="D315" s="2">
        <v>6667</v>
      </c>
      <c r="E315" s="31"/>
      <c r="F315" s="284">
        <v>43293</v>
      </c>
      <c r="G315" s="280">
        <v>2.2689999999999998E-2</v>
      </c>
      <c r="H315" s="280">
        <v>3.2689999999999997E-2</v>
      </c>
      <c r="I315" s="280">
        <v>1.269E-2</v>
      </c>
      <c r="J315" s="25"/>
      <c r="K315" s="25"/>
      <c r="O315" s="14"/>
      <c r="P315" s="24"/>
    </row>
    <row r="316" spans="1:16" outlineLevel="1">
      <c r="A316" s="223">
        <v>43296</v>
      </c>
      <c r="B316" s="285">
        <v>2.2960000000000001E-2</v>
      </c>
      <c r="C316" s="2" t="s">
        <v>8</v>
      </c>
      <c r="D316" s="2">
        <v>6667</v>
      </c>
      <c r="E316" s="31"/>
      <c r="F316" s="284">
        <v>43294</v>
      </c>
      <c r="G316" s="280">
        <v>2.2960000000000001E-2</v>
      </c>
      <c r="H316" s="280">
        <v>3.2960000000000003E-2</v>
      </c>
      <c r="I316" s="280">
        <v>1.2959999999999999E-2</v>
      </c>
      <c r="J316" s="25"/>
      <c r="K316" s="25"/>
      <c r="O316" s="14"/>
      <c r="P316" s="24"/>
    </row>
    <row r="317" spans="1:16" outlineLevel="1">
      <c r="A317" s="223">
        <v>43297</v>
      </c>
      <c r="B317" s="285">
        <v>2.274E-2</v>
      </c>
      <c r="C317" s="2">
        <v>4070</v>
      </c>
      <c r="D317" s="2">
        <v>6405</v>
      </c>
      <c r="E317" s="31"/>
      <c r="F317" s="284">
        <v>43295</v>
      </c>
      <c r="G317" s="280">
        <v>2.2960000000000001E-2</v>
      </c>
      <c r="H317" s="280">
        <v>3.2960000000000003E-2</v>
      </c>
      <c r="I317" s="280">
        <v>1.2959999999999999E-2</v>
      </c>
      <c r="J317" s="25"/>
      <c r="K317" s="25"/>
      <c r="O317" s="14"/>
      <c r="P317" s="24"/>
    </row>
    <row r="318" spans="1:16" outlineLevel="1">
      <c r="A318" s="223">
        <v>43298</v>
      </c>
      <c r="B318" s="285">
        <v>2.2929999999999999E-2</v>
      </c>
      <c r="C318" s="2">
        <v>4466</v>
      </c>
      <c r="D318" s="2">
        <v>6801</v>
      </c>
      <c r="E318" s="31"/>
      <c r="F318" s="284">
        <v>43296</v>
      </c>
      <c r="G318" s="280">
        <v>2.2960000000000001E-2</v>
      </c>
      <c r="H318" s="280">
        <v>3.2960000000000003E-2</v>
      </c>
      <c r="I318" s="280">
        <v>1.2959999999999999E-2</v>
      </c>
      <c r="J318" s="25"/>
      <c r="K318" s="25"/>
      <c r="O318" s="14"/>
      <c r="P318" s="24"/>
    </row>
    <row r="319" spans="1:16" outlineLevel="1">
      <c r="A319" s="223">
        <v>43299</v>
      </c>
      <c r="B319" s="285">
        <v>2.2700000000000001E-2</v>
      </c>
      <c r="C319" s="2">
        <v>3223</v>
      </c>
      <c r="D319" s="2">
        <v>5558</v>
      </c>
      <c r="E319" s="31"/>
      <c r="F319" s="284">
        <v>43297</v>
      </c>
      <c r="G319" s="280">
        <v>2.274E-2</v>
      </c>
      <c r="H319" s="280">
        <v>3.2739999999999998E-2</v>
      </c>
      <c r="I319" s="280">
        <v>1.274E-2</v>
      </c>
      <c r="J319" s="25"/>
      <c r="K319" s="25"/>
      <c r="O319" s="14"/>
      <c r="P319" s="24"/>
    </row>
    <row r="320" spans="1:16" outlineLevel="1">
      <c r="A320" s="223">
        <v>43300</v>
      </c>
      <c r="B320" s="285">
        <v>2.2769999999999999E-2</v>
      </c>
      <c r="C320" s="2">
        <v>4646</v>
      </c>
      <c r="D320" s="2">
        <v>7381</v>
      </c>
      <c r="E320" s="31"/>
      <c r="F320" s="284">
        <v>43298</v>
      </c>
      <c r="G320" s="280">
        <v>2.2929999999999999E-2</v>
      </c>
      <c r="H320" s="280">
        <v>3.2930000000000001E-2</v>
      </c>
      <c r="I320" s="280">
        <v>1.2930000000000001E-2</v>
      </c>
      <c r="J320" s="25"/>
      <c r="K320" s="25"/>
      <c r="O320" s="14"/>
      <c r="P320" s="24"/>
    </row>
    <row r="321" spans="1:16" outlineLevel="1">
      <c r="A321" s="223">
        <v>43301</v>
      </c>
      <c r="B321" s="285">
        <v>2.298E-2</v>
      </c>
      <c r="C321" s="2">
        <v>5324</v>
      </c>
      <c r="D321" s="2">
        <v>8059</v>
      </c>
      <c r="E321" s="31"/>
      <c r="F321" s="284">
        <v>43299</v>
      </c>
      <c r="G321" s="280">
        <v>2.2700000000000001E-2</v>
      </c>
      <c r="H321" s="280">
        <v>3.27E-2</v>
      </c>
      <c r="I321" s="280">
        <v>1.2699999999999999E-2</v>
      </c>
      <c r="J321" s="25"/>
      <c r="K321" s="25"/>
      <c r="O321" s="14"/>
      <c r="P321" s="24"/>
    </row>
    <row r="322" spans="1:16" outlineLevel="1">
      <c r="A322" s="223">
        <v>43302</v>
      </c>
      <c r="B322" s="285">
        <v>2.298E-2</v>
      </c>
      <c r="C322" s="2" t="s">
        <v>8</v>
      </c>
      <c r="D322" s="2">
        <v>8059</v>
      </c>
      <c r="E322" s="31"/>
      <c r="F322" s="284">
        <v>43300</v>
      </c>
      <c r="G322" s="280">
        <v>2.2769999999999999E-2</v>
      </c>
      <c r="H322" s="280">
        <v>3.2770000000000001E-2</v>
      </c>
      <c r="I322" s="280">
        <v>1.277E-2</v>
      </c>
      <c r="J322" s="25"/>
      <c r="K322" s="25"/>
      <c r="O322" s="14"/>
      <c r="P322" s="24"/>
    </row>
    <row r="323" spans="1:16" outlineLevel="1">
      <c r="A323" s="223">
        <v>43303</v>
      </c>
      <c r="B323" s="285">
        <v>2.298E-2</v>
      </c>
      <c r="C323" s="2" t="s">
        <v>8</v>
      </c>
      <c r="D323" s="2">
        <v>8059</v>
      </c>
      <c r="E323" s="31"/>
      <c r="F323" s="284">
        <v>43301</v>
      </c>
      <c r="G323" s="280">
        <v>2.298E-2</v>
      </c>
      <c r="H323" s="280">
        <v>3.2980000000000002E-2</v>
      </c>
      <c r="I323" s="280">
        <v>1.298E-2</v>
      </c>
      <c r="J323" s="25"/>
      <c r="K323" s="25"/>
      <c r="O323" s="14"/>
      <c r="P323" s="24"/>
    </row>
    <row r="324" spans="1:16" outlineLevel="1">
      <c r="A324" s="223">
        <v>43304</v>
      </c>
      <c r="B324" s="285">
        <v>2.283E-2</v>
      </c>
      <c r="C324" s="2">
        <v>5079</v>
      </c>
      <c r="D324" s="2">
        <v>7854</v>
      </c>
      <c r="E324" s="31"/>
      <c r="F324" s="284">
        <v>43302</v>
      </c>
      <c r="G324" s="280">
        <v>2.298E-2</v>
      </c>
      <c r="H324" s="280">
        <v>3.2980000000000002E-2</v>
      </c>
      <c r="I324" s="280">
        <v>1.298E-2</v>
      </c>
      <c r="J324" s="25"/>
      <c r="K324" s="25"/>
      <c r="O324" s="14"/>
      <c r="P324" s="24"/>
    </row>
    <row r="325" spans="1:16" outlineLevel="1">
      <c r="A325" s="223">
        <v>43305</v>
      </c>
      <c r="B325" s="285">
        <v>2.273E-2</v>
      </c>
      <c r="C325" s="2">
        <v>4572</v>
      </c>
      <c r="D325" s="2">
        <v>7347</v>
      </c>
      <c r="E325" s="31"/>
      <c r="F325" s="284">
        <v>43303</v>
      </c>
      <c r="G325" s="280">
        <v>2.298E-2</v>
      </c>
      <c r="H325" s="280">
        <v>3.2980000000000002E-2</v>
      </c>
      <c r="I325" s="280">
        <v>1.298E-2</v>
      </c>
      <c r="J325" s="25"/>
      <c r="K325" s="25"/>
      <c r="O325" s="14"/>
      <c r="P325" s="24"/>
    </row>
    <row r="326" spans="1:16" outlineLevel="1">
      <c r="A326" s="223">
        <v>43306</v>
      </c>
      <c r="B326" s="285">
        <v>2.2669999999999999E-2</v>
      </c>
      <c r="C326" s="2">
        <v>3977</v>
      </c>
      <c r="D326" s="2">
        <v>6752</v>
      </c>
      <c r="E326" s="31"/>
      <c r="F326" s="284">
        <v>43304</v>
      </c>
      <c r="G326" s="280">
        <v>2.283E-2</v>
      </c>
      <c r="H326" s="280">
        <v>3.2829999999999998E-2</v>
      </c>
      <c r="I326" s="280">
        <v>1.2829999999999999E-2</v>
      </c>
      <c r="J326" s="25"/>
      <c r="K326" s="25"/>
      <c r="O326" s="14"/>
      <c r="P326" s="24"/>
    </row>
    <row r="327" spans="1:16" outlineLevel="1">
      <c r="A327" s="223">
        <v>43307</v>
      </c>
      <c r="B327" s="285">
        <v>2.2870000000000001E-2</v>
      </c>
      <c r="C327" s="2">
        <v>4974</v>
      </c>
      <c r="D327" s="2">
        <v>7499</v>
      </c>
      <c r="E327" s="31"/>
      <c r="F327" s="284">
        <v>43305</v>
      </c>
      <c r="G327" s="280">
        <v>2.273E-2</v>
      </c>
      <c r="H327" s="280">
        <v>3.2730000000000002E-2</v>
      </c>
      <c r="I327" s="280">
        <v>1.273E-2</v>
      </c>
      <c r="J327" s="25"/>
      <c r="K327" s="25"/>
      <c r="O327" s="14"/>
      <c r="P327" s="24"/>
    </row>
    <row r="328" spans="1:16" outlineLevel="1">
      <c r="A328" s="223">
        <v>43308</v>
      </c>
      <c r="B328" s="285">
        <v>2.3300000000000001E-2</v>
      </c>
      <c r="C328" s="2">
        <v>4792</v>
      </c>
      <c r="D328" s="2">
        <v>7317</v>
      </c>
      <c r="E328" s="31"/>
      <c r="F328" s="284">
        <v>43306</v>
      </c>
      <c r="G328" s="280">
        <v>2.2669999999999999E-2</v>
      </c>
      <c r="H328" s="280">
        <v>3.2669999999999998E-2</v>
      </c>
      <c r="I328" s="280">
        <v>1.2670000000000001E-2</v>
      </c>
      <c r="J328" s="25"/>
      <c r="K328" s="25"/>
      <c r="O328" s="14"/>
      <c r="P328" s="24"/>
    </row>
    <row r="329" spans="1:16" outlineLevel="1">
      <c r="A329" s="223">
        <v>43309</v>
      </c>
      <c r="B329" s="285">
        <v>2.3300000000000001E-2</v>
      </c>
      <c r="C329" s="2" t="s">
        <v>8</v>
      </c>
      <c r="D329" s="2">
        <v>7317</v>
      </c>
      <c r="E329" s="31"/>
      <c r="F329" s="284">
        <v>43307</v>
      </c>
      <c r="G329" s="280">
        <v>2.2870000000000001E-2</v>
      </c>
      <c r="H329" s="280">
        <v>3.2870000000000003E-2</v>
      </c>
      <c r="I329" s="280">
        <v>1.2869999999999999E-2</v>
      </c>
      <c r="J329" s="25"/>
      <c r="K329" s="25"/>
      <c r="O329" s="14"/>
      <c r="P329" s="24"/>
    </row>
    <row r="330" spans="1:16" outlineLevel="1">
      <c r="A330" s="223">
        <v>43310</v>
      </c>
      <c r="B330" s="285">
        <v>2.3300000000000001E-2</v>
      </c>
      <c r="C330" s="2" t="s">
        <v>8</v>
      </c>
      <c r="D330" s="2">
        <v>7317</v>
      </c>
      <c r="E330" s="31"/>
      <c r="F330" s="284">
        <v>43308</v>
      </c>
      <c r="G330" s="280">
        <v>2.3300000000000001E-2</v>
      </c>
      <c r="H330" s="280">
        <v>3.3300000000000003E-2</v>
      </c>
      <c r="I330" s="280">
        <v>1.3299999999999999E-2</v>
      </c>
      <c r="J330" s="25"/>
      <c r="K330" s="25"/>
      <c r="O330" s="14"/>
      <c r="P330" s="24"/>
    </row>
    <row r="331" spans="1:16" outlineLevel="1">
      <c r="A331" s="223">
        <v>43311</v>
      </c>
      <c r="B331" s="285">
        <v>2.3300000000000001E-2</v>
      </c>
      <c r="C331" s="2" t="s">
        <v>8</v>
      </c>
      <c r="D331" s="2">
        <v>7317</v>
      </c>
      <c r="E331" s="31"/>
      <c r="F331" s="284">
        <v>43309</v>
      </c>
      <c r="G331" s="280">
        <v>2.3300000000000001E-2</v>
      </c>
      <c r="H331" s="280">
        <v>3.3300000000000003E-2</v>
      </c>
      <c r="I331" s="280">
        <v>1.3299999999999999E-2</v>
      </c>
      <c r="J331" s="25"/>
      <c r="K331" s="25"/>
      <c r="O331" s="14"/>
      <c r="P331" s="24"/>
    </row>
    <row r="332" spans="1:16" outlineLevel="1">
      <c r="A332" s="223">
        <v>43312</v>
      </c>
      <c r="B332" s="285">
        <v>2.3230000000000001E-2</v>
      </c>
      <c r="C332" s="2">
        <v>4130</v>
      </c>
      <c r="D332" s="2">
        <v>6805</v>
      </c>
      <c r="E332" s="31"/>
      <c r="F332" s="284">
        <v>43310</v>
      </c>
      <c r="G332" s="280">
        <v>2.3300000000000001E-2</v>
      </c>
      <c r="H332" s="280">
        <v>3.3300000000000003E-2</v>
      </c>
      <c r="I332" s="280">
        <v>1.3299999999999999E-2</v>
      </c>
      <c r="J332" s="25"/>
      <c r="K332" s="25"/>
      <c r="O332" s="14"/>
      <c r="P332" s="24"/>
    </row>
    <row r="333" spans="1:16" outlineLevel="1">
      <c r="A333" s="223">
        <v>43313</v>
      </c>
      <c r="B333" s="285">
        <v>2.3089999999999999E-2</v>
      </c>
      <c r="C333" s="2">
        <v>3901</v>
      </c>
      <c r="D333" s="2">
        <v>7311</v>
      </c>
      <c r="E333" s="31"/>
      <c r="F333" s="284">
        <v>43311</v>
      </c>
      <c r="G333" s="280">
        <v>2.3300000000000001E-2</v>
      </c>
      <c r="H333" s="280">
        <v>3.3300000000000003E-2</v>
      </c>
      <c r="I333" s="280">
        <v>1.3299999999999999E-2</v>
      </c>
      <c r="J333" s="25"/>
      <c r="K333" s="25"/>
      <c r="O333" s="14"/>
      <c r="P333" s="24"/>
    </row>
    <row r="334" spans="1:16" outlineLevel="1">
      <c r="A334" s="223">
        <v>43314</v>
      </c>
      <c r="B334" s="285">
        <v>2.2759999999999999E-2</v>
      </c>
      <c r="C334" s="2">
        <v>4170</v>
      </c>
      <c r="D334" s="2">
        <v>7430</v>
      </c>
      <c r="E334" s="31"/>
      <c r="F334" s="284">
        <v>43312</v>
      </c>
      <c r="G334" s="280">
        <v>2.3230000000000001E-2</v>
      </c>
      <c r="H334" s="280">
        <v>3.3230000000000003E-2</v>
      </c>
      <c r="I334" s="280">
        <v>1.323E-2</v>
      </c>
      <c r="J334" s="25"/>
      <c r="K334" s="25"/>
      <c r="O334" s="14"/>
      <c r="P334" s="24"/>
    </row>
    <row r="335" spans="1:16" outlineLevel="1">
      <c r="A335" s="223">
        <v>43315</v>
      </c>
      <c r="B335" s="285">
        <v>2.2749999999999999E-2</v>
      </c>
      <c r="C335" s="2">
        <v>3763</v>
      </c>
      <c r="D335" s="2">
        <v>7033</v>
      </c>
      <c r="E335" s="31"/>
      <c r="F335" s="284">
        <v>43313</v>
      </c>
      <c r="G335" s="280">
        <v>2.3089999999999999E-2</v>
      </c>
      <c r="H335" s="280">
        <v>3.3090000000000001E-2</v>
      </c>
      <c r="I335" s="280">
        <v>1.3089999999999999E-2</v>
      </c>
      <c r="J335" s="25"/>
      <c r="K335" s="25"/>
      <c r="O335" s="14"/>
      <c r="P335" s="24"/>
    </row>
    <row r="336" spans="1:16" outlineLevel="1">
      <c r="A336" s="223">
        <v>43316</v>
      </c>
      <c r="B336" s="285">
        <v>2.2749999999999999E-2</v>
      </c>
      <c r="C336" s="2" t="s">
        <v>8</v>
      </c>
      <c r="D336" s="2">
        <v>7033</v>
      </c>
      <c r="E336" s="31"/>
      <c r="F336" s="284">
        <v>43314</v>
      </c>
      <c r="G336" s="280">
        <v>2.2759999999999999E-2</v>
      </c>
      <c r="H336" s="280">
        <v>3.2759999999999997E-2</v>
      </c>
      <c r="I336" s="280">
        <v>1.2760000000000001E-2</v>
      </c>
      <c r="J336" s="25"/>
      <c r="K336" s="25"/>
      <c r="O336" s="14"/>
      <c r="P336" s="24"/>
    </row>
    <row r="337" spans="1:16" outlineLevel="1">
      <c r="A337" s="223">
        <v>43317</v>
      </c>
      <c r="B337" s="285">
        <v>2.2749999999999999E-2</v>
      </c>
      <c r="C337" s="2" t="s">
        <v>8</v>
      </c>
      <c r="D337" s="2">
        <v>7033</v>
      </c>
      <c r="E337" s="31"/>
      <c r="F337" s="284">
        <v>43315</v>
      </c>
      <c r="G337" s="280">
        <v>2.2749999999999999E-2</v>
      </c>
      <c r="H337" s="280">
        <v>3.2750000000000001E-2</v>
      </c>
      <c r="I337" s="280">
        <v>1.2749999999999999E-2</v>
      </c>
      <c r="J337" s="25"/>
      <c r="K337" s="25"/>
      <c r="O337" s="14"/>
      <c r="P337" s="24"/>
    </row>
    <row r="338" spans="1:16" outlineLevel="1">
      <c r="A338" s="223">
        <v>43318</v>
      </c>
      <c r="B338" s="285">
        <v>2.266E-2</v>
      </c>
      <c r="C338" s="2">
        <v>4942</v>
      </c>
      <c r="D338" s="2">
        <v>7812</v>
      </c>
      <c r="E338" s="31"/>
      <c r="F338" s="284">
        <v>43316</v>
      </c>
      <c r="G338" s="280">
        <v>2.2749999999999999E-2</v>
      </c>
      <c r="H338" s="280">
        <v>3.2750000000000001E-2</v>
      </c>
      <c r="I338" s="280">
        <v>1.2749999999999999E-2</v>
      </c>
      <c r="J338" s="25"/>
      <c r="K338" s="25"/>
      <c r="O338" s="14"/>
      <c r="P338" s="24"/>
    </row>
    <row r="339" spans="1:16" outlineLevel="1">
      <c r="A339" s="223">
        <v>43319</v>
      </c>
      <c r="B339" s="285">
        <v>2.265E-2</v>
      </c>
      <c r="C339" s="2">
        <v>3712</v>
      </c>
      <c r="D339" s="2">
        <v>6592</v>
      </c>
      <c r="E339" s="31"/>
      <c r="F339" s="284">
        <v>43317</v>
      </c>
      <c r="G339" s="280">
        <v>2.2749999999999999E-2</v>
      </c>
      <c r="H339" s="280">
        <v>3.2750000000000001E-2</v>
      </c>
      <c r="I339" s="280">
        <v>1.2749999999999999E-2</v>
      </c>
      <c r="J339" s="25"/>
      <c r="K339" s="25"/>
      <c r="O339" s="14"/>
      <c r="P339" s="24"/>
    </row>
    <row r="340" spans="1:16" outlineLevel="1">
      <c r="A340" s="223">
        <v>43320</v>
      </c>
      <c r="B340" s="285">
        <v>2.2700000000000001E-2</v>
      </c>
      <c r="C340" s="2">
        <v>3703</v>
      </c>
      <c r="D340" s="2">
        <v>6583</v>
      </c>
      <c r="E340" s="31"/>
      <c r="F340" s="284">
        <v>43318</v>
      </c>
      <c r="G340" s="280">
        <v>2.266E-2</v>
      </c>
      <c r="H340" s="280">
        <v>3.2660000000000002E-2</v>
      </c>
      <c r="I340" s="280">
        <v>1.2659999999999999E-2</v>
      </c>
      <c r="J340" s="25"/>
      <c r="K340" s="25"/>
      <c r="O340" s="14"/>
      <c r="P340" s="24"/>
    </row>
    <row r="341" spans="1:16" outlineLevel="1">
      <c r="A341" s="223">
        <v>43321</v>
      </c>
      <c r="B341" s="285">
        <v>2.2710000000000001E-2</v>
      </c>
      <c r="C341" s="2">
        <v>4657</v>
      </c>
      <c r="D341" s="2">
        <v>7387</v>
      </c>
      <c r="E341" s="31"/>
      <c r="F341" s="284">
        <v>43319</v>
      </c>
      <c r="G341" s="280">
        <v>2.265E-2</v>
      </c>
      <c r="H341" s="280">
        <v>3.2649999999999998E-2</v>
      </c>
      <c r="I341" s="280">
        <v>1.265E-2</v>
      </c>
      <c r="J341" s="25"/>
      <c r="K341" s="25"/>
      <c r="O341" s="14"/>
      <c r="P341" s="24"/>
    </row>
    <row r="342" spans="1:16" outlineLevel="1">
      <c r="A342" s="223">
        <v>43322</v>
      </c>
      <c r="B342" s="285">
        <v>2.265E-2</v>
      </c>
      <c r="C342" s="2">
        <v>3808</v>
      </c>
      <c r="D342" s="2">
        <v>6538</v>
      </c>
      <c r="E342" s="31"/>
      <c r="F342" s="284">
        <v>43320</v>
      </c>
      <c r="G342" s="280">
        <v>2.2700000000000001E-2</v>
      </c>
      <c r="H342" s="280">
        <v>3.27E-2</v>
      </c>
      <c r="I342" s="280">
        <v>1.2699999999999999E-2</v>
      </c>
      <c r="J342" s="25"/>
      <c r="K342" s="25"/>
      <c r="O342" s="14"/>
      <c r="P342" s="24"/>
    </row>
    <row r="343" spans="1:16" outlineLevel="1">
      <c r="A343" s="223">
        <v>43323</v>
      </c>
      <c r="B343" s="285">
        <v>2.265E-2</v>
      </c>
      <c r="C343" s="2" t="s">
        <v>8</v>
      </c>
      <c r="D343" s="2">
        <v>6538</v>
      </c>
      <c r="E343" s="31"/>
      <c r="F343" s="284">
        <v>43321</v>
      </c>
      <c r="G343" s="280">
        <v>2.2710000000000001E-2</v>
      </c>
      <c r="H343" s="280">
        <v>3.2710000000000003E-2</v>
      </c>
      <c r="I343" s="280">
        <v>1.2710000000000001E-2</v>
      </c>
      <c r="J343" s="25"/>
      <c r="K343" s="25"/>
      <c r="O343" s="14"/>
      <c r="P343" s="24"/>
    </row>
    <row r="344" spans="1:16" outlineLevel="1">
      <c r="A344" s="223">
        <v>43324</v>
      </c>
      <c r="B344" s="285">
        <v>2.265E-2</v>
      </c>
      <c r="C344" s="2" t="s">
        <v>8</v>
      </c>
      <c r="D344" s="2">
        <v>6538</v>
      </c>
      <c r="E344" s="31"/>
      <c r="F344" s="284">
        <v>43322</v>
      </c>
      <c r="G344" s="280">
        <v>2.265E-2</v>
      </c>
      <c r="H344" s="280">
        <v>3.2649999999999998E-2</v>
      </c>
      <c r="I344" s="280">
        <v>1.265E-2</v>
      </c>
      <c r="J344" s="25"/>
      <c r="K344" s="25"/>
      <c r="O344" s="14"/>
      <c r="P344" s="24"/>
    </row>
    <row r="345" spans="1:16" outlineLevel="1">
      <c r="A345" s="223">
        <v>43325</v>
      </c>
      <c r="B345" s="285">
        <v>2.2790000000000001E-2</v>
      </c>
      <c r="C345" s="2">
        <v>2736</v>
      </c>
      <c r="D345" s="2">
        <v>5466</v>
      </c>
      <c r="E345" s="31"/>
      <c r="F345" s="284">
        <v>43323</v>
      </c>
      <c r="G345" s="280">
        <v>2.265E-2</v>
      </c>
      <c r="H345" s="280">
        <v>3.2649999999999998E-2</v>
      </c>
      <c r="I345" s="280">
        <v>1.265E-2</v>
      </c>
      <c r="J345" s="25"/>
      <c r="K345" s="25"/>
      <c r="O345" s="14"/>
      <c r="P345" s="24"/>
    </row>
    <row r="346" spans="1:16" outlineLevel="1">
      <c r="A346" s="223">
        <v>43326</v>
      </c>
      <c r="B346" s="285">
        <v>2.2790000000000001E-2</v>
      </c>
      <c r="C346" s="2" t="s">
        <v>8</v>
      </c>
      <c r="D346" s="2">
        <v>5466</v>
      </c>
      <c r="E346" s="31"/>
      <c r="F346" s="284">
        <v>43324</v>
      </c>
      <c r="G346" s="280">
        <v>2.265E-2</v>
      </c>
      <c r="H346" s="280">
        <v>3.2649999999999998E-2</v>
      </c>
      <c r="I346" s="280">
        <v>1.265E-2</v>
      </c>
      <c r="J346" s="25"/>
      <c r="K346" s="25"/>
      <c r="O346" s="14"/>
      <c r="P346" s="24"/>
    </row>
    <row r="347" spans="1:16" outlineLevel="1">
      <c r="A347" s="223">
        <v>43327</v>
      </c>
      <c r="B347" s="285">
        <v>2.3189999999999999E-2</v>
      </c>
      <c r="C347" s="2">
        <v>3807</v>
      </c>
      <c r="D347" s="2">
        <v>6302</v>
      </c>
      <c r="E347" s="31"/>
      <c r="F347" s="284">
        <v>43325</v>
      </c>
      <c r="G347" s="280">
        <v>2.2790000000000001E-2</v>
      </c>
      <c r="H347" s="280">
        <v>3.279E-2</v>
      </c>
      <c r="I347" s="280">
        <v>1.2789999999999999E-2</v>
      </c>
      <c r="J347" s="25"/>
      <c r="K347" s="25"/>
      <c r="O347" s="14"/>
      <c r="P347" s="24"/>
    </row>
    <row r="348" spans="1:16" outlineLevel="1">
      <c r="A348" s="223">
        <v>43328</v>
      </c>
      <c r="B348" s="285">
        <v>2.2970000000000001E-2</v>
      </c>
      <c r="C348" s="2">
        <v>2117</v>
      </c>
      <c r="D348" s="2">
        <v>5972</v>
      </c>
      <c r="E348" s="31"/>
      <c r="F348" s="284">
        <v>43326</v>
      </c>
      <c r="G348" s="280">
        <v>2.2790000000000001E-2</v>
      </c>
      <c r="H348" s="280">
        <v>3.279E-2</v>
      </c>
      <c r="I348" s="280">
        <v>1.2789999999999999E-2</v>
      </c>
      <c r="J348" s="25"/>
      <c r="K348" s="25"/>
      <c r="O348" s="14"/>
      <c r="P348" s="24"/>
    </row>
    <row r="349" spans="1:16" outlineLevel="1">
      <c r="A349" s="223">
        <v>43329</v>
      </c>
      <c r="B349" s="285">
        <v>2.358E-2</v>
      </c>
      <c r="C349" s="2">
        <v>1197</v>
      </c>
      <c r="D349" s="2">
        <v>5867</v>
      </c>
      <c r="E349" s="31"/>
      <c r="F349" s="284">
        <v>43327</v>
      </c>
      <c r="G349" s="280">
        <v>2.3189999999999999E-2</v>
      </c>
      <c r="H349" s="280">
        <v>3.3189999999999997E-2</v>
      </c>
      <c r="I349" s="280">
        <v>1.319E-2</v>
      </c>
      <c r="J349" s="25"/>
      <c r="K349" s="25"/>
      <c r="O349" s="14"/>
      <c r="P349" s="24"/>
    </row>
    <row r="350" spans="1:16" outlineLevel="1">
      <c r="A350" s="223">
        <v>43330</v>
      </c>
      <c r="B350" s="285">
        <v>2.358E-2</v>
      </c>
      <c r="C350" s="2" t="s">
        <v>8</v>
      </c>
      <c r="D350" s="2">
        <v>5867</v>
      </c>
      <c r="E350" s="31"/>
      <c r="F350" s="284">
        <v>43328</v>
      </c>
      <c r="G350" s="280">
        <v>2.2970000000000001E-2</v>
      </c>
      <c r="H350" s="280">
        <v>3.2969999999999999E-2</v>
      </c>
      <c r="I350" s="280">
        <v>1.2970000000000001E-2</v>
      </c>
      <c r="J350" s="25"/>
      <c r="K350" s="25"/>
      <c r="O350" s="14"/>
      <c r="P350" s="24"/>
    </row>
    <row r="351" spans="1:16" outlineLevel="1">
      <c r="A351" s="223">
        <v>43331</v>
      </c>
      <c r="B351" s="285">
        <v>2.358E-2</v>
      </c>
      <c r="C351" s="2" t="s">
        <v>8</v>
      </c>
      <c r="D351" s="2">
        <v>5867</v>
      </c>
      <c r="E351" s="31"/>
      <c r="F351" s="284">
        <v>43329</v>
      </c>
      <c r="G351" s="280">
        <v>2.358E-2</v>
      </c>
      <c r="H351" s="280">
        <v>3.3579999999999999E-2</v>
      </c>
      <c r="I351" s="280">
        <v>1.358E-2</v>
      </c>
      <c r="J351" s="25"/>
      <c r="K351" s="25"/>
      <c r="O351" s="14"/>
      <c r="P351" s="24"/>
    </row>
    <row r="352" spans="1:16" outlineLevel="1">
      <c r="A352" s="223">
        <v>43332</v>
      </c>
      <c r="B352" s="285">
        <v>2.358E-2</v>
      </c>
      <c r="C352" s="2" t="s">
        <v>8</v>
      </c>
      <c r="D352" s="2">
        <v>5867</v>
      </c>
      <c r="E352" s="31"/>
      <c r="F352" s="284">
        <v>43330</v>
      </c>
      <c r="G352" s="280">
        <v>2.358E-2</v>
      </c>
      <c r="H352" s="280">
        <v>3.3579999999999999E-2</v>
      </c>
      <c r="I352" s="280">
        <v>1.358E-2</v>
      </c>
      <c r="J352" s="25"/>
      <c r="K352" s="25"/>
      <c r="O352" s="14"/>
      <c r="P352" s="24"/>
    </row>
    <row r="353" spans="1:16" outlineLevel="1">
      <c r="A353" s="223">
        <v>43333</v>
      </c>
      <c r="B353" s="285">
        <v>2.358E-2</v>
      </c>
      <c r="C353" s="2" t="s">
        <v>8</v>
      </c>
      <c r="D353" s="2">
        <v>5867</v>
      </c>
      <c r="E353" s="31"/>
      <c r="F353" s="284">
        <v>43331</v>
      </c>
      <c r="G353" s="280">
        <v>2.358E-2</v>
      </c>
      <c r="H353" s="280">
        <v>3.3579999999999999E-2</v>
      </c>
      <c r="I353" s="280">
        <v>1.358E-2</v>
      </c>
      <c r="J353" s="25"/>
      <c r="K353" s="25"/>
      <c r="O353" s="14"/>
      <c r="P353" s="24"/>
    </row>
    <row r="354" spans="1:16" outlineLevel="1">
      <c r="A354" s="223">
        <v>43334</v>
      </c>
      <c r="B354" s="285">
        <v>2.358E-2</v>
      </c>
      <c r="C354" s="2" t="s">
        <v>8</v>
      </c>
      <c r="D354" s="2">
        <v>5867</v>
      </c>
      <c r="E354" s="31"/>
      <c r="F354" s="284">
        <v>43332</v>
      </c>
      <c r="G354" s="280">
        <v>2.358E-2</v>
      </c>
      <c r="H354" s="280">
        <v>3.3579999999999999E-2</v>
      </c>
      <c r="I354" s="280">
        <v>1.358E-2</v>
      </c>
      <c r="J354" s="25"/>
      <c r="K354" s="25"/>
      <c r="O354" s="14"/>
      <c r="P354" s="24"/>
    </row>
    <row r="355" spans="1:16" outlineLevel="1">
      <c r="A355" s="223">
        <v>43335</v>
      </c>
      <c r="B355" s="285">
        <v>2.358E-2</v>
      </c>
      <c r="C355" s="2" t="s">
        <v>8</v>
      </c>
      <c r="D355" s="2">
        <v>5867</v>
      </c>
      <c r="E355" s="31"/>
      <c r="F355" s="284">
        <v>43333</v>
      </c>
      <c r="G355" s="280">
        <v>2.358E-2</v>
      </c>
      <c r="H355" s="280">
        <v>3.3579999999999999E-2</v>
      </c>
      <c r="I355" s="280">
        <v>1.358E-2</v>
      </c>
      <c r="J355" s="25"/>
      <c r="K355" s="25"/>
      <c r="O355" s="14"/>
      <c r="P355" s="24"/>
    </row>
    <row r="356" spans="1:16" outlineLevel="1">
      <c r="A356" s="223">
        <v>43336</v>
      </c>
      <c r="B356" s="285">
        <v>2.3109999999999999E-2</v>
      </c>
      <c r="C356" s="2">
        <v>1727</v>
      </c>
      <c r="D356" s="2">
        <v>6397</v>
      </c>
      <c r="E356" s="31"/>
      <c r="F356" s="284">
        <v>43334</v>
      </c>
      <c r="G356" s="280">
        <v>2.358E-2</v>
      </c>
      <c r="H356" s="280">
        <v>3.3579999999999999E-2</v>
      </c>
      <c r="I356" s="280">
        <v>1.358E-2</v>
      </c>
      <c r="J356" s="25"/>
      <c r="K356" s="25"/>
      <c r="O356" s="14"/>
      <c r="P356" s="24"/>
    </row>
    <row r="357" spans="1:16" outlineLevel="1">
      <c r="A357" s="223">
        <v>43337</v>
      </c>
      <c r="B357" s="285">
        <v>2.3109999999999999E-2</v>
      </c>
      <c r="C357" s="2" t="s">
        <v>8</v>
      </c>
      <c r="D357" s="2">
        <v>6397</v>
      </c>
      <c r="E357" s="31"/>
      <c r="F357" s="284">
        <v>43335</v>
      </c>
      <c r="G357" s="280">
        <v>2.358E-2</v>
      </c>
      <c r="H357" s="280">
        <v>3.3579999999999999E-2</v>
      </c>
      <c r="I357" s="280">
        <v>1.358E-2</v>
      </c>
      <c r="J357" s="25"/>
      <c r="K357" s="25"/>
      <c r="O357" s="14"/>
      <c r="P357" s="24"/>
    </row>
    <row r="358" spans="1:16" outlineLevel="1">
      <c r="A358" s="223">
        <v>43338</v>
      </c>
      <c r="B358" s="285">
        <v>2.3109999999999999E-2</v>
      </c>
      <c r="C358" s="2" t="s">
        <v>8</v>
      </c>
      <c r="D358" s="2">
        <v>6397</v>
      </c>
      <c r="E358" s="31"/>
      <c r="F358" s="284">
        <v>43336</v>
      </c>
      <c r="G358" s="280">
        <v>2.3109999999999999E-2</v>
      </c>
      <c r="H358" s="280">
        <v>3.3110000000000001E-2</v>
      </c>
      <c r="I358" s="280">
        <v>1.311E-2</v>
      </c>
      <c r="J358" s="25"/>
      <c r="K358" s="25"/>
      <c r="O358" s="14"/>
      <c r="P358" s="24"/>
    </row>
    <row r="359" spans="1:16" outlineLevel="1">
      <c r="A359" s="223">
        <v>43339</v>
      </c>
      <c r="B359" s="285">
        <v>2.316E-2</v>
      </c>
      <c r="C359" s="2">
        <v>2663</v>
      </c>
      <c r="D359" s="2">
        <v>6718</v>
      </c>
      <c r="E359" s="31"/>
      <c r="F359" s="284">
        <v>43337</v>
      </c>
      <c r="G359" s="280">
        <v>2.3109999999999999E-2</v>
      </c>
      <c r="H359" s="280">
        <v>3.3110000000000001E-2</v>
      </c>
      <c r="I359" s="280">
        <v>1.311E-2</v>
      </c>
      <c r="J359" s="25"/>
      <c r="K359" s="25"/>
      <c r="O359" s="14"/>
      <c r="P359" s="24"/>
    </row>
    <row r="360" spans="1:16" outlineLevel="1">
      <c r="A360" s="223">
        <v>43340</v>
      </c>
      <c r="B360" s="285">
        <v>2.299E-2</v>
      </c>
      <c r="C360" s="2">
        <v>2354</v>
      </c>
      <c r="D360" s="2">
        <v>6409</v>
      </c>
      <c r="E360" s="31"/>
      <c r="F360" s="284">
        <v>43338</v>
      </c>
      <c r="G360" s="280">
        <v>2.3109999999999999E-2</v>
      </c>
      <c r="H360" s="280">
        <v>3.3110000000000001E-2</v>
      </c>
      <c r="I360" s="280">
        <v>1.311E-2</v>
      </c>
      <c r="J360" s="25"/>
      <c r="K360" s="25"/>
      <c r="O360" s="14"/>
      <c r="P360" s="24"/>
    </row>
    <row r="361" spans="1:16" outlineLevel="1">
      <c r="A361" s="223">
        <v>43341</v>
      </c>
      <c r="B361" s="285">
        <v>2.2880000000000001E-2</v>
      </c>
      <c r="C361" s="2">
        <v>1835</v>
      </c>
      <c r="D361" s="2">
        <v>5880</v>
      </c>
      <c r="E361" s="31"/>
      <c r="F361" s="284">
        <v>43339</v>
      </c>
      <c r="G361" s="280">
        <v>2.316E-2</v>
      </c>
      <c r="H361" s="280">
        <v>3.3160000000000002E-2</v>
      </c>
      <c r="I361" s="280">
        <v>1.316E-2</v>
      </c>
      <c r="J361" s="25"/>
      <c r="K361" s="25"/>
      <c r="O361" s="14"/>
      <c r="P361" s="24"/>
    </row>
    <row r="362" spans="1:16" outlineLevel="1">
      <c r="A362" s="223">
        <v>43342</v>
      </c>
      <c r="B362" s="285">
        <v>2.2839999999999999E-2</v>
      </c>
      <c r="C362" s="2">
        <v>1931</v>
      </c>
      <c r="D362" s="2">
        <v>5476</v>
      </c>
      <c r="E362" s="31"/>
      <c r="F362" s="284">
        <v>43340</v>
      </c>
      <c r="G362" s="280">
        <v>2.299E-2</v>
      </c>
      <c r="H362" s="280">
        <v>3.2989999999999998E-2</v>
      </c>
      <c r="I362" s="280">
        <v>1.299E-2</v>
      </c>
      <c r="J362" s="25"/>
      <c r="K362" s="25"/>
      <c r="O362" s="14"/>
      <c r="P362" s="24"/>
    </row>
    <row r="363" spans="1:16" outlineLevel="1">
      <c r="A363" s="223">
        <v>43343</v>
      </c>
      <c r="B363" s="285">
        <v>2.2939999999999999E-2</v>
      </c>
      <c r="C363" s="2">
        <v>2096</v>
      </c>
      <c r="D363" s="2">
        <v>5151</v>
      </c>
      <c r="E363" s="31"/>
      <c r="F363" s="284">
        <v>43341</v>
      </c>
      <c r="G363" s="280">
        <v>2.2880000000000001E-2</v>
      </c>
      <c r="H363" s="280">
        <v>3.288E-2</v>
      </c>
      <c r="I363" s="280">
        <v>1.2880000000000001E-2</v>
      </c>
      <c r="J363" s="25"/>
      <c r="K363" s="25"/>
      <c r="O363" s="14"/>
      <c r="P363" s="24"/>
    </row>
    <row r="364" spans="1:16" outlineLevel="1">
      <c r="A364" s="223">
        <v>43344</v>
      </c>
      <c r="B364" s="285">
        <v>2.2939999999999999E-2</v>
      </c>
      <c r="C364" s="2" t="s">
        <v>8</v>
      </c>
      <c r="D364" s="2">
        <v>5151</v>
      </c>
      <c r="E364" s="31"/>
      <c r="F364" s="284">
        <v>43342</v>
      </c>
      <c r="G364" s="280">
        <v>2.2839999999999999E-2</v>
      </c>
      <c r="H364" s="280">
        <v>3.2840000000000001E-2</v>
      </c>
      <c r="I364" s="280">
        <v>1.2840000000000001E-2</v>
      </c>
      <c r="J364" s="25"/>
      <c r="K364" s="25"/>
      <c r="O364" s="14"/>
      <c r="P364" s="24"/>
    </row>
    <row r="365" spans="1:16" outlineLevel="1">
      <c r="A365" s="223">
        <v>43345</v>
      </c>
      <c r="B365" s="285">
        <v>2.2939999999999999E-2</v>
      </c>
      <c r="C365" s="2" t="s">
        <v>8</v>
      </c>
      <c r="D365" s="2">
        <v>5151</v>
      </c>
      <c r="E365" s="31"/>
      <c r="F365" s="284">
        <v>43343</v>
      </c>
      <c r="G365" s="280">
        <v>2.2939999999999999E-2</v>
      </c>
      <c r="H365" s="280">
        <v>3.2939999999999997E-2</v>
      </c>
      <c r="I365" s="280">
        <v>1.294E-2</v>
      </c>
      <c r="J365" s="25"/>
      <c r="K365" s="25"/>
      <c r="O365" s="14"/>
      <c r="P365" s="24"/>
    </row>
    <row r="366" spans="1:16" outlineLevel="1">
      <c r="A366" s="223">
        <v>43346</v>
      </c>
      <c r="B366" s="285">
        <v>2.2689999999999998E-2</v>
      </c>
      <c r="C366" s="2">
        <v>3191</v>
      </c>
      <c r="D366" s="2">
        <v>6606</v>
      </c>
      <c r="E366" s="31"/>
      <c r="F366" s="284">
        <v>43344</v>
      </c>
      <c r="G366" s="280">
        <v>2.2939999999999999E-2</v>
      </c>
      <c r="H366" s="280">
        <v>3.2939999999999997E-2</v>
      </c>
      <c r="I366" s="280">
        <v>1.294E-2</v>
      </c>
      <c r="J366" s="25"/>
      <c r="K366" s="25"/>
      <c r="O366" s="14"/>
      <c r="P366" s="24"/>
    </row>
    <row r="367" spans="1:16" outlineLevel="1">
      <c r="A367" s="223">
        <v>43347</v>
      </c>
      <c r="B367" s="285">
        <v>2.2689999999999998E-2</v>
      </c>
      <c r="C367" s="2">
        <v>3156</v>
      </c>
      <c r="D367" s="2">
        <v>6571</v>
      </c>
      <c r="E367" s="31"/>
      <c r="F367" s="284">
        <v>43345</v>
      </c>
      <c r="G367" s="280">
        <v>2.2939999999999999E-2</v>
      </c>
      <c r="H367" s="280">
        <v>3.2939999999999997E-2</v>
      </c>
      <c r="I367" s="280">
        <v>1.294E-2</v>
      </c>
      <c r="J367" s="25"/>
      <c r="K367" s="25"/>
      <c r="O367" s="14"/>
      <c r="P367" s="24"/>
    </row>
    <row r="368" spans="1:16" outlineLevel="1">
      <c r="A368" s="223">
        <v>43348</v>
      </c>
      <c r="B368" s="285">
        <v>2.256E-2</v>
      </c>
      <c r="C368" s="2">
        <v>1959</v>
      </c>
      <c r="D368" s="2">
        <v>5374</v>
      </c>
      <c r="E368" s="31"/>
      <c r="F368" s="284">
        <v>43346</v>
      </c>
      <c r="G368" s="280">
        <v>2.2689999999999998E-2</v>
      </c>
      <c r="H368" s="280">
        <v>3.2689999999999997E-2</v>
      </c>
      <c r="I368" s="280">
        <v>1.269E-2</v>
      </c>
      <c r="J368" s="25"/>
      <c r="K368" s="25"/>
      <c r="O368" s="14"/>
      <c r="P368" s="24"/>
    </row>
    <row r="369" spans="1:16" outlineLevel="1">
      <c r="A369" s="223">
        <v>43349</v>
      </c>
      <c r="B369" s="285">
        <v>2.2499999999999999E-2</v>
      </c>
      <c r="C369" s="2">
        <v>2439</v>
      </c>
      <c r="D369" s="2">
        <v>5854</v>
      </c>
      <c r="E369" s="31"/>
      <c r="F369" s="284">
        <v>43347</v>
      </c>
      <c r="G369" s="280">
        <v>2.2689999999999998E-2</v>
      </c>
      <c r="H369" s="280">
        <v>3.2689999999999997E-2</v>
      </c>
      <c r="I369" s="280">
        <v>1.269E-2</v>
      </c>
      <c r="J369" s="25"/>
      <c r="K369" s="25"/>
      <c r="O369" s="14"/>
      <c r="P369" s="24"/>
    </row>
    <row r="370" spans="1:16" outlineLevel="1">
      <c r="A370" s="223">
        <v>43350</v>
      </c>
      <c r="B370" s="285">
        <v>2.256E-2</v>
      </c>
      <c r="C370" s="2">
        <v>2193</v>
      </c>
      <c r="D370" s="2">
        <v>5608</v>
      </c>
      <c r="E370" s="31"/>
      <c r="F370" s="284">
        <v>43348</v>
      </c>
      <c r="G370" s="280">
        <v>2.256E-2</v>
      </c>
      <c r="H370" s="280">
        <v>3.2559999999999999E-2</v>
      </c>
      <c r="I370" s="280">
        <v>1.256E-2</v>
      </c>
      <c r="J370" s="25"/>
      <c r="K370" s="25"/>
      <c r="O370" s="14"/>
      <c r="P370" s="24"/>
    </row>
    <row r="371" spans="1:16" outlineLevel="1">
      <c r="A371" s="223">
        <v>43351</v>
      </c>
      <c r="B371" s="285">
        <v>2.256E-2</v>
      </c>
      <c r="C371" s="2" t="s">
        <v>8</v>
      </c>
      <c r="D371" s="2">
        <v>5608</v>
      </c>
      <c r="E371" s="31"/>
      <c r="F371" s="284">
        <v>43349</v>
      </c>
      <c r="G371" s="280">
        <v>2.2499999999999999E-2</v>
      </c>
      <c r="H371" s="280">
        <v>3.2500000000000001E-2</v>
      </c>
      <c r="I371" s="280">
        <v>1.2500000000000001E-2</v>
      </c>
      <c r="J371" s="25"/>
      <c r="K371" s="25"/>
      <c r="O371" s="14"/>
      <c r="P371" s="24"/>
    </row>
    <row r="372" spans="1:16" outlineLevel="1">
      <c r="A372" s="223">
        <v>43352</v>
      </c>
      <c r="B372" s="285">
        <v>2.256E-2</v>
      </c>
      <c r="C372" s="2" t="s">
        <v>8</v>
      </c>
      <c r="D372" s="2">
        <v>5608</v>
      </c>
      <c r="E372" s="31"/>
      <c r="F372" s="284">
        <v>43350</v>
      </c>
      <c r="G372" s="280">
        <v>2.256E-2</v>
      </c>
      <c r="H372" s="280">
        <v>3.2559999999999999E-2</v>
      </c>
      <c r="I372" s="280">
        <v>1.256E-2</v>
      </c>
      <c r="J372" s="25"/>
      <c r="K372" s="25"/>
      <c r="O372" s="14"/>
      <c r="P372" s="24"/>
    </row>
    <row r="373" spans="1:16" outlineLevel="1">
      <c r="A373" s="223">
        <v>43353</v>
      </c>
      <c r="B373" s="285">
        <v>2.257E-2</v>
      </c>
      <c r="C373" s="2">
        <v>1771</v>
      </c>
      <c r="D373" s="2">
        <v>5386</v>
      </c>
      <c r="E373" s="31"/>
      <c r="F373" s="284">
        <v>43351</v>
      </c>
      <c r="G373" s="280">
        <v>2.256E-2</v>
      </c>
      <c r="H373" s="280">
        <v>3.2559999999999999E-2</v>
      </c>
      <c r="I373" s="280">
        <v>1.256E-2</v>
      </c>
      <c r="J373" s="25"/>
      <c r="K373" s="25"/>
      <c r="O373" s="14"/>
      <c r="P373" s="24"/>
    </row>
    <row r="374" spans="1:16" outlineLevel="1">
      <c r="A374" s="223">
        <v>43354</v>
      </c>
      <c r="B374" s="285">
        <v>2.257E-2</v>
      </c>
      <c r="C374" s="2" t="s">
        <v>8</v>
      </c>
      <c r="D374" s="2">
        <v>5386</v>
      </c>
      <c r="E374" s="31"/>
      <c r="F374" s="284">
        <v>43352</v>
      </c>
      <c r="G374" s="280">
        <v>2.256E-2</v>
      </c>
      <c r="H374" s="280">
        <v>3.2559999999999999E-2</v>
      </c>
      <c r="I374" s="280">
        <v>1.256E-2</v>
      </c>
      <c r="J374" s="25"/>
      <c r="K374" s="25"/>
      <c r="O374" s="14"/>
      <c r="P374" s="24"/>
    </row>
    <row r="375" spans="1:16" outlineLevel="1">
      <c r="A375" s="223">
        <v>43355</v>
      </c>
      <c r="B375" s="285">
        <v>2.2579999999999999E-2</v>
      </c>
      <c r="C375" s="2">
        <v>3991</v>
      </c>
      <c r="D375" s="2">
        <v>7616</v>
      </c>
      <c r="E375" s="31"/>
      <c r="F375" s="284">
        <v>43353</v>
      </c>
      <c r="G375" s="280">
        <v>2.257E-2</v>
      </c>
      <c r="H375" s="280">
        <v>3.2570000000000002E-2</v>
      </c>
      <c r="I375" s="280">
        <v>1.257E-2</v>
      </c>
      <c r="J375" s="25"/>
      <c r="K375" s="25"/>
      <c r="O375" s="14"/>
      <c r="P375" s="24"/>
    </row>
    <row r="376" spans="1:16" outlineLevel="1">
      <c r="A376" s="223">
        <v>43356</v>
      </c>
      <c r="B376" s="285">
        <v>2.2519999999999998E-2</v>
      </c>
      <c r="C376" s="2">
        <v>5217</v>
      </c>
      <c r="D376" s="2">
        <v>8542</v>
      </c>
      <c r="E376" s="31"/>
      <c r="F376" s="284">
        <v>43354</v>
      </c>
      <c r="G376" s="280">
        <v>2.257E-2</v>
      </c>
      <c r="H376" s="280">
        <v>3.2570000000000002E-2</v>
      </c>
      <c r="I376" s="280">
        <v>1.257E-2</v>
      </c>
      <c r="J376" s="25"/>
      <c r="K376" s="25"/>
      <c r="O376" s="14"/>
      <c r="P376" s="24"/>
    </row>
    <row r="377" spans="1:16" outlineLevel="1">
      <c r="A377" s="223">
        <v>43357</v>
      </c>
      <c r="B377" s="285">
        <v>2.257E-2</v>
      </c>
      <c r="C377" s="2">
        <v>5589</v>
      </c>
      <c r="D377" s="2">
        <v>8909</v>
      </c>
      <c r="E377" s="31"/>
      <c r="F377" s="284">
        <v>43355</v>
      </c>
      <c r="G377" s="280">
        <v>2.2579999999999999E-2</v>
      </c>
      <c r="H377" s="280">
        <v>3.2579999999999998E-2</v>
      </c>
      <c r="I377" s="280">
        <v>1.2579999999999999E-2</v>
      </c>
      <c r="J377" s="25"/>
      <c r="K377" s="25"/>
      <c r="O377" s="14"/>
      <c r="P377" s="24"/>
    </row>
    <row r="378" spans="1:16" outlineLevel="1">
      <c r="A378" s="223">
        <v>43358</v>
      </c>
      <c r="B378" s="285">
        <v>2.257E-2</v>
      </c>
      <c r="C378" s="2" t="s">
        <v>8</v>
      </c>
      <c r="D378" s="2">
        <v>8909</v>
      </c>
      <c r="E378" s="31"/>
      <c r="F378" s="284">
        <v>43356</v>
      </c>
      <c r="G378" s="280">
        <v>2.2519999999999998E-2</v>
      </c>
      <c r="H378" s="280">
        <v>3.252E-2</v>
      </c>
      <c r="I378" s="280">
        <v>1.252E-2</v>
      </c>
      <c r="J378" s="25"/>
      <c r="K378" s="25"/>
      <c r="O378" s="14"/>
      <c r="P378" s="24"/>
    </row>
    <row r="379" spans="1:16" outlineLevel="1">
      <c r="A379" s="223">
        <v>43359</v>
      </c>
      <c r="B379" s="285">
        <v>2.257E-2</v>
      </c>
      <c r="C379" s="2" t="s">
        <v>8</v>
      </c>
      <c r="D379" s="2">
        <v>8909</v>
      </c>
      <c r="E379" s="31"/>
      <c r="F379" s="284">
        <v>43357</v>
      </c>
      <c r="G379" s="280">
        <v>2.257E-2</v>
      </c>
      <c r="H379" s="280">
        <v>3.2570000000000002E-2</v>
      </c>
      <c r="I379" s="280">
        <v>1.257E-2</v>
      </c>
      <c r="J379" s="25"/>
      <c r="K379" s="25"/>
      <c r="O379" s="14"/>
      <c r="P379" s="24"/>
    </row>
    <row r="380" spans="1:16" outlineLevel="1">
      <c r="A380" s="223">
        <v>43360</v>
      </c>
      <c r="B380" s="285">
        <v>2.2579999999999999E-2</v>
      </c>
      <c r="C380" s="2">
        <v>3726</v>
      </c>
      <c r="D380" s="2">
        <v>7046</v>
      </c>
      <c r="E380" s="31"/>
      <c r="F380" s="284">
        <v>43358</v>
      </c>
      <c r="G380" s="280">
        <v>2.257E-2</v>
      </c>
      <c r="H380" s="280">
        <v>3.2570000000000002E-2</v>
      </c>
      <c r="I380" s="280">
        <v>1.257E-2</v>
      </c>
      <c r="J380" s="25"/>
      <c r="K380" s="25"/>
      <c r="O380" s="14"/>
      <c r="P380" s="24"/>
    </row>
    <row r="381" spans="1:16" outlineLevel="1">
      <c r="A381" s="223">
        <v>43361</v>
      </c>
      <c r="B381" s="285">
        <v>2.266E-2</v>
      </c>
      <c r="C381" s="2">
        <v>4475</v>
      </c>
      <c r="D381" s="2">
        <v>7795</v>
      </c>
      <c r="E381" s="31"/>
      <c r="F381" s="284">
        <v>43359</v>
      </c>
      <c r="G381" s="280">
        <v>2.257E-2</v>
      </c>
      <c r="H381" s="280">
        <v>3.2570000000000002E-2</v>
      </c>
      <c r="I381" s="280">
        <v>1.257E-2</v>
      </c>
      <c r="J381" s="25"/>
      <c r="K381" s="25"/>
      <c r="O381" s="14"/>
      <c r="P381" s="24"/>
    </row>
    <row r="382" spans="1:16" outlineLevel="1">
      <c r="A382" s="223">
        <v>43362</v>
      </c>
      <c r="B382" s="285">
        <v>2.2509999999999999E-2</v>
      </c>
      <c r="C382" s="2">
        <v>3077</v>
      </c>
      <c r="D382" s="2">
        <v>6267</v>
      </c>
      <c r="E382" s="31"/>
      <c r="F382" s="284">
        <v>43360</v>
      </c>
      <c r="G382" s="280">
        <v>2.2579999999999999E-2</v>
      </c>
      <c r="H382" s="280">
        <v>3.2579999999999998E-2</v>
      </c>
      <c r="I382" s="280">
        <v>1.2579999999999999E-2</v>
      </c>
      <c r="J382" s="25"/>
      <c r="K382" s="25"/>
      <c r="O382" s="14"/>
      <c r="P382" s="24"/>
    </row>
    <row r="383" spans="1:16" outlineLevel="1">
      <c r="A383" s="223">
        <v>43363</v>
      </c>
      <c r="B383" s="285">
        <v>2.2519999999999998E-2</v>
      </c>
      <c r="C383" s="2">
        <v>1598</v>
      </c>
      <c r="D383" s="2">
        <v>5488</v>
      </c>
      <c r="E383" s="31"/>
      <c r="F383" s="284">
        <v>43361</v>
      </c>
      <c r="G383" s="280">
        <v>2.266E-2</v>
      </c>
      <c r="H383" s="280">
        <v>3.2660000000000002E-2</v>
      </c>
      <c r="I383" s="280">
        <v>1.2659999999999999E-2</v>
      </c>
      <c r="J383" s="25"/>
      <c r="K383" s="25"/>
      <c r="O383" s="14"/>
      <c r="P383" s="24"/>
    </row>
    <row r="384" spans="1:16" outlineLevel="1">
      <c r="A384" s="223">
        <v>43364</v>
      </c>
      <c r="B384" s="285">
        <v>2.2620000000000001E-2</v>
      </c>
      <c r="C384" s="2">
        <v>1889</v>
      </c>
      <c r="D384" s="2">
        <v>5779</v>
      </c>
      <c r="E384" s="31"/>
      <c r="F384" s="284">
        <v>43362</v>
      </c>
      <c r="G384" s="280">
        <v>2.2509999999999999E-2</v>
      </c>
      <c r="H384" s="280">
        <v>3.2509999999999997E-2</v>
      </c>
      <c r="I384" s="280">
        <v>1.251E-2</v>
      </c>
      <c r="J384" s="25"/>
      <c r="K384" s="25"/>
      <c r="O384" s="14"/>
      <c r="P384" s="24"/>
    </row>
    <row r="385" spans="1:16" outlineLevel="1">
      <c r="A385" s="223">
        <v>43365</v>
      </c>
      <c r="B385" s="285">
        <v>2.2620000000000001E-2</v>
      </c>
      <c r="C385" s="2" t="s">
        <v>8</v>
      </c>
      <c r="D385" s="2">
        <v>5779</v>
      </c>
      <c r="E385" s="31"/>
      <c r="F385" s="284">
        <v>43363</v>
      </c>
      <c r="G385" s="280">
        <v>2.2519999999999998E-2</v>
      </c>
      <c r="H385" s="280">
        <v>3.252E-2</v>
      </c>
      <c r="I385" s="280">
        <v>1.252E-2</v>
      </c>
      <c r="J385" s="25"/>
      <c r="K385" s="25"/>
      <c r="O385" s="14"/>
      <c r="P385" s="24"/>
    </row>
    <row r="386" spans="1:16" outlineLevel="1">
      <c r="A386" s="223">
        <v>43366</v>
      </c>
      <c r="B386" s="285">
        <v>2.2620000000000001E-2</v>
      </c>
      <c r="C386" s="2" t="s">
        <v>8</v>
      </c>
      <c r="D386" s="2">
        <v>5779</v>
      </c>
      <c r="E386" s="31"/>
      <c r="F386" s="284">
        <v>43364</v>
      </c>
      <c r="G386" s="280">
        <v>2.2620000000000001E-2</v>
      </c>
      <c r="H386" s="280">
        <v>3.2620000000000003E-2</v>
      </c>
      <c r="I386" s="280">
        <v>1.2619999999999999E-2</v>
      </c>
      <c r="J386" s="25"/>
      <c r="K386" s="25"/>
      <c r="O386" s="14"/>
      <c r="P386" s="24"/>
    </row>
    <row r="387" spans="1:16" outlineLevel="1">
      <c r="A387" s="223">
        <v>43367</v>
      </c>
      <c r="B387" s="285">
        <v>2.2689999999999998E-2</v>
      </c>
      <c r="C387" s="2">
        <v>2694</v>
      </c>
      <c r="D387" s="2">
        <v>6474</v>
      </c>
      <c r="E387" s="31"/>
      <c r="F387" s="284">
        <v>43365</v>
      </c>
      <c r="G387" s="280">
        <v>2.2620000000000001E-2</v>
      </c>
      <c r="H387" s="280">
        <v>3.2620000000000003E-2</v>
      </c>
      <c r="I387" s="280">
        <v>1.2619999999999999E-2</v>
      </c>
      <c r="J387" s="25"/>
      <c r="K387" s="25"/>
      <c r="O387" s="14"/>
      <c r="P387" s="24"/>
    </row>
    <row r="388" spans="1:16" outlineLevel="1">
      <c r="A388" s="223">
        <v>43368</v>
      </c>
      <c r="B388" s="285">
        <v>2.2620000000000001E-2</v>
      </c>
      <c r="C388" s="2">
        <v>2801</v>
      </c>
      <c r="D388" s="2">
        <v>6581</v>
      </c>
      <c r="E388" s="31"/>
      <c r="F388" s="284">
        <v>43366</v>
      </c>
      <c r="G388" s="280">
        <v>2.2620000000000001E-2</v>
      </c>
      <c r="H388" s="280">
        <v>3.2620000000000003E-2</v>
      </c>
      <c r="I388" s="280">
        <v>1.2619999999999999E-2</v>
      </c>
      <c r="J388" s="25"/>
      <c r="K388" s="25"/>
      <c r="O388" s="14"/>
      <c r="P388" s="24"/>
    </row>
    <row r="389" spans="1:16" outlineLevel="1">
      <c r="A389" s="223">
        <v>43369</v>
      </c>
      <c r="B389" s="285">
        <v>2.2769999999999999E-2</v>
      </c>
      <c r="C389" s="2">
        <v>4289</v>
      </c>
      <c r="D389" s="2">
        <v>8069</v>
      </c>
      <c r="E389" s="31"/>
      <c r="F389" s="284">
        <v>43367</v>
      </c>
      <c r="G389" s="280">
        <v>2.2689999999999998E-2</v>
      </c>
      <c r="H389" s="280">
        <v>3.2689999999999997E-2</v>
      </c>
      <c r="I389" s="280">
        <v>1.269E-2</v>
      </c>
      <c r="J389" s="25"/>
      <c r="K389" s="25"/>
      <c r="O389" s="14"/>
      <c r="P389" s="24"/>
    </row>
    <row r="390" spans="1:16" outlineLevel="1">
      <c r="A390" s="223">
        <v>43370</v>
      </c>
      <c r="B390" s="285">
        <v>2.2689999999999998E-2</v>
      </c>
      <c r="C390" s="2">
        <v>3319</v>
      </c>
      <c r="D390" s="2">
        <v>6649</v>
      </c>
      <c r="E390" s="31"/>
      <c r="F390" s="284">
        <v>43368</v>
      </c>
      <c r="G390" s="280">
        <v>2.2620000000000001E-2</v>
      </c>
      <c r="H390" s="280">
        <v>3.2620000000000003E-2</v>
      </c>
      <c r="I390" s="280">
        <v>1.2619999999999999E-2</v>
      </c>
      <c r="J390" s="25"/>
      <c r="K390" s="25"/>
      <c r="O390" s="14"/>
      <c r="P390" s="24"/>
    </row>
    <row r="391" spans="1:16" outlineLevel="1">
      <c r="A391" s="223">
        <v>43371</v>
      </c>
      <c r="B391" s="285">
        <v>2.2970000000000001E-2</v>
      </c>
      <c r="C391" s="2">
        <v>2736</v>
      </c>
      <c r="D391" s="2">
        <v>6476</v>
      </c>
      <c r="E391" s="31"/>
      <c r="F391" s="284">
        <v>43369</v>
      </c>
      <c r="G391" s="280">
        <v>2.2769999999999999E-2</v>
      </c>
      <c r="H391" s="280">
        <v>3.2770000000000001E-2</v>
      </c>
      <c r="I391" s="280">
        <v>1.277E-2</v>
      </c>
      <c r="J391" s="25"/>
      <c r="K391" s="25"/>
      <c r="O391" s="14"/>
      <c r="P391" s="24"/>
    </row>
    <row r="392" spans="1:16" outlineLevel="1">
      <c r="A392" s="223">
        <v>43372</v>
      </c>
      <c r="B392" s="285">
        <v>2.2970000000000001E-2</v>
      </c>
      <c r="C392" s="2" t="s">
        <v>8</v>
      </c>
      <c r="D392" s="2">
        <v>6476</v>
      </c>
      <c r="E392" s="31"/>
      <c r="F392" s="284">
        <v>43370</v>
      </c>
      <c r="G392" s="280">
        <v>2.2689999999999998E-2</v>
      </c>
      <c r="H392" s="280">
        <v>3.2689999999999997E-2</v>
      </c>
      <c r="I392" s="280">
        <v>1.269E-2</v>
      </c>
      <c r="J392" s="25"/>
      <c r="K392" s="25"/>
      <c r="O392" s="14"/>
      <c r="P392" s="24"/>
    </row>
    <row r="393" spans="1:16" outlineLevel="1">
      <c r="A393" s="223">
        <v>43373</v>
      </c>
      <c r="B393" s="285">
        <v>2.2970000000000001E-2</v>
      </c>
      <c r="C393" s="2" t="s">
        <v>8</v>
      </c>
      <c r="D393" s="2">
        <v>6476</v>
      </c>
      <c r="E393" s="31"/>
      <c r="F393" s="284">
        <v>43371</v>
      </c>
      <c r="G393" s="280">
        <v>2.2970000000000001E-2</v>
      </c>
      <c r="H393" s="280">
        <v>3.2969999999999999E-2</v>
      </c>
      <c r="I393" s="280">
        <v>1.2970000000000001E-2</v>
      </c>
      <c r="J393" s="25"/>
      <c r="K393" s="25"/>
      <c r="O393" s="14"/>
      <c r="P393" s="24"/>
    </row>
    <row r="394" spans="1:16" outlineLevel="1">
      <c r="A394" s="223">
        <v>43374</v>
      </c>
      <c r="B394" s="285">
        <v>2.2620000000000001E-2</v>
      </c>
      <c r="C394" s="2">
        <v>3445</v>
      </c>
      <c r="D394" s="2">
        <v>7435</v>
      </c>
      <c r="E394" s="31"/>
      <c r="F394" s="284">
        <v>43372</v>
      </c>
      <c r="G394" s="280">
        <v>2.2970000000000001E-2</v>
      </c>
      <c r="H394" s="280">
        <v>3.2969999999999999E-2</v>
      </c>
      <c r="I394" s="280">
        <v>1.2970000000000001E-2</v>
      </c>
      <c r="J394" s="25"/>
      <c r="K394" s="25"/>
      <c r="O394" s="14"/>
      <c r="P394" s="24"/>
    </row>
    <row r="395" spans="1:16" outlineLevel="1">
      <c r="A395" s="223">
        <v>43375</v>
      </c>
      <c r="B395" s="285">
        <v>2.2630000000000001E-2</v>
      </c>
      <c r="C395" s="2">
        <v>3802</v>
      </c>
      <c r="D395" s="2">
        <v>7142</v>
      </c>
      <c r="E395" s="31"/>
      <c r="F395" s="284">
        <v>43373</v>
      </c>
      <c r="G395" s="280">
        <v>2.2970000000000001E-2</v>
      </c>
      <c r="H395" s="280">
        <v>3.2969999999999999E-2</v>
      </c>
      <c r="I395" s="280">
        <v>1.2970000000000001E-2</v>
      </c>
      <c r="J395" s="25"/>
      <c r="K395" s="25"/>
      <c r="O395" s="14"/>
      <c r="P395" s="24"/>
    </row>
    <row r="396" spans="1:16" outlineLevel="1">
      <c r="A396" s="223">
        <v>43376</v>
      </c>
      <c r="B396" s="285">
        <v>2.2610000000000002E-2</v>
      </c>
      <c r="C396" s="2">
        <v>3988</v>
      </c>
      <c r="D396" s="2">
        <v>7328</v>
      </c>
      <c r="E396" s="31"/>
      <c r="F396" s="284">
        <v>43374</v>
      </c>
      <c r="G396" s="280">
        <v>2.2620000000000001E-2</v>
      </c>
      <c r="H396" s="280">
        <v>3.2620000000000003E-2</v>
      </c>
      <c r="I396" s="280">
        <v>1.2619999999999999E-2</v>
      </c>
      <c r="J396" s="25"/>
      <c r="K396" s="25"/>
      <c r="O396" s="14"/>
      <c r="P396" s="24"/>
    </row>
    <row r="397" spans="1:16" outlineLevel="1">
      <c r="A397" s="223">
        <v>43377</v>
      </c>
      <c r="B397" s="285">
        <v>2.2589999999999999E-2</v>
      </c>
      <c r="C397" s="2">
        <v>3823</v>
      </c>
      <c r="D397" s="2">
        <v>6963</v>
      </c>
      <c r="E397" s="31"/>
      <c r="F397" s="284">
        <v>43375</v>
      </c>
      <c r="G397" s="280">
        <v>2.2630000000000001E-2</v>
      </c>
      <c r="H397" s="280">
        <v>3.2629999999999999E-2</v>
      </c>
      <c r="I397" s="280">
        <v>1.2630000000000001E-2</v>
      </c>
      <c r="J397" s="25"/>
      <c r="K397" s="25"/>
      <c r="O397" s="14"/>
      <c r="P397" s="24"/>
    </row>
    <row r="398" spans="1:16" outlineLevel="1">
      <c r="A398" s="223">
        <v>43378</v>
      </c>
      <c r="B398" s="285">
        <v>2.2589999999999999E-2</v>
      </c>
      <c r="C398" s="2">
        <v>3390</v>
      </c>
      <c r="D398" s="2">
        <v>6410</v>
      </c>
      <c r="E398" s="31"/>
      <c r="F398" s="284">
        <v>43376</v>
      </c>
      <c r="G398" s="280">
        <v>2.2610000000000002E-2</v>
      </c>
      <c r="H398" s="280">
        <v>3.261E-2</v>
      </c>
      <c r="I398" s="280">
        <v>1.261E-2</v>
      </c>
      <c r="J398" s="25"/>
      <c r="K398" s="25"/>
      <c r="O398" s="14"/>
      <c r="P398" s="24"/>
    </row>
    <row r="399" spans="1:16" outlineLevel="1">
      <c r="A399" s="223">
        <v>43379</v>
      </c>
      <c r="B399" s="285">
        <v>2.2589999999999999E-2</v>
      </c>
      <c r="C399" s="2" t="s">
        <v>8</v>
      </c>
      <c r="D399" s="2">
        <v>6410</v>
      </c>
      <c r="E399" s="31"/>
      <c r="F399" s="284">
        <v>43377</v>
      </c>
      <c r="G399" s="280">
        <v>2.2589999999999999E-2</v>
      </c>
      <c r="H399" s="280">
        <v>3.2590000000000001E-2</v>
      </c>
      <c r="I399" s="280">
        <v>1.259E-2</v>
      </c>
      <c r="J399" s="25"/>
      <c r="K399" s="25"/>
      <c r="O399" s="14"/>
      <c r="P399" s="24"/>
    </row>
    <row r="400" spans="1:16" outlineLevel="1">
      <c r="A400" s="223">
        <v>43380</v>
      </c>
      <c r="B400" s="285">
        <v>2.2589999999999999E-2</v>
      </c>
      <c r="C400" s="2" t="s">
        <v>8</v>
      </c>
      <c r="D400" s="2">
        <v>6410</v>
      </c>
      <c r="E400" s="31"/>
      <c r="F400" s="284">
        <v>43378</v>
      </c>
      <c r="G400" s="280">
        <v>2.2589999999999999E-2</v>
      </c>
      <c r="H400" s="280">
        <v>3.2590000000000001E-2</v>
      </c>
      <c r="I400" s="280">
        <v>1.259E-2</v>
      </c>
      <c r="J400" s="25"/>
      <c r="K400" s="25"/>
      <c r="O400" s="14"/>
      <c r="P400" s="24"/>
    </row>
    <row r="401" spans="1:16" outlineLevel="1">
      <c r="A401" s="223">
        <v>43381</v>
      </c>
      <c r="B401" s="285">
        <v>2.2550000000000001E-2</v>
      </c>
      <c r="C401" s="2">
        <v>2664</v>
      </c>
      <c r="D401" s="2">
        <v>5374</v>
      </c>
      <c r="E401" s="31"/>
      <c r="F401" s="284">
        <v>43379</v>
      </c>
      <c r="G401" s="280">
        <v>2.2589999999999999E-2</v>
      </c>
      <c r="H401" s="280">
        <v>3.2590000000000001E-2</v>
      </c>
      <c r="I401" s="280">
        <v>1.259E-2</v>
      </c>
      <c r="J401" s="25"/>
      <c r="K401" s="25"/>
      <c r="O401" s="14"/>
      <c r="P401" s="24"/>
    </row>
    <row r="402" spans="1:16" outlineLevel="1">
      <c r="A402" s="223">
        <v>43382</v>
      </c>
      <c r="B402" s="285">
        <v>2.2540000000000001E-2</v>
      </c>
      <c r="C402" s="2">
        <v>2758</v>
      </c>
      <c r="D402" s="2">
        <v>5888</v>
      </c>
      <c r="E402" s="31"/>
      <c r="F402" s="284">
        <v>43380</v>
      </c>
      <c r="G402" s="280">
        <v>2.2589999999999999E-2</v>
      </c>
      <c r="H402" s="280">
        <v>3.2590000000000001E-2</v>
      </c>
      <c r="I402" s="280">
        <v>1.259E-2</v>
      </c>
      <c r="J402" s="25"/>
      <c r="K402" s="25"/>
      <c r="O402" s="14"/>
      <c r="P402" s="24"/>
    </row>
    <row r="403" spans="1:16" outlineLevel="1">
      <c r="A403" s="223">
        <v>43383</v>
      </c>
      <c r="B403" s="285">
        <v>2.2589999999999999E-2</v>
      </c>
      <c r="C403" s="2">
        <v>7091</v>
      </c>
      <c r="D403" s="2">
        <v>10221</v>
      </c>
      <c r="E403" s="31"/>
      <c r="F403" s="284">
        <v>43381</v>
      </c>
      <c r="G403" s="280">
        <v>2.2550000000000001E-2</v>
      </c>
      <c r="H403" s="280">
        <v>3.2550000000000003E-2</v>
      </c>
      <c r="I403" s="280">
        <v>1.255E-2</v>
      </c>
      <c r="J403" s="25"/>
      <c r="K403" s="25"/>
      <c r="O403" s="14"/>
      <c r="P403" s="24"/>
    </row>
    <row r="404" spans="1:16" outlineLevel="1">
      <c r="A404" s="223">
        <v>43384</v>
      </c>
      <c r="B404" s="285">
        <v>2.2970000000000001E-2</v>
      </c>
      <c r="C404" s="2">
        <v>5875</v>
      </c>
      <c r="D404" s="2">
        <v>9105</v>
      </c>
      <c r="E404" s="31"/>
      <c r="F404" s="284">
        <v>43382</v>
      </c>
      <c r="G404" s="280">
        <v>2.2540000000000001E-2</v>
      </c>
      <c r="H404" s="280">
        <v>3.2539999999999999E-2</v>
      </c>
      <c r="I404" s="280">
        <v>1.2540000000000001E-2</v>
      </c>
      <c r="J404" s="25"/>
      <c r="K404" s="25"/>
      <c r="O404" s="14"/>
      <c r="P404" s="24"/>
    </row>
    <row r="405" spans="1:16" outlineLevel="1">
      <c r="A405" s="223">
        <v>43385</v>
      </c>
      <c r="B405" s="285">
        <v>2.3040000000000001E-2</v>
      </c>
      <c r="C405" s="2">
        <v>5962</v>
      </c>
      <c r="D405" s="2">
        <v>9192</v>
      </c>
      <c r="E405" s="31"/>
      <c r="F405" s="284">
        <v>43383</v>
      </c>
      <c r="G405" s="280">
        <v>2.2589999999999999E-2</v>
      </c>
      <c r="H405" s="280">
        <v>3.2590000000000001E-2</v>
      </c>
      <c r="I405" s="280">
        <v>1.259E-2</v>
      </c>
      <c r="J405" s="25"/>
      <c r="K405" s="25"/>
      <c r="O405" s="14"/>
      <c r="P405" s="24"/>
    </row>
    <row r="406" spans="1:16" outlineLevel="1">
      <c r="A406" s="223">
        <v>43386</v>
      </c>
      <c r="B406" s="285">
        <v>2.3040000000000001E-2</v>
      </c>
      <c r="C406" s="2" t="s">
        <v>8</v>
      </c>
      <c r="D406" s="2">
        <v>9192</v>
      </c>
      <c r="E406" s="31"/>
      <c r="F406" s="284">
        <v>43384</v>
      </c>
      <c r="G406" s="280">
        <v>2.2970000000000001E-2</v>
      </c>
      <c r="H406" s="280">
        <v>3.2969999999999999E-2</v>
      </c>
      <c r="I406" s="280">
        <v>1.2970000000000001E-2</v>
      </c>
      <c r="J406" s="25"/>
      <c r="K406" s="25"/>
      <c r="O406" s="14"/>
      <c r="P406" s="24"/>
    </row>
    <row r="407" spans="1:16" outlineLevel="1">
      <c r="A407" s="223">
        <v>43387</v>
      </c>
      <c r="B407" s="285">
        <v>2.3040000000000001E-2</v>
      </c>
      <c r="C407" s="2" t="s">
        <v>8</v>
      </c>
      <c r="D407" s="2">
        <v>9192</v>
      </c>
      <c r="E407" s="31"/>
      <c r="F407" s="284">
        <v>43385</v>
      </c>
      <c r="G407" s="280">
        <v>2.3040000000000001E-2</v>
      </c>
      <c r="H407" s="280">
        <v>3.304E-2</v>
      </c>
      <c r="I407" s="280">
        <v>1.304E-2</v>
      </c>
      <c r="J407" s="25"/>
      <c r="K407" s="25"/>
      <c r="O407" s="14"/>
      <c r="P407" s="24"/>
    </row>
    <row r="408" spans="1:16" outlineLevel="1">
      <c r="A408" s="223">
        <v>43388</v>
      </c>
      <c r="B408" s="285">
        <v>2.3050000000000001E-2</v>
      </c>
      <c r="C408" s="2">
        <v>3838</v>
      </c>
      <c r="D408" s="2">
        <v>6868</v>
      </c>
      <c r="E408" s="31"/>
      <c r="F408" s="284">
        <v>43386</v>
      </c>
      <c r="G408" s="280">
        <v>2.3040000000000001E-2</v>
      </c>
      <c r="H408" s="280">
        <v>3.304E-2</v>
      </c>
      <c r="I408" s="280">
        <v>1.304E-2</v>
      </c>
      <c r="J408" s="25"/>
      <c r="K408" s="25"/>
      <c r="O408" s="14"/>
      <c r="P408" s="24"/>
    </row>
    <row r="409" spans="1:16" outlineLevel="1">
      <c r="A409" s="223">
        <v>43389</v>
      </c>
      <c r="B409" s="285">
        <v>2.3019999999999999E-2</v>
      </c>
      <c r="C409" s="2">
        <v>4248</v>
      </c>
      <c r="D409" s="2">
        <v>7828</v>
      </c>
      <c r="E409" s="31"/>
      <c r="F409" s="284">
        <v>43387</v>
      </c>
      <c r="G409" s="280">
        <v>2.3040000000000001E-2</v>
      </c>
      <c r="H409" s="280">
        <v>3.304E-2</v>
      </c>
      <c r="I409" s="280">
        <v>1.304E-2</v>
      </c>
      <c r="J409" s="25"/>
      <c r="K409" s="25"/>
      <c r="O409" s="14"/>
      <c r="P409" s="24"/>
    </row>
    <row r="410" spans="1:16" outlineLevel="1">
      <c r="A410" s="223">
        <v>43390</v>
      </c>
      <c r="B410" s="285">
        <v>2.2950000000000002E-2</v>
      </c>
      <c r="C410" s="2">
        <v>4467</v>
      </c>
      <c r="D410" s="2">
        <v>8047</v>
      </c>
      <c r="E410" s="31"/>
      <c r="F410" s="284">
        <v>43388</v>
      </c>
      <c r="G410" s="280">
        <v>2.3050000000000001E-2</v>
      </c>
      <c r="H410" s="280">
        <v>3.3050000000000003E-2</v>
      </c>
      <c r="I410" s="280">
        <v>1.3050000000000001E-2</v>
      </c>
      <c r="J410" s="25"/>
      <c r="K410" s="25"/>
      <c r="O410" s="14"/>
      <c r="P410" s="24"/>
    </row>
    <row r="411" spans="1:16" outlineLevel="1">
      <c r="A411" s="223">
        <v>43391</v>
      </c>
      <c r="B411" s="285">
        <v>2.2870000000000001E-2</v>
      </c>
      <c r="C411" s="2">
        <v>4779</v>
      </c>
      <c r="D411" s="2">
        <v>8459</v>
      </c>
      <c r="E411" s="31"/>
      <c r="F411" s="284">
        <v>43389</v>
      </c>
      <c r="G411" s="280">
        <v>2.3019999999999999E-2</v>
      </c>
      <c r="H411" s="280">
        <v>3.3020000000000001E-2</v>
      </c>
      <c r="I411" s="280">
        <v>1.302E-2</v>
      </c>
      <c r="J411" s="25"/>
      <c r="K411" s="25"/>
      <c r="O411" s="14"/>
      <c r="P411" s="24"/>
    </row>
    <row r="412" spans="1:16" outlineLevel="1">
      <c r="A412" s="223">
        <v>43392</v>
      </c>
      <c r="B412" s="285">
        <v>2.2749999999999999E-2</v>
      </c>
      <c r="C412" s="2">
        <v>4580</v>
      </c>
      <c r="D412" s="2">
        <v>8250</v>
      </c>
      <c r="E412" s="31"/>
      <c r="F412" s="284">
        <v>43390</v>
      </c>
      <c r="G412" s="280">
        <v>2.2950000000000002E-2</v>
      </c>
      <c r="H412" s="280">
        <v>3.295E-2</v>
      </c>
      <c r="I412" s="280">
        <v>1.295E-2</v>
      </c>
      <c r="J412" s="25"/>
      <c r="K412" s="25"/>
      <c r="O412" s="14"/>
      <c r="P412" s="24"/>
    </row>
    <row r="413" spans="1:16" outlineLevel="1">
      <c r="A413" s="223">
        <v>43393</v>
      </c>
      <c r="B413" s="285">
        <v>2.2749999999999999E-2</v>
      </c>
      <c r="C413" s="2" t="s">
        <v>8</v>
      </c>
      <c r="D413" s="2">
        <v>8250</v>
      </c>
      <c r="E413" s="31"/>
      <c r="F413" s="284">
        <v>43391</v>
      </c>
      <c r="G413" s="280">
        <v>2.2870000000000001E-2</v>
      </c>
      <c r="H413" s="280">
        <v>3.2870000000000003E-2</v>
      </c>
      <c r="I413" s="280">
        <v>1.2869999999999999E-2</v>
      </c>
      <c r="J413" s="25"/>
      <c r="K413" s="25"/>
      <c r="O413" s="14"/>
      <c r="P413" s="24"/>
    </row>
    <row r="414" spans="1:16" outlineLevel="1">
      <c r="A414" s="223">
        <v>43394</v>
      </c>
      <c r="B414" s="285">
        <v>2.2749999999999999E-2</v>
      </c>
      <c r="C414" s="2" t="s">
        <v>8</v>
      </c>
      <c r="D414" s="2">
        <v>8250</v>
      </c>
      <c r="E414" s="31"/>
      <c r="F414" s="284">
        <v>43392</v>
      </c>
      <c r="G414" s="280">
        <v>2.2749999999999999E-2</v>
      </c>
      <c r="H414" s="280">
        <v>3.2750000000000001E-2</v>
      </c>
      <c r="I414" s="280">
        <v>1.2749999999999999E-2</v>
      </c>
      <c r="J414" s="25"/>
      <c r="K414" s="25"/>
      <c r="O414" s="14"/>
      <c r="P414" s="24"/>
    </row>
    <row r="415" spans="1:16" outlineLevel="1">
      <c r="A415" s="223">
        <v>43395</v>
      </c>
      <c r="B415" s="285">
        <v>2.2540000000000001E-2</v>
      </c>
      <c r="C415" s="2">
        <v>4550</v>
      </c>
      <c r="D415" s="2">
        <v>8255</v>
      </c>
      <c r="E415" s="31"/>
      <c r="F415" s="284">
        <v>43393</v>
      </c>
      <c r="G415" s="280">
        <v>2.2749999999999999E-2</v>
      </c>
      <c r="H415" s="280">
        <v>3.2750000000000001E-2</v>
      </c>
      <c r="I415" s="280">
        <v>1.2749999999999999E-2</v>
      </c>
      <c r="J415" s="25"/>
      <c r="K415" s="25"/>
      <c r="O415" s="14"/>
      <c r="P415" s="24"/>
    </row>
    <row r="416" spans="1:16" outlineLevel="1">
      <c r="A416" s="223">
        <v>43396</v>
      </c>
      <c r="B416" s="285">
        <v>2.2519999999999998E-2</v>
      </c>
      <c r="C416" s="2">
        <v>3030</v>
      </c>
      <c r="D416" s="2">
        <v>7385</v>
      </c>
      <c r="E416" s="31"/>
      <c r="F416" s="284">
        <v>43394</v>
      </c>
      <c r="G416" s="280">
        <v>2.2749999999999999E-2</v>
      </c>
      <c r="H416" s="280">
        <v>3.2750000000000001E-2</v>
      </c>
      <c r="I416" s="280">
        <v>1.2749999999999999E-2</v>
      </c>
      <c r="J416" s="25"/>
      <c r="K416" s="25"/>
      <c r="O416" s="14"/>
      <c r="P416" s="24"/>
    </row>
    <row r="417" spans="1:16" outlineLevel="1">
      <c r="A417" s="223">
        <v>43397</v>
      </c>
      <c r="B417" s="285">
        <v>2.2499999999999999E-2</v>
      </c>
      <c r="C417" s="2">
        <v>2656</v>
      </c>
      <c r="D417" s="2">
        <v>7011</v>
      </c>
      <c r="E417" s="31"/>
      <c r="F417" s="284">
        <v>43395</v>
      </c>
      <c r="G417" s="280">
        <v>2.2540000000000001E-2</v>
      </c>
      <c r="H417" s="280">
        <v>3.2539999999999999E-2</v>
      </c>
      <c r="I417" s="280">
        <v>1.2540000000000001E-2</v>
      </c>
      <c r="J417" s="25"/>
      <c r="K417" s="25"/>
      <c r="O417" s="14"/>
      <c r="P417" s="24"/>
    </row>
    <row r="418" spans="1:16" outlineLevel="1">
      <c r="A418" s="223">
        <v>43398</v>
      </c>
      <c r="B418" s="285">
        <v>2.2610000000000002E-2</v>
      </c>
      <c r="C418" s="2">
        <v>2489</v>
      </c>
      <c r="D418" s="2">
        <v>6944</v>
      </c>
      <c r="E418" s="31"/>
      <c r="F418" s="284">
        <v>43396</v>
      </c>
      <c r="G418" s="280">
        <v>2.2519999999999998E-2</v>
      </c>
      <c r="H418" s="280">
        <v>3.252E-2</v>
      </c>
      <c r="I418" s="280">
        <v>1.252E-2</v>
      </c>
      <c r="J418" s="25"/>
      <c r="K418" s="25"/>
      <c r="O418" s="14"/>
      <c r="P418" s="24"/>
    </row>
    <row r="419" spans="1:16" outlineLevel="1">
      <c r="A419" s="223">
        <v>43399</v>
      </c>
      <c r="B419" s="285">
        <v>2.2509999999999999E-2</v>
      </c>
      <c r="C419" s="2">
        <v>2365</v>
      </c>
      <c r="D419" s="2">
        <v>6820</v>
      </c>
      <c r="E419" s="31"/>
      <c r="F419" s="284">
        <v>43397</v>
      </c>
      <c r="G419" s="280">
        <v>2.2499999999999999E-2</v>
      </c>
      <c r="H419" s="280">
        <v>3.2500000000000001E-2</v>
      </c>
      <c r="I419" s="280">
        <v>1.2500000000000001E-2</v>
      </c>
      <c r="J419" s="25"/>
      <c r="K419" s="25"/>
      <c r="O419" s="14"/>
      <c r="P419" s="24"/>
    </row>
    <row r="420" spans="1:16" outlineLevel="1">
      <c r="A420" s="223">
        <v>43400</v>
      </c>
      <c r="B420" s="285">
        <v>2.2509999999999999E-2</v>
      </c>
      <c r="C420" s="2" t="s">
        <v>8</v>
      </c>
      <c r="D420" s="2">
        <v>6820</v>
      </c>
      <c r="E420" s="31"/>
      <c r="F420" s="284">
        <v>43398</v>
      </c>
      <c r="G420" s="280">
        <v>2.2610000000000002E-2</v>
      </c>
      <c r="H420" s="280">
        <v>3.261E-2</v>
      </c>
      <c r="I420" s="280">
        <v>1.261E-2</v>
      </c>
      <c r="J420" s="25"/>
      <c r="K420" s="25"/>
      <c r="O420" s="14"/>
      <c r="P420" s="24"/>
    </row>
    <row r="421" spans="1:16" outlineLevel="1">
      <c r="A421" s="223">
        <v>43401</v>
      </c>
      <c r="B421" s="285">
        <v>2.2509999999999999E-2</v>
      </c>
      <c r="C421" s="2" t="s">
        <v>8</v>
      </c>
      <c r="D421" s="2">
        <v>6820</v>
      </c>
      <c r="E421" s="31"/>
      <c r="F421" s="284">
        <v>43399</v>
      </c>
      <c r="G421" s="280">
        <v>2.2509999999999999E-2</v>
      </c>
      <c r="H421" s="280">
        <v>3.2509999999999997E-2</v>
      </c>
      <c r="I421" s="280">
        <v>1.251E-2</v>
      </c>
      <c r="J421" s="25"/>
      <c r="K421" s="25"/>
      <c r="O421" s="14"/>
      <c r="P421" s="24"/>
    </row>
    <row r="422" spans="1:16" outlineLevel="1">
      <c r="A422" s="223">
        <v>43402</v>
      </c>
      <c r="B422" s="285">
        <v>2.2579999999999999E-2</v>
      </c>
      <c r="C422" s="2">
        <v>2486</v>
      </c>
      <c r="D422" s="2">
        <v>6941</v>
      </c>
      <c r="E422" s="31"/>
      <c r="F422" s="284">
        <v>43400</v>
      </c>
      <c r="G422" s="280">
        <v>2.2509999999999999E-2</v>
      </c>
      <c r="H422" s="280">
        <v>3.2509999999999997E-2</v>
      </c>
      <c r="I422" s="280">
        <v>1.251E-2</v>
      </c>
      <c r="J422" s="25"/>
      <c r="K422" s="25"/>
      <c r="O422" s="14"/>
      <c r="P422" s="24"/>
    </row>
    <row r="423" spans="1:16" outlineLevel="1">
      <c r="A423" s="223">
        <v>43403</v>
      </c>
      <c r="B423" s="285">
        <v>2.3009999999999999E-2</v>
      </c>
      <c r="C423" s="2">
        <v>4612</v>
      </c>
      <c r="D423" s="2">
        <v>8732</v>
      </c>
      <c r="E423" s="31"/>
      <c r="F423" s="284">
        <v>43401</v>
      </c>
      <c r="G423" s="280">
        <v>2.2509999999999999E-2</v>
      </c>
      <c r="H423" s="280">
        <v>3.2509999999999997E-2</v>
      </c>
      <c r="I423" s="280">
        <v>1.251E-2</v>
      </c>
      <c r="J423" s="25"/>
      <c r="K423" s="25"/>
      <c r="O423" s="14"/>
      <c r="P423" s="24"/>
    </row>
    <row r="424" spans="1:16" outlineLevel="1">
      <c r="A424" s="223">
        <v>43404</v>
      </c>
      <c r="B424" s="285">
        <v>2.324E-2</v>
      </c>
      <c r="C424" s="2">
        <v>3849</v>
      </c>
      <c r="D424" s="2">
        <v>6069</v>
      </c>
      <c r="E424" s="31"/>
      <c r="F424" s="284">
        <v>43402</v>
      </c>
      <c r="G424" s="280">
        <v>2.2579999999999999E-2</v>
      </c>
      <c r="H424" s="280">
        <v>3.2579999999999998E-2</v>
      </c>
      <c r="I424" s="280">
        <v>1.2579999999999999E-2</v>
      </c>
      <c r="J424" s="25"/>
      <c r="K424" s="25"/>
      <c r="O424" s="14"/>
      <c r="P424" s="24"/>
    </row>
    <row r="425" spans="1:16" outlineLevel="1">
      <c r="A425" s="223">
        <v>43405</v>
      </c>
      <c r="B425" s="285">
        <v>2.2849999999999999E-2</v>
      </c>
      <c r="C425" s="2">
        <v>3474</v>
      </c>
      <c r="D425" s="2">
        <v>6694</v>
      </c>
      <c r="E425" s="31"/>
      <c r="F425" s="284">
        <v>43403</v>
      </c>
      <c r="G425" s="280">
        <v>2.3009999999999999E-2</v>
      </c>
      <c r="H425" s="280">
        <v>3.3009999999999998E-2</v>
      </c>
      <c r="I425" s="280">
        <v>1.3010000000000001E-2</v>
      </c>
      <c r="J425" s="25"/>
      <c r="K425" s="25"/>
      <c r="O425" s="14"/>
      <c r="P425" s="24"/>
    </row>
    <row r="426" spans="1:16" outlineLevel="1">
      <c r="A426" s="223">
        <v>43406</v>
      </c>
      <c r="B426" s="285">
        <v>2.2880000000000001E-2</v>
      </c>
      <c r="C426" s="2">
        <v>3973</v>
      </c>
      <c r="D426" s="2">
        <v>7238</v>
      </c>
      <c r="E426" s="31"/>
      <c r="F426" s="284">
        <v>43404</v>
      </c>
      <c r="G426" s="280">
        <v>2.324E-2</v>
      </c>
      <c r="H426" s="280">
        <v>3.3239999999999999E-2</v>
      </c>
      <c r="I426" s="280">
        <v>1.324E-2</v>
      </c>
      <c r="J426" s="25"/>
      <c r="K426" s="25"/>
      <c r="O426" s="14"/>
      <c r="P426" s="24"/>
    </row>
    <row r="427" spans="1:16" outlineLevel="1">
      <c r="A427" s="223">
        <v>43407</v>
      </c>
      <c r="B427" s="285">
        <v>2.2880000000000001E-2</v>
      </c>
      <c r="C427" s="2" t="s">
        <v>8</v>
      </c>
      <c r="D427" s="2">
        <v>7238</v>
      </c>
      <c r="E427" s="31"/>
      <c r="F427" s="284">
        <v>43405</v>
      </c>
      <c r="G427" s="280">
        <v>2.2849999999999999E-2</v>
      </c>
      <c r="H427" s="280">
        <v>3.2849999999999997E-2</v>
      </c>
      <c r="I427" s="280">
        <v>1.285E-2</v>
      </c>
      <c r="J427" s="25"/>
      <c r="K427" s="25"/>
      <c r="O427" s="14"/>
      <c r="P427" s="24"/>
    </row>
    <row r="428" spans="1:16" outlineLevel="1">
      <c r="A428" s="223">
        <v>43408</v>
      </c>
      <c r="B428" s="285">
        <v>2.2880000000000001E-2</v>
      </c>
      <c r="C428" s="2" t="s">
        <v>8</v>
      </c>
      <c r="D428" s="2">
        <v>7238</v>
      </c>
      <c r="E428" s="31"/>
      <c r="F428" s="284">
        <v>43406</v>
      </c>
      <c r="G428" s="280">
        <v>2.2880000000000001E-2</v>
      </c>
      <c r="H428" s="280">
        <v>3.288E-2</v>
      </c>
      <c r="I428" s="280">
        <v>1.2880000000000001E-2</v>
      </c>
      <c r="J428" s="25"/>
      <c r="K428" s="25"/>
      <c r="O428" s="14"/>
      <c r="P428" s="24"/>
    </row>
    <row r="429" spans="1:16" outlineLevel="1">
      <c r="A429" s="223">
        <v>43409</v>
      </c>
      <c r="B429" s="285">
        <v>2.2800000000000001E-2</v>
      </c>
      <c r="C429" s="2">
        <v>4442</v>
      </c>
      <c r="D429" s="2">
        <v>7707</v>
      </c>
      <c r="E429" s="31"/>
      <c r="F429" s="284">
        <v>43407</v>
      </c>
      <c r="G429" s="280">
        <v>2.2880000000000001E-2</v>
      </c>
      <c r="H429" s="280">
        <v>3.288E-2</v>
      </c>
      <c r="I429" s="280">
        <v>1.2880000000000001E-2</v>
      </c>
      <c r="J429" s="25"/>
      <c r="K429" s="25"/>
      <c r="O429" s="14"/>
      <c r="P429" s="24"/>
    </row>
    <row r="430" spans="1:16" outlineLevel="1">
      <c r="A430" s="223">
        <v>43410</v>
      </c>
      <c r="B430" s="285">
        <v>2.2800000000000001E-2</v>
      </c>
      <c r="C430" s="2" t="s">
        <v>8</v>
      </c>
      <c r="D430" s="2">
        <v>7707</v>
      </c>
      <c r="E430" s="31"/>
      <c r="F430" s="284">
        <v>43408</v>
      </c>
      <c r="G430" s="280">
        <v>2.2880000000000001E-2</v>
      </c>
      <c r="H430" s="280">
        <v>3.288E-2</v>
      </c>
      <c r="I430" s="280">
        <v>1.2880000000000001E-2</v>
      </c>
      <c r="J430" s="25"/>
      <c r="K430" s="25"/>
      <c r="O430" s="14"/>
      <c r="P430" s="24"/>
    </row>
    <row r="431" spans="1:16" outlineLevel="1">
      <c r="A431" s="223">
        <v>43411</v>
      </c>
      <c r="B431" s="285">
        <v>2.2859999999999998E-2</v>
      </c>
      <c r="C431" s="2">
        <v>4137</v>
      </c>
      <c r="D431" s="2">
        <v>7392</v>
      </c>
      <c r="E431" s="31"/>
      <c r="F431" s="284">
        <v>43409</v>
      </c>
      <c r="G431" s="280">
        <v>2.2800000000000001E-2</v>
      </c>
      <c r="H431" s="280">
        <v>3.2800000000000003E-2</v>
      </c>
      <c r="I431" s="280">
        <v>1.2800000000000001E-2</v>
      </c>
      <c r="J431" s="25"/>
      <c r="K431" s="25"/>
      <c r="O431" s="14"/>
      <c r="P431" s="24"/>
    </row>
    <row r="432" spans="1:16" outlineLevel="1">
      <c r="A432" s="223">
        <v>43412</v>
      </c>
      <c r="B432" s="285">
        <v>2.2769999999999999E-2</v>
      </c>
      <c r="C432" s="2">
        <v>3638</v>
      </c>
      <c r="D432" s="2">
        <v>7043</v>
      </c>
      <c r="E432" s="31"/>
      <c r="F432" s="284">
        <v>43410</v>
      </c>
      <c r="G432" s="280">
        <v>2.2800000000000001E-2</v>
      </c>
      <c r="H432" s="280">
        <v>3.2800000000000003E-2</v>
      </c>
      <c r="I432" s="280">
        <v>1.2800000000000001E-2</v>
      </c>
      <c r="J432" s="25"/>
      <c r="K432" s="25"/>
      <c r="O432" s="14"/>
      <c r="P432" s="24"/>
    </row>
    <row r="433" spans="1:16" outlineLevel="1">
      <c r="A433" s="223">
        <v>43413</v>
      </c>
      <c r="B433" s="285">
        <v>2.29E-2</v>
      </c>
      <c r="C433" s="2">
        <v>4050</v>
      </c>
      <c r="D433" s="2">
        <v>7460</v>
      </c>
      <c r="E433" s="31"/>
      <c r="F433" s="284">
        <v>43411</v>
      </c>
      <c r="G433" s="280">
        <v>2.2859999999999998E-2</v>
      </c>
      <c r="H433" s="280">
        <v>3.286E-2</v>
      </c>
      <c r="I433" s="280">
        <v>1.286E-2</v>
      </c>
      <c r="J433" s="25"/>
      <c r="K433" s="25"/>
      <c r="O433" s="14"/>
      <c r="P433" s="24"/>
    </row>
    <row r="434" spans="1:16" outlineLevel="1">
      <c r="A434" s="223">
        <v>43414</v>
      </c>
      <c r="B434" s="285">
        <v>2.29E-2</v>
      </c>
      <c r="C434" s="2" t="s">
        <v>8</v>
      </c>
      <c r="D434" s="2">
        <v>7460</v>
      </c>
      <c r="E434" s="31"/>
      <c r="F434" s="284">
        <v>43412</v>
      </c>
      <c r="G434" s="280">
        <v>2.2769999999999999E-2</v>
      </c>
      <c r="H434" s="280">
        <v>3.2770000000000001E-2</v>
      </c>
      <c r="I434" s="280">
        <v>1.277E-2</v>
      </c>
      <c r="J434" s="25"/>
      <c r="K434" s="25"/>
      <c r="O434" s="14"/>
      <c r="P434" s="24"/>
    </row>
    <row r="435" spans="1:16" outlineLevel="1">
      <c r="A435" s="223">
        <v>43415</v>
      </c>
      <c r="B435" s="285">
        <v>2.29E-2</v>
      </c>
      <c r="C435" s="2" t="s">
        <v>8</v>
      </c>
      <c r="D435" s="2">
        <v>7460</v>
      </c>
      <c r="E435" s="31"/>
      <c r="F435" s="284">
        <v>43413</v>
      </c>
      <c r="G435" s="280">
        <v>2.29E-2</v>
      </c>
      <c r="H435" s="280">
        <v>3.2899999999999999E-2</v>
      </c>
      <c r="I435" s="280">
        <v>1.29E-2</v>
      </c>
      <c r="J435" s="25"/>
      <c r="K435" s="25"/>
      <c r="O435" s="14"/>
      <c r="P435" s="24"/>
    </row>
    <row r="436" spans="1:16" outlineLevel="1">
      <c r="A436" s="223">
        <v>43416</v>
      </c>
      <c r="B436" s="285">
        <v>2.274E-2</v>
      </c>
      <c r="C436" s="2">
        <v>2542</v>
      </c>
      <c r="D436" s="2">
        <v>6152</v>
      </c>
      <c r="E436" s="31"/>
      <c r="F436" s="284">
        <v>43414</v>
      </c>
      <c r="G436" s="280">
        <v>2.29E-2</v>
      </c>
      <c r="H436" s="280">
        <v>3.2899999999999999E-2</v>
      </c>
      <c r="I436" s="280">
        <v>1.29E-2</v>
      </c>
      <c r="J436" s="25"/>
      <c r="K436" s="25"/>
      <c r="O436" s="14"/>
      <c r="P436" s="24"/>
    </row>
    <row r="437" spans="1:16" outlineLevel="1">
      <c r="A437" s="223">
        <v>43417</v>
      </c>
      <c r="B437" s="285">
        <v>2.2800000000000001E-2</v>
      </c>
      <c r="C437" s="2">
        <v>1827</v>
      </c>
      <c r="D437" s="2">
        <v>5437</v>
      </c>
      <c r="E437" s="31"/>
      <c r="F437" s="284">
        <v>43415</v>
      </c>
      <c r="G437" s="280">
        <v>2.29E-2</v>
      </c>
      <c r="H437" s="280">
        <v>3.2899999999999999E-2</v>
      </c>
      <c r="I437" s="280">
        <v>1.29E-2</v>
      </c>
      <c r="J437" s="25"/>
      <c r="K437" s="25"/>
      <c r="O437" s="14"/>
      <c r="P437" s="24"/>
    </row>
    <row r="438" spans="1:16" outlineLevel="1">
      <c r="A438" s="223">
        <v>43418</v>
      </c>
      <c r="B438" s="285">
        <v>2.266E-2</v>
      </c>
      <c r="C438" s="2">
        <v>2680</v>
      </c>
      <c r="D438" s="2">
        <v>5950</v>
      </c>
      <c r="E438" s="31"/>
      <c r="F438" s="284">
        <v>43416</v>
      </c>
      <c r="G438" s="280">
        <v>2.274E-2</v>
      </c>
      <c r="H438" s="280">
        <v>3.2739999999999998E-2</v>
      </c>
      <c r="I438" s="280">
        <v>1.274E-2</v>
      </c>
      <c r="J438" s="25"/>
      <c r="K438" s="25"/>
      <c r="O438" s="14"/>
      <c r="P438" s="24"/>
    </row>
    <row r="439" spans="1:16" outlineLevel="1">
      <c r="A439" s="223">
        <v>43419</v>
      </c>
      <c r="B439" s="285">
        <v>2.2589999999999999E-2</v>
      </c>
      <c r="C439" s="2">
        <v>2531</v>
      </c>
      <c r="D439" s="2">
        <v>5541</v>
      </c>
      <c r="E439" s="31"/>
      <c r="F439" s="284">
        <v>43417</v>
      </c>
      <c r="G439" s="280">
        <v>2.2800000000000001E-2</v>
      </c>
      <c r="H439" s="280">
        <v>3.2800000000000003E-2</v>
      </c>
      <c r="I439" s="280">
        <v>1.2800000000000001E-2</v>
      </c>
      <c r="J439" s="25"/>
      <c r="K439" s="25"/>
      <c r="O439" s="14"/>
      <c r="P439" s="24"/>
    </row>
    <row r="440" spans="1:16" outlineLevel="1">
      <c r="A440" s="223">
        <v>43420</v>
      </c>
      <c r="B440" s="285">
        <v>2.2689999999999998E-2</v>
      </c>
      <c r="C440" s="2">
        <v>3005</v>
      </c>
      <c r="D440" s="2">
        <v>5995</v>
      </c>
      <c r="E440" s="31"/>
      <c r="F440" s="284">
        <v>43418</v>
      </c>
      <c r="G440" s="280">
        <v>2.266E-2</v>
      </c>
      <c r="H440" s="280">
        <v>3.2660000000000002E-2</v>
      </c>
      <c r="I440" s="280">
        <v>1.2659999999999999E-2</v>
      </c>
      <c r="J440" s="25"/>
      <c r="K440" s="25"/>
      <c r="O440" s="14"/>
      <c r="P440" s="24"/>
    </row>
    <row r="441" spans="1:16" outlineLevel="1">
      <c r="A441" s="223">
        <v>43421</v>
      </c>
      <c r="B441" s="285">
        <v>2.2689999999999998E-2</v>
      </c>
      <c r="C441" s="2" t="s">
        <v>8</v>
      </c>
      <c r="D441" s="2">
        <v>5995</v>
      </c>
      <c r="E441" s="31"/>
      <c r="F441" s="284">
        <v>43419</v>
      </c>
      <c r="G441" s="280">
        <v>2.2589999999999999E-2</v>
      </c>
      <c r="H441" s="280">
        <v>3.2590000000000001E-2</v>
      </c>
      <c r="I441" s="280">
        <v>1.259E-2</v>
      </c>
      <c r="J441" s="25"/>
      <c r="K441" s="25"/>
      <c r="O441" s="14"/>
      <c r="P441" s="24"/>
    </row>
    <row r="442" spans="1:16" outlineLevel="1">
      <c r="A442" s="223">
        <v>43422</v>
      </c>
      <c r="B442" s="285">
        <v>2.2689999999999998E-2</v>
      </c>
      <c r="C442" s="2" t="s">
        <v>8</v>
      </c>
      <c r="D442" s="2">
        <v>5995</v>
      </c>
      <c r="E442" s="31"/>
      <c r="F442" s="284">
        <v>43420</v>
      </c>
      <c r="G442" s="280">
        <v>2.2689999999999998E-2</v>
      </c>
      <c r="H442" s="280">
        <v>3.2689999999999997E-2</v>
      </c>
      <c r="I442" s="280">
        <v>1.269E-2</v>
      </c>
      <c r="J442" s="25"/>
      <c r="K442" s="25"/>
      <c r="O442" s="14"/>
      <c r="P442" s="24"/>
    </row>
    <row r="443" spans="1:16" outlineLevel="1">
      <c r="A443" s="223">
        <v>43423</v>
      </c>
      <c r="B443" s="285">
        <v>2.3060000000000001E-2</v>
      </c>
      <c r="C443" s="2">
        <v>3169</v>
      </c>
      <c r="D443" s="2">
        <v>6269</v>
      </c>
      <c r="E443" s="31"/>
      <c r="F443" s="284">
        <v>43421</v>
      </c>
      <c r="G443" s="280">
        <v>2.2689999999999998E-2</v>
      </c>
      <c r="H443" s="280">
        <v>3.2689999999999997E-2</v>
      </c>
      <c r="I443" s="280">
        <v>1.269E-2</v>
      </c>
      <c r="J443" s="25"/>
      <c r="K443" s="25"/>
      <c r="O443" s="14"/>
      <c r="P443" s="24"/>
    </row>
    <row r="444" spans="1:16" outlineLevel="1">
      <c r="A444" s="223">
        <v>43424</v>
      </c>
      <c r="B444" s="285">
        <v>2.3060000000000001E-2</v>
      </c>
      <c r="C444" s="2" t="s">
        <v>8</v>
      </c>
      <c r="D444" s="2">
        <v>6269</v>
      </c>
      <c r="E444" s="31"/>
      <c r="F444" s="284">
        <v>43422</v>
      </c>
      <c r="G444" s="280">
        <v>2.2689999999999998E-2</v>
      </c>
      <c r="H444" s="280">
        <v>3.2689999999999997E-2</v>
      </c>
      <c r="I444" s="280">
        <v>1.269E-2</v>
      </c>
      <c r="J444" s="25"/>
      <c r="K444" s="25"/>
      <c r="O444" s="14"/>
      <c r="P444" s="24"/>
    </row>
    <row r="445" spans="1:16" outlineLevel="1">
      <c r="A445" s="223">
        <v>43425</v>
      </c>
      <c r="B445" s="285">
        <v>2.3060000000000001E-2</v>
      </c>
      <c r="C445" s="2" t="s">
        <v>8</v>
      </c>
      <c r="D445" s="2">
        <v>6269</v>
      </c>
      <c r="E445" s="31"/>
      <c r="F445" s="284">
        <v>43423</v>
      </c>
      <c r="G445" s="280">
        <v>2.3060000000000001E-2</v>
      </c>
      <c r="H445" s="280">
        <v>3.3059999999999999E-2</v>
      </c>
      <c r="I445" s="280">
        <v>1.306E-2</v>
      </c>
      <c r="J445" s="25"/>
      <c r="K445" s="25"/>
      <c r="O445" s="14"/>
      <c r="P445" s="24"/>
    </row>
    <row r="446" spans="1:16" outlineLevel="1">
      <c r="A446" s="223">
        <v>43426</v>
      </c>
      <c r="B446" s="285">
        <v>2.2679999999999999E-2</v>
      </c>
      <c r="C446" s="2">
        <v>2845</v>
      </c>
      <c r="D446" s="2">
        <v>6105</v>
      </c>
      <c r="E446" s="31"/>
      <c r="F446" s="284">
        <v>43424</v>
      </c>
      <c r="G446" s="280">
        <v>2.3060000000000001E-2</v>
      </c>
      <c r="H446" s="280">
        <v>3.3059999999999999E-2</v>
      </c>
      <c r="I446" s="280">
        <v>1.306E-2</v>
      </c>
      <c r="J446" s="25"/>
      <c r="K446" s="25"/>
      <c r="O446" s="14"/>
      <c r="P446" s="24"/>
    </row>
    <row r="447" spans="1:16" outlineLevel="1">
      <c r="A447" s="223">
        <v>43427</v>
      </c>
      <c r="B447" s="285">
        <v>2.3009999999999999E-2</v>
      </c>
      <c r="C447" s="2">
        <v>4497</v>
      </c>
      <c r="D447" s="2">
        <v>7757</v>
      </c>
      <c r="E447" s="31"/>
      <c r="F447" s="284">
        <v>43425</v>
      </c>
      <c r="G447" s="280">
        <v>2.3060000000000001E-2</v>
      </c>
      <c r="H447" s="280">
        <v>3.3059999999999999E-2</v>
      </c>
      <c r="I447" s="280">
        <v>1.306E-2</v>
      </c>
      <c r="J447" s="25"/>
      <c r="K447" s="25"/>
      <c r="O447" s="14"/>
      <c r="P447" s="24"/>
    </row>
    <row r="448" spans="1:16" outlineLevel="1">
      <c r="A448" s="223">
        <v>43428</v>
      </c>
      <c r="B448" s="285">
        <v>2.3009999999999999E-2</v>
      </c>
      <c r="C448" s="2" t="s">
        <v>8</v>
      </c>
      <c r="D448" s="2">
        <v>7757</v>
      </c>
      <c r="E448" s="31"/>
      <c r="F448" s="284">
        <v>43426</v>
      </c>
      <c r="G448" s="280">
        <v>2.2679999999999999E-2</v>
      </c>
      <c r="H448" s="280">
        <v>3.2680000000000001E-2</v>
      </c>
      <c r="I448" s="280">
        <v>1.268E-2</v>
      </c>
      <c r="J448" s="25"/>
      <c r="K448" s="25"/>
      <c r="O448" s="14"/>
      <c r="P448" s="24"/>
    </row>
    <row r="449" spans="1:16" outlineLevel="1">
      <c r="A449" s="223">
        <v>43429</v>
      </c>
      <c r="B449" s="285">
        <v>2.3009999999999999E-2</v>
      </c>
      <c r="C449" s="2" t="s">
        <v>8</v>
      </c>
      <c r="D449" s="2">
        <v>7757</v>
      </c>
      <c r="E449" s="31"/>
      <c r="F449" s="284">
        <v>43427</v>
      </c>
      <c r="G449" s="280">
        <v>2.3009999999999999E-2</v>
      </c>
      <c r="H449" s="280">
        <v>3.3009999999999998E-2</v>
      </c>
      <c r="I449" s="280">
        <v>1.3010000000000001E-2</v>
      </c>
      <c r="J449" s="25"/>
      <c r="K449" s="25"/>
      <c r="O449" s="14"/>
      <c r="P449" s="24"/>
    </row>
    <row r="450" spans="1:16" outlineLevel="1">
      <c r="A450" s="223">
        <v>43430</v>
      </c>
      <c r="B450" s="285">
        <v>2.2800000000000001E-2</v>
      </c>
      <c r="C450" s="2">
        <v>5058</v>
      </c>
      <c r="D450" s="2">
        <v>8068</v>
      </c>
      <c r="E450" s="31"/>
      <c r="F450" s="284">
        <v>43428</v>
      </c>
      <c r="G450" s="280">
        <v>2.3009999999999999E-2</v>
      </c>
      <c r="H450" s="280">
        <v>3.3009999999999998E-2</v>
      </c>
      <c r="I450" s="280">
        <v>1.3010000000000001E-2</v>
      </c>
      <c r="J450" s="25"/>
      <c r="K450" s="25"/>
      <c r="O450" s="14"/>
      <c r="P450" s="24"/>
    </row>
    <row r="451" spans="1:16" outlineLevel="1">
      <c r="A451" s="223">
        <v>43431</v>
      </c>
      <c r="B451" s="285">
        <v>2.256E-2</v>
      </c>
      <c r="C451" s="2">
        <v>4715</v>
      </c>
      <c r="D451" s="2">
        <v>7725</v>
      </c>
      <c r="E451" s="31"/>
      <c r="F451" s="284">
        <v>43429</v>
      </c>
      <c r="G451" s="280">
        <v>2.3009999999999999E-2</v>
      </c>
      <c r="H451" s="280">
        <v>3.3009999999999998E-2</v>
      </c>
      <c r="I451" s="280">
        <v>1.3010000000000001E-2</v>
      </c>
      <c r="J451" s="25"/>
      <c r="K451" s="25"/>
      <c r="O451" s="14"/>
      <c r="P451" s="24"/>
    </row>
    <row r="452" spans="1:16" outlineLevel="1">
      <c r="A452" s="223">
        <v>43432</v>
      </c>
      <c r="B452" s="285">
        <v>2.2499999999999999E-2</v>
      </c>
      <c r="C452" s="2">
        <v>2147</v>
      </c>
      <c r="D452" s="2">
        <v>5157</v>
      </c>
      <c r="E452" s="31"/>
      <c r="F452" s="284">
        <v>43430</v>
      </c>
      <c r="G452" s="280">
        <v>2.2800000000000001E-2</v>
      </c>
      <c r="H452" s="280">
        <v>3.2800000000000003E-2</v>
      </c>
      <c r="I452" s="280">
        <v>1.2800000000000001E-2</v>
      </c>
      <c r="J452" s="25"/>
      <c r="K452" s="25"/>
      <c r="O452" s="14"/>
      <c r="P452" s="24"/>
    </row>
    <row r="453" spans="1:16" outlineLevel="1">
      <c r="A453" s="223">
        <v>43433</v>
      </c>
      <c r="B453" s="285">
        <v>2.2499999999999999E-2</v>
      </c>
      <c r="C453" s="2">
        <v>3116</v>
      </c>
      <c r="D453" s="2">
        <v>5626</v>
      </c>
      <c r="E453" s="31"/>
      <c r="F453" s="284">
        <v>43431</v>
      </c>
      <c r="G453" s="280">
        <v>2.256E-2</v>
      </c>
      <c r="H453" s="280">
        <v>3.2559999999999999E-2</v>
      </c>
      <c r="I453" s="280">
        <v>1.256E-2</v>
      </c>
      <c r="J453" s="25"/>
      <c r="K453" s="25"/>
      <c r="O453" s="14"/>
      <c r="P453" s="24"/>
    </row>
    <row r="454" spans="1:16" outlineLevel="1">
      <c r="A454" s="223">
        <v>43434</v>
      </c>
      <c r="B454" s="285">
        <v>2.3109999999999999E-2</v>
      </c>
      <c r="C454" s="2">
        <v>5335</v>
      </c>
      <c r="D454" s="2">
        <v>7315</v>
      </c>
      <c r="E454" s="31"/>
      <c r="F454" s="284">
        <v>43432</v>
      </c>
      <c r="G454" s="280">
        <v>2.2499999999999999E-2</v>
      </c>
      <c r="H454" s="280">
        <v>3.2500000000000001E-2</v>
      </c>
      <c r="I454" s="280">
        <v>1.2500000000000001E-2</v>
      </c>
      <c r="J454" s="25"/>
      <c r="K454" s="25"/>
      <c r="O454" s="14"/>
      <c r="P454" s="24"/>
    </row>
    <row r="455" spans="1:16" outlineLevel="1">
      <c r="A455" s="223">
        <v>43435</v>
      </c>
      <c r="B455" s="285">
        <v>2.3109999999999999E-2</v>
      </c>
      <c r="C455" s="2" t="s">
        <v>8</v>
      </c>
      <c r="D455" s="2">
        <v>7315</v>
      </c>
      <c r="E455" s="31"/>
      <c r="F455" s="284">
        <v>43433</v>
      </c>
      <c r="G455" s="280">
        <v>2.2499999999999999E-2</v>
      </c>
      <c r="H455" s="280">
        <v>3.2500000000000001E-2</v>
      </c>
      <c r="I455" s="280">
        <v>1.2500000000000001E-2</v>
      </c>
      <c r="J455" s="25"/>
      <c r="K455" s="25"/>
      <c r="O455" s="14"/>
      <c r="P455" s="24"/>
    </row>
    <row r="456" spans="1:16" outlineLevel="1">
      <c r="A456" s="223">
        <v>43436</v>
      </c>
      <c r="B456" s="285">
        <v>2.3109999999999999E-2</v>
      </c>
      <c r="C456" s="2" t="s">
        <v>8</v>
      </c>
      <c r="D456" s="2">
        <v>7315</v>
      </c>
      <c r="E456" s="31"/>
      <c r="F456" s="284">
        <v>43434</v>
      </c>
      <c r="G456" s="280">
        <v>2.3109999999999999E-2</v>
      </c>
      <c r="H456" s="280">
        <v>3.3110000000000001E-2</v>
      </c>
      <c r="I456" s="280">
        <v>1.311E-2</v>
      </c>
      <c r="J456" s="25"/>
      <c r="K456" s="25"/>
      <c r="O456" s="14"/>
      <c r="P456" s="24"/>
    </row>
    <row r="457" spans="1:16" outlineLevel="1">
      <c r="A457" s="223">
        <v>43437</v>
      </c>
      <c r="B457" s="285">
        <v>2.3109999999999999E-2</v>
      </c>
      <c r="C457" s="2">
        <v>4218</v>
      </c>
      <c r="D457" s="2">
        <v>7708</v>
      </c>
      <c r="E457" s="31"/>
      <c r="F457" s="284">
        <v>43435</v>
      </c>
      <c r="G457" s="280">
        <v>2.3109999999999999E-2</v>
      </c>
      <c r="H457" s="280">
        <v>3.3110000000000001E-2</v>
      </c>
      <c r="I457" s="280">
        <v>1.311E-2</v>
      </c>
      <c r="J457" s="25"/>
      <c r="K457" s="25"/>
      <c r="O457" s="14"/>
      <c r="P457" s="24"/>
    </row>
    <row r="458" spans="1:16" outlineLevel="1">
      <c r="A458" s="223">
        <v>43438</v>
      </c>
      <c r="B458" s="285">
        <v>2.298E-2</v>
      </c>
      <c r="C458" s="2">
        <v>3503</v>
      </c>
      <c r="D458" s="2">
        <v>6993</v>
      </c>
      <c r="E458" s="31"/>
      <c r="F458" s="284">
        <v>43436</v>
      </c>
      <c r="G458" s="280">
        <v>2.3109999999999999E-2</v>
      </c>
      <c r="H458" s="280">
        <v>3.3110000000000001E-2</v>
      </c>
      <c r="I458" s="280">
        <v>1.311E-2</v>
      </c>
      <c r="J458" s="25"/>
      <c r="K458" s="25"/>
      <c r="O458" s="14"/>
      <c r="P458" s="24"/>
    </row>
    <row r="459" spans="1:16" outlineLevel="1">
      <c r="A459" s="223">
        <v>43439</v>
      </c>
      <c r="B459" s="285">
        <v>2.3040000000000001E-2</v>
      </c>
      <c r="C459" s="2">
        <v>4815</v>
      </c>
      <c r="D459" s="2">
        <v>8305</v>
      </c>
      <c r="E459" s="31"/>
      <c r="F459" s="284">
        <v>43437</v>
      </c>
      <c r="G459" s="280">
        <v>2.3109999999999999E-2</v>
      </c>
      <c r="H459" s="280">
        <v>3.3110000000000001E-2</v>
      </c>
      <c r="I459" s="280">
        <v>1.311E-2</v>
      </c>
      <c r="J459" s="25"/>
      <c r="K459" s="25"/>
      <c r="O459" s="14"/>
      <c r="P459" s="24"/>
    </row>
    <row r="460" spans="1:16" outlineLevel="1">
      <c r="A460" s="223">
        <v>43440</v>
      </c>
      <c r="B460" s="285">
        <v>2.2669999999999999E-2</v>
      </c>
      <c r="C460" s="2">
        <v>3334</v>
      </c>
      <c r="D460" s="2">
        <v>7424</v>
      </c>
      <c r="E460" s="31"/>
      <c r="F460" s="284">
        <v>43438</v>
      </c>
      <c r="G460" s="280">
        <v>2.298E-2</v>
      </c>
      <c r="H460" s="280">
        <v>3.2980000000000002E-2</v>
      </c>
      <c r="I460" s="280">
        <v>1.298E-2</v>
      </c>
      <c r="J460" s="25"/>
      <c r="K460" s="25"/>
      <c r="O460" s="14"/>
      <c r="P460" s="24"/>
    </row>
    <row r="461" spans="1:16" outlineLevel="1">
      <c r="A461" s="223">
        <v>43441</v>
      </c>
      <c r="B461" s="285">
        <v>2.3290000000000002E-2</v>
      </c>
      <c r="C461" s="2">
        <v>3905</v>
      </c>
      <c r="D461" s="2">
        <v>7925</v>
      </c>
      <c r="E461" s="31"/>
      <c r="F461" s="284">
        <v>43439</v>
      </c>
      <c r="G461" s="280">
        <v>2.3040000000000001E-2</v>
      </c>
      <c r="H461" s="280">
        <v>3.304E-2</v>
      </c>
      <c r="I461" s="280">
        <v>1.304E-2</v>
      </c>
      <c r="J461" s="25"/>
      <c r="K461" s="25"/>
      <c r="O461" s="14"/>
      <c r="P461" s="24"/>
    </row>
    <row r="462" spans="1:16" outlineLevel="1">
      <c r="A462" s="223">
        <v>43442</v>
      </c>
      <c r="B462" s="285">
        <v>2.3290000000000002E-2</v>
      </c>
      <c r="C462" s="2" t="s">
        <v>8</v>
      </c>
      <c r="D462" s="2">
        <v>7925</v>
      </c>
      <c r="E462" s="31"/>
      <c r="F462" s="284">
        <v>43440</v>
      </c>
      <c r="G462" s="280">
        <v>2.2669999999999999E-2</v>
      </c>
      <c r="H462" s="280">
        <v>3.2669999999999998E-2</v>
      </c>
      <c r="I462" s="280">
        <v>1.2670000000000001E-2</v>
      </c>
      <c r="J462" s="25"/>
      <c r="K462" s="25"/>
      <c r="O462" s="14"/>
      <c r="P462" s="24"/>
    </row>
    <row r="463" spans="1:16" outlineLevel="1">
      <c r="A463" s="223">
        <v>43443</v>
      </c>
      <c r="B463" s="285">
        <v>2.3290000000000002E-2</v>
      </c>
      <c r="C463" s="2" t="s">
        <v>8</v>
      </c>
      <c r="D463" s="2">
        <v>7925</v>
      </c>
      <c r="E463" s="31"/>
      <c r="F463" s="284">
        <v>43441</v>
      </c>
      <c r="G463" s="280">
        <v>2.3290000000000002E-2</v>
      </c>
      <c r="H463" s="280">
        <v>3.329E-2</v>
      </c>
      <c r="I463" s="280">
        <v>1.329E-2</v>
      </c>
      <c r="J463" s="25"/>
      <c r="K463" s="25"/>
      <c r="O463" s="14"/>
      <c r="P463" s="24"/>
    </row>
    <row r="464" spans="1:16" outlineLevel="1">
      <c r="A464" s="223">
        <v>43444</v>
      </c>
      <c r="B464" s="285">
        <v>2.2550000000000001E-2</v>
      </c>
      <c r="C464" s="2">
        <v>2543</v>
      </c>
      <c r="D464" s="2">
        <v>6673</v>
      </c>
      <c r="E464" s="31"/>
      <c r="F464" s="284">
        <v>43442</v>
      </c>
      <c r="G464" s="280">
        <v>2.3290000000000002E-2</v>
      </c>
      <c r="H464" s="280">
        <v>3.329E-2</v>
      </c>
      <c r="I464" s="280">
        <v>1.329E-2</v>
      </c>
      <c r="J464" s="25"/>
      <c r="K464" s="25"/>
      <c r="O464" s="14"/>
      <c r="P464" s="24"/>
    </row>
    <row r="465" spans="1:16" outlineLevel="1">
      <c r="A465" s="223">
        <v>43445</v>
      </c>
      <c r="B465" s="285">
        <v>2.2929999999999999E-2</v>
      </c>
      <c r="C465" s="2">
        <v>2979</v>
      </c>
      <c r="D465" s="2">
        <v>7109</v>
      </c>
      <c r="E465" s="31"/>
      <c r="F465" s="284">
        <v>43443</v>
      </c>
      <c r="G465" s="280">
        <v>2.3290000000000002E-2</v>
      </c>
      <c r="H465" s="280">
        <v>3.329E-2</v>
      </c>
      <c r="I465" s="280">
        <v>1.329E-2</v>
      </c>
      <c r="J465" s="25"/>
      <c r="K465" s="25"/>
      <c r="O465" s="14"/>
      <c r="P465" s="24"/>
    </row>
    <row r="466" spans="1:16" outlineLevel="1">
      <c r="A466" s="223">
        <v>43446</v>
      </c>
      <c r="B466" s="285">
        <v>2.3099999999999999E-2</v>
      </c>
      <c r="C466" s="2">
        <v>4970</v>
      </c>
      <c r="D466" s="2">
        <v>8800</v>
      </c>
      <c r="E466" s="31"/>
      <c r="F466" s="284">
        <v>43444</v>
      </c>
      <c r="G466" s="280">
        <v>2.2550000000000001E-2</v>
      </c>
      <c r="H466" s="280">
        <v>3.2550000000000003E-2</v>
      </c>
      <c r="I466" s="280">
        <v>1.255E-2</v>
      </c>
      <c r="J466" s="25"/>
      <c r="K466" s="25"/>
      <c r="O466" s="14"/>
      <c r="P466" s="24"/>
    </row>
    <row r="467" spans="1:16" outlineLevel="1">
      <c r="A467" s="223">
        <v>43447</v>
      </c>
      <c r="B467" s="285">
        <v>2.2890000000000001E-2</v>
      </c>
      <c r="C467" s="2">
        <v>4551</v>
      </c>
      <c r="D467" s="2">
        <v>8381</v>
      </c>
      <c r="E467" s="31"/>
      <c r="F467" s="284">
        <v>43445</v>
      </c>
      <c r="G467" s="280">
        <v>2.2929999999999999E-2</v>
      </c>
      <c r="H467" s="280">
        <v>3.2930000000000001E-2</v>
      </c>
      <c r="I467" s="280">
        <v>1.2930000000000001E-2</v>
      </c>
      <c r="J467" s="25"/>
      <c r="K467" s="25"/>
      <c r="O467" s="14"/>
      <c r="P467" s="24"/>
    </row>
    <row r="468" spans="1:16" outlineLevel="1">
      <c r="A468" s="223">
        <v>43448</v>
      </c>
      <c r="B468" s="285">
        <v>2.2800000000000001E-2</v>
      </c>
      <c r="C468" s="2">
        <v>3162</v>
      </c>
      <c r="D468" s="2">
        <v>7002</v>
      </c>
      <c r="E468" s="31"/>
      <c r="F468" s="284">
        <v>43446</v>
      </c>
      <c r="G468" s="280">
        <v>2.3099999999999999E-2</v>
      </c>
      <c r="H468" s="280">
        <v>3.3099999999999997E-2</v>
      </c>
      <c r="I468" s="280">
        <v>1.3100000000000001E-2</v>
      </c>
      <c r="J468" s="25"/>
      <c r="K468" s="25"/>
      <c r="O468" s="14"/>
      <c r="P468" s="24"/>
    </row>
    <row r="469" spans="1:16" outlineLevel="1">
      <c r="A469" s="223">
        <v>43449</v>
      </c>
      <c r="B469" s="285">
        <v>2.2800000000000001E-2</v>
      </c>
      <c r="C469" s="2" t="s">
        <v>8</v>
      </c>
      <c r="D469" s="2">
        <v>7002</v>
      </c>
      <c r="E469" s="31"/>
      <c r="F469" s="284">
        <v>43447</v>
      </c>
      <c r="G469" s="280">
        <v>2.2890000000000001E-2</v>
      </c>
      <c r="H469" s="280">
        <v>3.2890000000000003E-2</v>
      </c>
      <c r="I469" s="280">
        <v>1.289E-2</v>
      </c>
      <c r="J469" s="25"/>
      <c r="K469" s="25"/>
      <c r="O469" s="14"/>
      <c r="P469" s="24"/>
    </row>
    <row r="470" spans="1:16" outlineLevel="1">
      <c r="A470" s="223">
        <v>43450</v>
      </c>
      <c r="B470" s="285">
        <v>2.2800000000000001E-2</v>
      </c>
      <c r="C470" s="2" t="s">
        <v>8</v>
      </c>
      <c r="D470" s="2">
        <v>7002</v>
      </c>
      <c r="E470" s="31"/>
      <c r="F470" s="284">
        <v>43448</v>
      </c>
      <c r="G470" s="280">
        <v>2.2800000000000001E-2</v>
      </c>
      <c r="H470" s="280">
        <v>3.2800000000000003E-2</v>
      </c>
      <c r="I470" s="280">
        <v>1.2800000000000001E-2</v>
      </c>
      <c r="J470" s="25"/>
      <c r="K470" s="25"/>
      <c r="O470" s="14"/>
      <c r="P470" s="24"/>
    </row>
    <row r="471" spans="1:16" outlineLevel="1">
      <c r="A471" s="223">
        <v>43451</v>
      </c>
      <c r="B471" s="285">
        <v>2.2550000000000001E-2</v>
      </c>
      <c r="C471" s="2">
        <v>3404</v>
      </c>
      <c r="D471" s="2">
        <v>7144</v>
      </c>
      <c r="E471" s="31"/>
      <c r="F471" s="284">
        <v>43449</v>
      </c>
      <c r="G471" s="280">
        <v>2.2800000000000001E-2</v>
      </c>
      <c r="H471" s="280">
        <v>3.2800000000000003E-2</v>
      </c>
      <c r="I471" s="280">
        <v>1.2800000000000001E-2</v>
      </c>
      <c r="J471" s="25"/>
      <c r="K471" s="25"/>
      <c r="O471" s="14"/>
      <c r="P471" s="24"/>
    </row>
    <row r="472" spans="1:16" outlineLevel="1">
      <c r="A472" s="223">
        <v>43452</v>
      </c>
      <c r="B472" s="285">
        <v>2.2610000000000002E-2</v>
      </c>
      <c r="C472" s="2">
        <v>3965</v>
      </c>
      <c r="D472" s="2">
        <v>7705</v>
      </c>
      <c r="E472" s="31"/>
      <c r="F472" s="284">
        <v>43450</v>
      </c>
      <c r="G472" s="280">
        <v>2.2800000000000001E-2</v>
      </c>
      <c r="H472" s="280">
        <v>3.2800000000000003E-2</v>
      </c>
      <c r="I472" s="280">
        <v>1.2800000000000001E-2</v>
      </c>
      <c r="J472" s="25"/>
      <c r="K472" s="25"/>
      <c r="O472" s="14"/>
      <c r="P472" s="24"/>
    </row>
    <row r="473" spans="1:16" outlineLevel="1">
      <c r="A473" s="223">
        <v>43453</v>
      </c>
      <c r="B473" s="285">
        <v>2.2630000000000001E-2</v>
      </c>
      <c r="C473" s="2">
        <v>4910</v>
      </c>
      <c r="D473" s="2">
        <v>8350</v>
      </c>
      <c r="E473" s="31"/>
      <c r="F473" s="284">
        <v>43451</v>
      </c>
      <c r="G473" s="280">
        <v>2.2550000000000001E-2</v>
      </c>
      <c r="H473" s="280">
        <v>3.2550000000000003E-2</v>
      </c>
      <c r="I473" s="280">
        <v>1.255E-2</v>
      </c>
      <c r="J473" s="25"/>
      <c r="K473" s="25"/>
      <c r="O473" s="14"/>
      <c r="P473" s="24"/>
    </row>
    <row r="474" spans="1:16" outlineLevel="1">
      <c r="A474" s="223">
        <v>43454</v>
      </c>
      <c r="B474" s="285">
        <v>2.2620000000000001E-2</v>
      </c>
      <c r="C474" s="2">
        <v>4529</v>
      </c>
      <c r="D474" s="2">
        <v>8169</v>
      </c>
      <c r="E474" s="31"/>
      <c r="F474" s="284">
        <v>43452</v>
      </c>
      <c r="G474" s="280">
        <v>2.2610000000000002E-2</v>
      </c>
      <c r="H474" s="280">
        <v>3.261E-2</v>
      </c>
      <c r="I474" s="280">
        <v>1.261E-2</v>
      </c>
      <c r="J474" s="25"/>
      <c r="K474" s="25"/>
      <c r="O474" s="14"/>
      <c r="P474" s="24"/>
    </row>
    <row r="475" spans="1:16" outlineLevel="1">
      <c r="A475" s="223">
        <v>43455</v>
      </c>
      <c r="B475" s="285">
        <v>2.274E-2</v>
      </c>
      <c r="C475" s="2">
        <v>6310</v>
      </c>
      <c r="D475" s="2">
        <v>9950</v>
      </c>
      <c r="E475" s="31"/>
      <c r="F475" s="284">
        <v>43453</v>
      </c>
      <c r="G475" s="280">
        <v>2.2630000000000001E-2</v>
      </c>
      <c r="H475" s="280">
        <v>3.2629999999999999E-2</v>
      </c>
      <c r="I475" s="280">
        <v>1.2630000000000001E-2</v>
      </c>
      <c r="J475" s="25"/>
      <c r="K475" s="25"/>
      <c r="O475" s="14"/>
      <c r="P475" s="24"/>
    </row>
    <row r="476" spans="1:16" outlineLevel="1">
      <c r="A476" s="223">
        <v>43456</v>
      </c>
      <c r="B476" s="285">
        <v>2.274E-2</v>
      </c>
      <c r="C476" s="2" t="s">
        <v>8</v>
      </c>
      <c r="D476" s="2">
        <v>9950</v>
      </c>
      <c r="E476" s="31"/>
      <c r="F476" s="284">
        <v>43454</v>
      </c>
      <c r="G476" s="280">
        <v>2.2620000000000001E-2</v>
      </c>
      <c r="H476" s="280">
        <v>3.2620000000000003E-2</v>
      </c>
      <c r="I476" s="280">
        <v>1.2619999999999999E-2</v>
      </c>
      <c r="J476" s="25"/>
      <c r="K476" s="25"/>
      <c r="O476" s="14"/>
      <c r="P476" s="24"/>
    </row>
    <row r="477" spans="1:16" outlineLevel="1">
      <c r="A477" s="223">
        <v>43457</v>
      </c>
      <c r="B477" s="285">
        <v>2.274E-2</v>
      </c>
      <c r="C477" s="2" t="s">
        <v>8</v>
      </c>
      <c r="D477" s="2">
        <v>9950</v>
      </c>
      <c r="E477" s="31"/>
      <c r="F477" s="284">
        <v>43455</v>
      </c>
      <c r="G477" s="280">
        <v>2.274E-2</v>
      </c>
      <c r="H477" s="280">
        <v>3.2739999999999998E-2</v>
      </c>
      <c r="I477" s="280">
        <v>1.274E-2</v>
      </c>
      <c r="J477" s="25"/>
      <c r="K477" s="25"/>
      <c r="O477" s="14"/>
      <c r="P477" s="24"/>
    </row>
    <row r="478" spans="1:16" outlineLevel="1">
      <c r="A478" s="223">
        <v>43458</v>
      </c>
      <c r="B478" s="285">
        <v>2.274E-2</v>
      </c>
      <c r="C478" s="2">
        <v>5944</v>
      </c>
      <c r="D478" s="2">
        <v>9084</v>
      </c>
      <c r="E478" s="31"/>
      <c r="F478" s="284">
        <v>43456</v>
      </c>
      <c r="G478" s="280">
        <v>2.274E-2</v>
      </c>
      <c r="H478" s="280">
        <v>3.2739999999999998E-2</v>
      </c>
      <c r="I478" s="280">
        <v>1.274E-2</v>
      </c>
      <c r="J478" s="25"/>
      <c r="K478" s="25"/>
      <c r="O478" s="14"/>
      <c r="P478" s="24"/>
    </row>
    <row r="479" spans="1:16" outlineLevel="1">
      <c r="A479" s="223">
        <v>43459</v>
      </c>
      <c r="B479" s="285">
        <v>2.2550000000000001E-2</v>
      </c>
      <c r="C479" s="2">
        <v>4528</v>
      </c>
      <c r="D479" s="2">
        <v>7668</v>
      </c>
      <c r="E479" s="31"/>
      <c r="F479" s="284">
        <v>43457</v>
      </c>
      <c r="G479" s="280">
        <v>2.274E-2</v>
      </c>
      <c r="H479" s="280">
        <v>3.2739999999999998E-2</v>
      </c>
      <c r="I479" s="280">
        <v>1.274E-2</v>
      </c>
      <c r="J479" s="25"/>
      <c r="K479" s="25"/>
      <c r="O479" s="14"/>
      <c r="P479" s="24"/>
    </row>
    <row r="480" spans="1:16" outlineLevel="1">
      <c r="A480" s="223">
        <v>43460</v>
      </c>
      <c r="B480" s="285">
        <v>2.281E-2</v>
      </c>
      <c r="C480" s="2">
        <v>4447</v>
      </c>
      <c r="D480" s="2">
        <v>8287</v>
      </c>
      <c r="E480" s="31"/>
      <c r="F480" s="284">
        <v>43458</v>
      </c>
      <c r="G480" s="280">
        <v>2.274E-2</v>
      </c>
      <c r="H480" s="280">
        <v>3.2739999999999998E-2</v>
      </c>
      <c r="I480" s="280">
        <v>1.274E-2</v>
      </c>
      <c r="J480" s="25"/>
      <c r="K480" s="25"/>
      <c r="O480" s="14"/>
      <c r="P480" s="24"/>
    </row>
    <row r="481" spans="1:54" outlineLevel="1">
      <c r="A481" s="223">
        <v>43461</v>
      </c>
      <c r="B481" s="285">
        <v>2.264E-2</v>
      </c>
      <c r="C481" s="2">
        <v>3322</v>
      </c>
      <c r="D481" s="2">
        <v>7212</v>
      </c>
      <c r="E481" s="31"/>
      <c r="F481" s="284">
        <v>43459</v>
      </c>
      <c r="G481" s="280">
        <v>2.2550000000000001E-2</v>
      </c>
      <c r="H481" s="280">
        <v>3.2550000000000003E-2</v>
      </c>
      <c r="I481" s="280">
        <v>1.255E-2</v>
      </c>
      <c r="J481" s="25"/>
      <c r="K481" s="25"/>
      <c r="O481" s="14"/>
      <c r="P481" s="24"/>
    </row>
    <row r="482" spans="1:54" outlineLevel="1">
      <c r="A482" s="223">
        <v>43462</v>
      </c>
      <c r="B482" s="285">
        <v>2.3369999999999998E-2</v>
      </c>
      <c r="C482" s="2">
        <v>4354</v>
      </c>
      <c r="D482" s="2">
        <v>8694</v>
      </c>
      <c r="E482" s="31"/>
      <c r="F482" s="284">
        <v>43460</v>
      </c>
      <c r="G482" s="280">
        <v>2.281E-2</v>
      </c>
      <c r="H482" s="280">
        <v>3.2809999999999999E-2</v>
      </c>
      <c r="I482" s="280">
        <v>1.281E-2</v>
      </c>
      <c r="J482" s="25"/>
      <c r="K482" s="25"/>
      <c r="O482" s="14"/>
      <c r="P482" s="24"/>
    </row>
    <row r="483" spans="1:54" outlineLevel="1">
      <c r="A483" s="223">
        <v>43463</v>
      </c>
      <c r="B483" s="285">
        <v>2.3369999999999998E-2</v>
      </c>
      <c r="C483" s="2" t="s">
        <v>8</v>
      </c>
      <c r="D483" s="2">
        <v>8694</v>
      </c>
      <c r="E483" s="31"/>
      <c r="F483" s="284">
        <v>43461</v>
      </c>
      <c r="G483" s="280">
        <v>2.264E-2</v>
      </c>
      <c r="H483" s="280">
        <v>3.2640000000000002E-2</v>
      </c>
      <c r="I483" s="280">
        <v>1.264E-2</v>
      </c>
      <c r="J483" s="25"/>
      <c r="K483" s="25"/>
      <c r="O483" s="14"/>
      <c r="P483" s="24"/>
    </row>
    <row r="484" spans="1:54" outlineLevel="1">
      <c r="A484" s="223">
        <v>43464</v>
      </c>
      <c r="B484" s="285">
        <v>2.3369999999999998E-2</v>
      </c>
      <c r="C484" s="2" t="s">
        <v>8</v>
      </c>
      <c r="D484" s="2">
        <v>8694</v>
      </c>
      <c r="E484" s="31"/>
      <c r="F484" s="284">
        <v>43462</v>
      </c>
      <c r="G484" s="280">
        <v>2.3369999999999998E-2</v>
      </c>
      <c r="H484" s="280">
        <v>3.3369999999999997E-2</v>
      </c>
      <c r="I484" s="280">
        <v>1.337E-2</v>
      </c>
      <c r="J484" s="25"/>
      <c r="K484" s="25"/>
      <c r="O484" s="14"/>
      <c r="P484" s="24"/>
    </row>
    <row r="485" spans="1:54" outlineLevel="1">
      <c r="A485" s="223">
        <v>43465</v>
      </c>
      <c r="B485" s="285">
        <v>2.316E-2</v>
      </c>
      <c r="C485" s="2">
        <v>2341</v>
      </c>
      <c r="D485" s="2">
        <v>6931</v>
      </c>
      <c r="E485" s="31"/>
      <c r="F485" s="284">
        <v>43463</v>
      </c>
      <c r="G485" s="280">
        <v>2.3369999999999998E-2</v>
      </c>
      <c r="H485" s="280">
        <v>3.3369999999999997E-2</v>
      </c>
      <c r="I485" s="280">
        <v>1.337E-2</v>
      </c>
      <c r="J485" s="25"/>
      <c r="K485" s="25"/>
      <c r="O485" s="14"/>
      <c r="P485" s="24"/>
    </row>
    <row r="486" spans="1:54" outlineLevel="1">
      <c r="A486" s="223">
        <v>43466</v>
      </c>
      <c r="B486" s="285">
        <v>2.316E-2</v>
      </c>
      <c r="C486" s="2" t="s">
        <v>8</v>
      </c>
      <c r="D486" s="2">
        <v>6931</v>
      </c>
      <c r="E486" s="31"/>
      <c r="F486" s="284">
        <v>43464</v>
      </c>
      <c r="G486" s="280">
        <v>2.3369999999999998E-2</v>
      </c>
      <c r="H486" s="280">
        <v>3.3369999999999997E-2</v>
      </c>
      <c r="I486" s="280">
        <v>1.337E-2</v>
      </c>
      <c r="J486" s="25"/>
      <c r="K486" s="25"/>
      <c r="O486" s="14"/>
      <c r="P486" s="24"/>
    </row>
    <row r="487" spans="1:54" outlineLevel="1">
      <c r="A487" s="223">
        <v>43467</v>
      </c>
      <c r="B487" s="285">
        <v>2.282E-2</v>
      </c>
      <c r="C487" s="2">
        <v>2706</v>
      </c>
      <c r="D487" s="2">
        <v>8586</v>
      </c>
      <c r="E487" s="31"/>
      <c r="F487" s="284">
        <v>43465</v>
      </c>
      <c r="G487" s="280">
        <v>2.316E-2</v>
      </c>
      <c r="H487" s="280">
        <v>3.3160000000000002E-2</v>
      </c>
      <c r="I487" s="280">
        <v>1.316E-2</v>
      </c>
      <c r="J487" s="25"/>
      <c r="K487" s="25"/>
      <c r="O487" s="14"/>
      <c r="P487" s="24"/>
    </row>
    <row r="488" spans="1:54" outlineLevel="1">
      <c r="A488" s="223">
        <v>43468</v>
      </c>
      <c r="B488" s="285">
        <v>2.2530000000000001E-2</v>
      </c>
      <c r="C488" s="2">
        <v>1760</v>
      </c>
      <c r="D488" s="2">
        <v>7090</v>
      </c>
      <c r="E488" s="31"/>
      <c r="F488" s="284">
        <v>43466</v>
      </c>
      <c r="G488" s="280">
        <v>2.316E-2</v>
      </c>
      <c r="H488" s="280">
        <v>3.3160000000000002E-2</v>
      </c>
      <c r="I488" s="280">
        <v>1.316E-2</v>
      </c>
      <c r="J488" s="25"/>
      <c r="K488" s="25"/>
      <c r="O488" s="14"/>
      <c r="P488" s="24"/>
    </row>
    <row r="489" spans="1:54" s="61" customFormat="1">
      <c r="A489" s="286">
        <v>43469</v>
      </c>
      <c r="B489" s="287">
        <v>2.299E-2</v>
      </c>
      <c r="C489" s="288">
        <v>3368</v>
      </c>
      <c r="D489" s="288">
        <v>9088</v>
      </c>
      <c r="E489" s="64"/>
      <c r="F489" s="289">
        <v>43467</v>
      </c>
      <c r="G489" s="290">
        <v>2.282E-2</v>
      </c>
      <c r="H489" s="290">
        <f>G489+1%</f>
        <v>3.2820000000000002E-2</v>
      </c>
      <c r="I489" s="290">
        <f>G489-1%</f>
        <v>1.282E-2</v>
      </c>
      <c r="J489" s="63"/>
      <c r="K489" s="63"/>
      <c r="L489" s="64"/>
      <c r="M489" s="64"/>
      <c r="N489" s="64"/>
      <c r="O489" s="65"/>
      <c r="P489" s="66"/>
      <c r="Q489" s="64"/>
      <c r="R489" s="64"/>
      <c r="S489" s="62"/>
      <c r="T489" s="62"/>
      <c r="U489" s="62"/>
      <c r="V489" s="62"/>
      <c r="W489" s="62"/>
      <c r="X489" s="62"/>
      <c r="Y489" s="62"/>
      <c r="Z489" s="62"/>
      <c r="AA489" s="62"/>
      <c r="AB489" s="62"/>
      <c r="AC489" s="62"/>
      <c r="AD489" s="62"/>
      <c r="AE489" s="62"/>
      <c r="AF489" s="62"/>
      <c r="AG489" s="62"/>
      <c r="AH489" s="62"/>
      <c r="AI489" s="62"/>
      <c r="AJ489" s="62"/>
      <c r="AK489" s="62"/>
      <c r="AL489" s="62"/>
      <c r="AM489" s="62"/>
      <c r="AN489" s="62"/>
      <c r="AO489" s="62"/>
      <c r="AP489" s="62"/>
      <c r="AQ489" s="62"/>
      <c r="AR489" s="62"/>
      <c r="AS489" s="62"/>
      <c r="AT489" s="62"/>
      <c r="AU489" s="62"/>
      <c r="AV489" s="62"/>
      <c r="AW489" s="62"/>
      <c r="AX489" s="62"/>
      <c r="AY489" s="62"/>
      <c r="AZ489" s="62"/>
      <c r="BA489" s="62"/>
      <c r="BB489" s="62"/>
    </row>
    <row r="490" spans="1:54">
      <c r="A490" s="223">
        <v>43470</v>
      </c>
      <c r="B490" s="285">
        <v>2.299E-2</v>
      </c>
      <c r="C490" s="2" t="s">
        <v>8</v>
      </c>
      <c r="D490" s="2">
        <v>9088</v>
      </c>
      <c r="E490" s="31"/>
      <c r="F490" s="284">
        <v>43468</v>
      </c>
      <c r="G490" s="280">
        <v>2.2530000000000001E-2</v>
      </c>
      <c r="H490" s="291">
        <f t="shared" ref="H490:H553" si="0">G490+1%</f>
        <v>3.2530000000000003E-2</v>
      </c>
      <c r="I490" s="280">
        <f t="shared" ref="I490:I553" si="1">G490-1%</f>
        <v>1.2530000000000001E-2</v>
      </c>
      <c r="J490" s="25"/>
      <c r="K490" s="25"/>
      <c r="O490" s="14"/>
      <c r="P490" s="24"/>
    </row>
    <row r="491" spans="1:54">
      <c r="A491" s="223">
        <v>43471</v>
      </c>
      <c r="B491" s="285">
        <v>2.299E-2</v>
      </c>
      <c r="C491" s="2" t="s">
        <v>8</v>
      </c>
      <c r="D491" s="2">
        <v>9088</v>
      </c>
      <c r="E491" s="31"/>
      <c r="F491" s="284">
        <v>43469</v>
      </c>
      <c r="G491" s="280">
        <v>2.299E-2</v>
      </c>
      <c r="H491" s="291">
        <f t="shared" si="0"/>
        <v>3.2989999999999998E-2</v>
      </c>
      <c r="I491" s="280">
        <f t="shared" si="1"/>
        <v>1.299E-2</v>
      </c>
      <c r="J491" s="25"/>
      <c r="K491" s="25"/>
      <c r="O491" s="14"/>
      <c r="P491" s="24"/>
    </row>
    <row r="492" spans="1:54">
      <c r="A492" s="223">
        <v>43472</v>
      </c>
      <c r="B492" s="285">
        <v>2.308E-2</v>
      </c>
      <c r="C492" s="2">
        <v>4334</v>
      </c>
      <c r="D492" s="2">
        <v>10054</v>
      </c>
      <c r="E492" s="31"/>
      <c r="F492" s="284">
        <v>43470</v>
      </c>
      <c r="G492" s="280">
        <v>2.299E-2</v>
      </c>
      <c r="H492" s="291">
        <f t="shared" si="0"/>
        <v>3.2989999999999998E-2</v>
      </c>
      <c r="I492" s="280">
        <f t="shared" si="1"/>
        <v>1.299E-2</v>
      </c>
      <c r="J492" s="25"/>
      <c r="K492" s="25"/>
      <c r="O492" s="14"/>
      <c r="P492" s="24"/>
    </row>
    <row r="493" spans="1:54">
      <c r="A493" s="223">
        <v>43473</v>
      </c>
      <c r="B493" s="285">
        <v>2.3019999999999999E-2</v>
      </c>
      <c r="C493" s="2">
        <v>4298</v>
      </c>
      <c r="D493" s="2">
        <v>10038</v>
      </c>
      <c r="E493" s="31"/>
      <c r="F493" s="284">
        <v>43471</v>
      </c>
      <c r="G493" s="280">
        <v>2.299E-2</v>
      </c>
      <c r="H493" s="291">
        <f t="shared" si="0"/>
        <v>3.2989999999999998E-2</v>
      </c>
      <c r="I493" s="280">
        <f t="shared" si="1"/>
        <v>1.299E-2</v>
      </c>
      <c r="J493" s="25"/>
      <c r="K493" s="25"/>
      <c r="O493" s="14"/>
      <c r="P493" s="24"/>
    </row>
    <row r="494" spans="1:54">
      <c r="A494" s="223">
        <v>43474</v>
      </c>
      <c r="B494" s="285">
        <v>2.3029999999999998E-2</v>
      </c>
      <c r="C494" s="2">
        <v>5768</v>
      </c>
      <c r="D494" s="2">
        <v>10813</v>
      </c>
      <c r="E494" s="31"/>
      <c r="F494" s="284">
        <v>43472</v>
      </c>
      <c r="G494" s="280">
        <v>2.308E-2</v>
      </c>
      <c r="H494" s="291">
        <f t="shared" si="0"/>
        <v>3.3079999999999998E-2</v>
      </c>
      <c r="I494" s="280">
        <f t="shared" si="1"/>
        <v>1.308E-2</v>
      </c>
      <c r="J494" s="25"/>
      <c r="K494" s="25"/>
      <c r="O494" s="14"/>
      <c r="P494" s="24"/>
    </row>
    <row r="495" spans="1:54">
      <c r="A495" s="223">
        <v>43475</v>
      </c>
      <c r="B495" s="285">
        <v>2.2880000000000001E-2</v>
      </c>
      <c r="C495" s="2">
        <v>4717</v>
      </c>
      <c r="D495" s="2">
        <v>9962</v>
      </c>
      <c r="E495" s="31"/>
      <c r="F495" s="284">
        <v>43473</v>
      </c>
      <c r="G495" s="280">
        <v>2.3019999999999999E-2</v>
      </c>
      <c r="H495" s="291">
        <f t="shared" si="0"/>
        <v>3.3020000000000001E-2</v>
      </c>
      <c r="I495" s="280">
        <f t="shared" si="1"/>
        <v>1.3019999999999999E-2</v>
      </c>
      <c r="J495" s="25"/>
      <c r="K495" s="25"/>
      <c r="O495" s="14"/>
      <c r="P495" s="24"/>
    </row>
    <row r="496" spans="1:54">
      <c r="A496" s="223">
        <v>43476</v>
      </c>
      <c r="B496" s="285">
        <v>2.2880000000000001E-2</v>
      </c>
      <c r="C496" s="2" t="s">
        <v>8</v>
      </c>
      <c r="D496" s="2">
        <v>9962</v>
      </c>
      <c r="E496" s="31"/>
      <c r="F496" s="284">
        <v>43474</v>
      </c>
      <c r="G496" s="280">
        <v>2.3029999999999998E-2</v>
      </c>
      <c r="H496" s="291">
        <f t="shared" si="0"/>
        <v>3.3029999999999997E-2</v>
      </c>
      <c r="I496" s="280">
        <f t="shared" si="1"/>
        <v>1.3029999999999998E-2</v>
      </c>
      <c r="J496" s="25"/>
      <c r="K496" s="25"/>
      <c r="O496" s="14"/>
      <c r="P496" s="24"/>
    </row>
    <row r="497" spans="1:16">
      <c r="A497" s="223">
        <v>43477</v>
      </c>
      <c r="B497" s="285">
        <v>2.2880000000000001E-2</v>
      </c>
      <c r="C497" s="2" t="s">
        <v>8</v>
      </c>
      <c r="D497" s="2">
        <v>9962</v>
      </c>
      <c r="E497" s="31"/>
      <c r="F497" s="284">
        <v>43475</v>
      </c>
      <c r="G497" s="280">
        <v>2.2880000000000001E-2</v>
      </c>
      <c r="H497" s="291">
        <f t="shared" si="0"/>
        <v>3.288E-2</v>
      </c>
      <c r="I497" s="280">
        <f t="shared" si="1"/>
        <v>1.2880000000000001E-2</v>
      </c>
      <c r="J497" s="25"/>
      <c r="K497" s="25"/>
      <c r="O497" s="14"/>
      <c r="P497" s="24"/>
    </row>
    <row r="498" spans="1:16">
      <c r="A498" s="223">
        <v>43478</v>
      </c>
      <c r="B498" s="285">
        <v>2.2880000000000001E-2</v>
      </c>
      <c r="C498" s="2" t="s">
        <v>8</v>
      </c>
      <c r="D498" s="2">
        <v>9962</v>
      </c>
      <c r="E498" s="31"/>
      <c r="F498" s="284">
        <v>43476</v>
      </c>
      <c r="G498" s="280">
        <v>2.2880000000000001E-2</v>
      </c>
      <c r="H498" s="291">
        <f t="shared" si="0"/>
        <v>3.288E-2</v>
      </c>
      <c r="I498" s="280">
        <f t="shared" si="1"/>
        <v>1.2880000000000001E-2</v>
      </c>
      <c r="J498" s="25"/>
      <c r="K498" s="25"/>
      <c r="O498" s="14"/>
      <c r="P498" s="24"/>
    </row>
    <row r="499" spans="1:16">
      <c r="A499" s="223">
        <v>43479</v>
      </c>
      <c r="B499" s="285">
        <v>2.3089999999999999E-2</v>
      </c>
      <c r="C499" s="2">
        <v>4718</v>
      </c>
      <c r="D499" s="2">
        <v>9313</v>
      </c>
      <c r="E499" s="31"/>
      <c r="F499" s="284">
        <v>43477</v>
      </c>
      <c r="G499" s="280">
        <v>2.2880000000000001E-2</v>
      </c>
      <c r="H499" s="291">
        <f t="shared" si="0"/>
        <v>3.288E-2</v>
      </c>
      <c r="I499" s="280">
        <f t="shared" si="1"/>
        <v>1.2880000000000001E-2</v>
      </c>
      <c r="J499" s="25"/>
      <c r="K499" s="25"/>
      <c r="O499" s="14"/>
      <c r="P499" s="24"/>
    </row>
    <row r="500" spans="1:16">
      <c r="A500" s="223">
        <v>43480</v>
      </c>
      <c r="B500" s="285">
        <v>2.3E-2</v>
      </c>
      <c r="C500" s="2">
        <v>5148</v>
      </c>
      <c r="D500" s="2">
        <v>9743</v>
      </c>
      <c r="E500" s="31"/>
      <c r="F500" s="284">
        <v>43478</v>
      </c>
      <c r="G500" s="280">
        <v>2.2880000000000001E-2</v>
      </c>
      <c r="H500" s="291">
        <f t="shared" si="0"/>
        <v>3.288E-2</v>
      </c>
      <c r="I500" s="280">
        <f t="shared" si="1"/>
        <v>1.2880000000000001E-2</v>
      </c>
      <c r="J500" s="25"/>
      <c r="K500" s="25"/>
      <c r="O500" s="14"/>
      <c r="P500" s="24"/>
    </row>
    <row r="501" spans="1:16">
      <c r="A501" s="223">
        <v>43481</v>
      </c>
      <c r="B501" s="285">
        <v>2.2749999999999999E-2</v>
      </c>
      <c r="C501" s="2">
        <v>4868</v>
      </c>
      <c r="D501" s="2">
        <v>9158</v>
      </c>
      <c r="E501" s="31"/>
      <c r="F501" s="284">
        <v>43479</v>
      </c>
      <c r="G501" s="280">
        <v>2.3089999999999999E-2</v>
      </c>
      <c r="H501" s="291">
        <f t="shared" si="0"/>
        <v>3.3090000000000001E-2</v>
      </c>
      <c r="I501" s="280">
        <f t="shared" si="1"/>
        <v>1.3089999999999999E-2</v>
      </c>
      <c r="J501" s="25"/>
      <c r="K501" s="25"/>
      <c r="O501" s="14"/>
      <c r="P501" s="24"/>
    </row>
    <row r="502" spans="1:16">
      <c r="A502" s="223">
        <v>43482</v>
      </c>
      <c r="B502" s="285">
        <v>2.2929999999999999E-2</v>
      </c>
      <c r="C502" s="2">
        <v>4803</v>
      </c>
      <c r="D502" s="2">
        <v>9593</v>
      </c>
      <c r="E502" s="31"/>
      <c r="F502" s="284">
        <v>43480</v>
      </c>
      <c r="G502" s="280">
        <v>2.3E-2</v>
      </c>
      <c r="H502" s="291">
        <f t="shared" si="0"/>
        <v>3.3000000000000002E-2</v>
      </c>
      <c r="I502" s="280">
        <f t="shared" si="1"/>
        <v>1.2999999999999999E-2</v>
      </c>
      <c r="J502" s="25"/>
      <c r="K502" s="25"/>
      <c r="O502" s="14"/>
      <c r="P502" s="24"/>
    </row>
    <row r="503" spans="1:16">
      <c r="A503" s="223">
        <v>43483</v>
      </c>
      <c r="B503" s="285">
        <v>2.2679999999999999E-2</v>
      </c>
      <c r="C503" s="2">
        <v>3278</v>
      </c>
      <c r="D503" s="2">
        <v>8158</v>
      </c>
      <c r="E503" s="31"/>
      <c r="F503" s="284">
        <v>43481</v>
      </c>
      <c r="G503" s="280">
        <v>2.2749999999999999E-2</v>
      </c>
      <c r="H503" s="291">
        <f t="shared" si="0"/>
        <v>3.2750000000000001E-2</v>
      </c>
      <c r="I503" s="280">
        <f t="shared" si="1"/>
        <v>1.2749999999999999E-2</v>
      </c>
      <c r="J503" s="25"/>
      <c r="K503" s="25"/>
      <c r="O503" s="14"/>
      <c r="P503" s="24"/>
    </row>
    <row r="504" spans="1:16">
      <c r="A504" s="223">
        <v>43484</v>
      </c>
      <c r="B504" s="285">
        <v>2.2679999999999999E-2</v>
      </c>
      <c r="C504" s="2" t="s">
        <v>8</v>
      </c>
      <c r="D504" s="2">
        <v>8158</v>
      </c>
      <c r="E504" s="31"/>
      <c r="F504" s="284">
        <v>43482</v>
      </c>
      <c r="G504" s="280">
        <v>2.2929999999999999E-2</v>
      </c>
      <c r="H504" s="291">
        <f t="shared" si="0"/>
        <v>3.2930000000000001E-2</v>
      </c>
      <c r="I504" s="280">
        <f t="shared" si="1"/>
        <v>1.2929999999999999E-2</v>
      </c>
      <c r="J504" s="25"/>
      <c r="K504" s="25"/>
      <c r="O504" s="14"/>
      <c r="P504" s="24"/>
    </row>
    <row r="505" spans="1:16">
      <c r="A505" s="223">
        <v>43485</v>
      </c>
      <c r="B505" s="285">
        <v>2.2679999999999999E-2</v>
      </c>
      <c r="C505" s="2" t="s">
        <v>8</v>
      </c>
      <c r="D505" s="2">
        <v>8158</v>
      </c>
      <c r="E505" s="31"/>
      <c r="F505" s="284">
        <v>43483</v>
      </c>
      <c r="G505" s="280">
        <v>2.2679999999999999E-2</v>
      </c>
      <c r="H505" s="291">
        <f t="shared" si="0"/>
        <v>3.2680000000000001E-2</v>
      </c>
      <c r="I505" s="280">
        <f t="shared" si="1"/>
        <v>1.2679999999999999E-2</v>
      </c>
      <c r="J505" s="25"/>
      <c r="K505" s="25"/>
      <c r="O505" s="14"/>
      <c r="P505" s="24"/>
    </row>
    <row r="506" spans="1:16">
      <c r="A506" s="223">
        <v>43486</v>
      </c>
      <c r="B506" s="285">
        <v>2.265E-2</v>
      </c>
      <c r="C506" s="2">
        <v>2558</v>
      </c>
      <c r="D506" s="2">
        <v>8038</v>
      </c>
      <c r="E506" s="31"/>
      <c r="F506" s="284">
        <v>43484</v>
      </c>
      <c r="G506" s="280">
        <v>2.2679999999999999E-2</v>
      </c>
      <c r="H506" s="291">
        <f t="shared" si="0"/>
        <v>3.2680000000000001E-2</v>
      </c>
      <c r="I506" s="280">
        <f t="shared" si="1"/>
        <v>1.2679999999999999E-2</v>
      </c>
      <c r="J506" s="25"/>
      <c r="K506" s="25"/>
      <c r="O506" s="14"/>
      <c r="P506" s="24"/>
    </row>
    <row r="507" spans="1:16">
      <c r="A507" s="223">
        <v>43487</v>
      </c>
      <c r="B507" s="285">
        <v>2.2610000000000002E-2</v>
      </c>
      <c r="C507" s="2">
        <v>3680</v>
      </c>
      <c r="D507" s="2">
        <v>9160</v>
      </c>
      <c r="E507" s="31"/>
      <c r="F507" s="284">
        <v>43485</v>
      </c>
      <c r="G507" s="280">
        <v>2.2679999999999999E-2</v>
      </c>
      <c r="H507" s="291">
        <f t="shared" si="0"/>
        <v>3.2680000000000001E-2</v>
      </c>
      <c r="I507" s="280">
        <f t="shared" si="1"/>
        <v>1.2679999999999999E-2</v>
      </c>
      <c r="J507" s="25"/>
      <c r="K507" s="25"/>
      <c r="O507" s="14"/>
      <c r="P507" s="24"/>
    </row>
    <row r="508" spans="1:16">
      <c r="A508" s="223">
        <v>43488</v>
      </c>
      <c r="B508" s="285">
        <v>2.2630000000000001E-2</v>
      </c>
      <c r="C508" s="2">
        <v>3427</v>
      </c>
      <c r="D508" s="2">
        <v>8917</v>
      </c>
      <c r="E508" s="31"/>
      <c r="F508" s="284">
        <v>43486</v>
      </c>
      <c r="G508" s="280">
        <v>2.265E-2</v>
      </c>
      <c r="H508" s="291">
        <f t="shared" si="0"/>
        <v>3.2649999999999998E-2</v>
      </c>
      <c r="I508" s="280">
        <f t="shared" si="1"/>
        <v>1.265E-2</v>
      </c>
      <c r="J508" s="25"/>
      <c r="K508" s="25"/>
      <c r="O508" s="14"/>
      <c r="P508" s="24"/>
    </row>
    <row r="509" spans="1:16">
      <c r="A509" s="223">
        <v>43489</v>
      </c>
      <c r="B509" s="285">
        <v>2.265E-2</v>
      </c>
      <c r="C509" s="2">
        <v>3819</v>
      </c>
      <c r="D509" s="2">
        <v>9959</v>
      </c>
      <c r="E509" s="31"/>
      <c r="F509" s="284">
        <v>43487</v>
      </c>
      <c r="G509" s="280">
        <v>2.2610000000000002E-2</v>
      </c>
      <c r="H509" s="291">
        <f t="shared" si="0"/>
        <v>3.261E-2</v>
      </c>
      <c r="I509" s="280">
        <f t="shared" si="1"/>
        <v>1.2610000000000001E-2</v>
      </c>
      <c r="J509" s="25"/>
      <c r="K509" s="25"/>
      <c r="O509" s="14"/>
      <c r="P509" s="24"/>
    </row>
    <row r="510" spans="1:16">
      <c r="A510" s="223">
        <v>43490</v>
      </c>
      <c r="B510" s="285">
        <v>2.273E-2</v>
      </c>
      <c r="C510" s="2">
        <v>2242</v>
      </c>
      <c r="D510" s="2">
        <v>8382</v>
      </c>
      <c r="E510" s="31"/>
      <c r="F510" s="284">
        <v>43488</v>
      </c>
      <c r="G510" s="280">
        <v>2.2630000000000001E-2</v>
      </c>
      <c r="H510" s="291">
        <f t="shared" si="0"/>
        <v>3.2629999999999999E-2</v>
      </c>
      <c r="I510" s="280">
        <f t="shared" si="1"/>
        <v>1.2630000000000001E-2</v>
      </c>
      <c r="J510" s="25"/>
      <c r="K510" s="25"/>
      <c r="O510" s="14"/>
      <c r="P510" s="24"/>
    </row>
    <row r="511" spans="1:16">
      <c r="A511" s="223">
        <v>43491</v>
      </c>
      <c r="B511" s="285">
        <v>2.273E-2</v>
      </c>
      <c r="C511" s="2" t="s">
        <v>8</v>
      </c>
      <c r="D511" s="2">
        <v>8382</v>
      </c>
      <c r="E511" s="31"/>
      <c r="F511" s="284">
        <v>43489</v>
      </c>
      <c r="G511" s="280">
        <v>2.265E-2</v>
      </c>
      <c r="H511" s="291">
        <f t="shared" si="0"/>
        <v>3.2649999999999998E-2</v>
      </c>
      <c r="I511" s="280">
        <f t="shared" si="1"/>
        <v>1.265E-2</v>
      </c>
      <c r="J511" s="25"/>
      <c r="K511" s="25"/>
      <c r="O511" s="14"/>
      <c r="P511" s="24"/>
    </row>
    <row r="512" spans="1:16">
      <c r="A512" s="223">
        <v>43492</v>
      </c>
      <c r="B512" s="285">
        <v>2.273E-2</v>
      </c>
      <c r="C512" s="2" t="s">
        <v>8</v>
      </c>
      <c r="D512" s="2">
        <v>8382</v>
      </c>
      <c r="E512" s="31"/>
      <c r="F512" s="284">
        <v>43490</v>
      </c>
      <c r="G512" s="280">
        <v>2.273E-2</v>
      </c>
      <c r="H512" s="291">
        <f t="shared" si="0"/>
        <v>3.2730000000000002E-2</v>
      </c>
      <c r="I512" s="280">
        <f t="shared" si="1"/>
        <v>1.273E-2</v>
      </c>
      <c r="J512" s="25"/>
      <c r="K512" s="25"/>
      <c r="O512" s="14"/>
      <c r="P512" s="24"/>
    </row>
    <row r="513" spans="1:16">
      <c r="A513" s="223">
        <v>43493</v>
      </c>
      <c r="B513" s="285">
        <v>2.282E-2</v>
      </c>
      <c r="C513" s="2">
        <v>3846</v>
      </c>
      <c r="D513" s="2">
        <v>9386</v>
      </c>
      <c r="E513" s="31"/>
      <c r="F513" s="284">
        <v>43491</v>
      </c>
      <c r="G513" s="280">
        <v>2.273E-2</v>
      </c>
      <c r="H513" s="291">
        <f t="shared" si="0"/>
        <v>3.2730000000000002E-2</v>
      </c>
      <c r="I513" s="280">
        <f t="shared" si="1"/>
        <v>1.273E-2</v>
      </c>
      <c r="J513" s="25"/>
      <c r="K513" s="25"/>
      <c r="O513" s="14"/>
      <c r="P513" s="24"/>
    </row>
    <row r="514" spans="1:16">
      <c r="A514" s="223">
        <v>43494</v>
      </c>
      <c r="B514" s="285">
        <v>2.2970000000000001E-2</v>
      </c>
      <c r="C514" s="2">
        <v>3376</v>
      </c>
      <c r="D514" s="2">
        <v>8946</v>
      </c>
      <c r="E514" s="31"/>
      <c r="F514" s="284">
        <v>43492</v>
      </c>
      <c r="G514" s="280">
        <v>2.273E-2</v>
      </c>
      <c r="H514" s="291">
        <f t="shared" si="0"/>
        <v>3.2730000000000002E-2</v>
      </c>
      <c r="I514" s="280">
        <f t="shared" si="1"/>
        <v>1.273E-2</v>
      </c>
      <c r="J514" s="25"/>
      <c r="K514" s="25"/>
      <c r="O514" s="14"/>
      <c r="P514" s="24"/>
    </row>
    <row r="515" spans="1:16">
      <c r="A515" s="223">
        <v>43495</v>
      </c>
      <c r="B515" s="285">
        <v>2.2960000000000001E-2</v>
      </c>
      <c r="C515" s="2">
        <v>3850</v>
      </c>
      <c r="D515" s="2">
        <v>9425</v>
      </c>
      <c r="E515" s="31"/>
      <c r="F515" s="284">
        <v>43493</v>
      </c>
      <c r="G515" s="280">
        <v>2.282E-2</v>
      </c>
      <c r="H515" s="291">
        <f t="shared" si="0"/>
        <v>3.2820000000000002E-2</v>
      </c>
      <c r="I515" s="280">
        <f t="shared" si="1"/>
        <v>1.282E-2</v>
      </c>
      <c r="J515" s="25"/>
      <c r="K515" s="25"/>
      <c r="O515" s="14"/>
      <c r="P515" s="24"/>
    </row>
    <row r="516" spans="1:16">
      <c r="A516" s="223">
        <v>43496</v>
      </c>
      <c r="B516" s="285">
        <v>2.3040000000000001E-2</v>
      </c>
      <c r="C516" s="2">
        <v>2901</v>
      </c>
      <c r="D516" s="2">
        <v>8746</v>
      </c>
      <c r="E516" s="31"/>
      <c r="F516" s="284">
        <v>43494</v>
      </c>
      <c r="G516" s="280">
        <v>2.2970000000000001E-2</v>
      </c>
      <c r="H516" s="291">
        <f t="shared" si="0"/>
        <v>3.2969999999999999E-2</v>
      </c>
      <c r="I516" s="280">
        <f t="shared" si="1"/>
        <v>1.2970000000000001E-2</v>
      </c>
      <c r="J516" s="25"/>
      <c r="K516" s="25"/>
      <c r="O516" s="14"/>
      <c r="P516" s="24"/>
    </row>
    <row r="517" spans="1:16">
      <c r="A517" s="223">
        <v>43497</v>
      </c>
      <c r="B517" s="285">
        <v>2.2939999999999999E-2</v>
      </c>
      <c r="C517" s="2">
        <v>4236</v>
      </c>
      <c r="D517" s="2">
        <v>10481</v>
      </c>
      <c r="E517" s="31"/>
      <c r="F517" s="284">
        <v>43495</v>
      </c>
      <c r="G517" s="280">
        <v>2.2960000000000001E-2</v>
      </c>
      <c r="H517" s="291">
        <f t="shared" si="0"/>
        <v>3.2960000000000003E-2</v>
      </c>
      <c r="I517" s="280">
        <f t="shared" si="1"/>
        <v>1.2960000000000001E-2</v>
      </c>
      <c r="J517" s="25"/>
      <c r="K517" s="25"/>
      <c r="O517" s="14"/>
      <c r="P517" s="24"/>
    </row>
    <row r="518" spans="1:16">
      <c r="A518" s="223">
        <v>43498</v>
      </c>
      <c r="B518" s="285">
        <v>2.2939999999999999E-2</v>
      </c>
      <c r="C518" s="2" t="s">
        <v>8</v>
      </c>
      <c r="D518" s="2">
        <v>10481</v>
      </c>
      <c r="E518" s="31"/>
      <c r="F518" s="284">
        <v>43496</v>
      </c>
      <c r="G518" s="280">
        <v>2.3040000000000001E-2</v>
      </c>
      <c r="H518" s="291">
        <f t="shared" si="0"/>
        <v>3.304E-2</v>
      </c>
      <c r="I518" s="280">
        <f t="shared" si="1"/>
        <v>1.3040000000000001E-2</v>
      </c>
      <c r="J518" s="25"/>
      <c r="K518" s="25"/>
      <c r="O518" s="14"/>
      <c r="P518" s="24"/>
    </row>
    <row r="519" spans="1:16">
      <c r="A519" s="223">
        <v>43499</v>
      </c>
      <c r="B519" s="285">
        <v>2.2939999999999999E-2</v>
      </c>
      <c r="C519" s="2" t="s">
        <v>8</v>
      </c>
      <c r="D519" s="2">
        <v>10481</v>
      </c>
      <c r="E519" s="31"/>
      <c r="F519" s="284">
        <v>43497</v>
      </c>
      <c r="G519" s="280">
        <v>2.2939999999999999E-2</v>
      </c>
      <c r="H519" s="291">
        <f t="shared" si="0"/>
        <v>3.2939999999999997E-2</v>
      </c>
      <c r="I519" s="280">
        <f t="shared" si="1"/>
        <v>1.2939999999999998E-2</v>
      </c>
      <c r="J519" s="25"/>
      <c r="K519" s="25"/>
      <c r="O519" s="14"/>
      <c r="P519" s="24"/>
    </row>
    <row r="520" spans="1:16">
      <c r="A520" s="223">
        <v>43500</v>
      </c>
      <c r="B520" s="285">
        <v>2.265E-2</v>
      </c>
      <c r="C520" s="2">
        <v>2764</v>
      </c>
      <c r="D520" s="2">
        <v>8359</v>
      </c>
      <c r="E520" s="31"/>
      <c r="F520" s="284">
        <v>43498</v>
      </c>
      <c r="G520" s="280">
        <v>2.2939999999999999E-2</v>
      </c>
      <c r="H520" s="291">
        <f t="shared" si="0"/>
        <v>3.2939999999999997E-2</v>
      </c>
      <c r="I520" s="280">
        <f t="shared" si="1"/>
        <v>1.2939999999999998E-2</v>
      </c>
      <c r="J520" s="25"/>
      <c r="K520" s="25"/>
      <c r="O520" s="14"/>
      <c r="P520" s="24"/>
    </row>
    <row r="521" spans="1:16">
      <c r="A521" s="223">
        <v>43501</v>
      </c>
      <c r="B521" s="285">
        <v>2.2630000000000001E-2</v>
      </c>
      <c r="C521" s="2">
        <v>3187</v>
      </c>
      <c r="D521" s="2">
        <v>8782</v>
      </c>
      <c r="E521" s="31"/>
      <c r="F521" s="284">
        <v>43499</v>
      </c>
      <c r="G521" s="280">
        <v>2.2939999999999999E-2</v>
      </c>
      <c r="H521" s="291">
        <f t="shared" si="0"/>
        <v>3.2939999999999997E-2</v>
      </c>
      <c r="I521" s="280">
        <f t="shared" si="1"/>
        <v>1.2939999999999998E-2</v>
      </c>
      <c r="J521" s="25"/>
      <c r="K521" s="25"/>
      <c r="O521" s="14"/>
      <c r="P521" s="24"/>
    </row>
    <row r="522" spans="1:16">
      <c r="A522" s="223">
        <v>43502</v>
      </c>
      <c r="B522" s="285">
        <v>2.2599999999999999E-2</v>
      </c>
      <c r="C522" s="2">
        <v>2751</v>
      </c>
      <c r="D522" s="2">
        <v>7886</v>
      </c>
      <c r="E522" s="31"/>
      <c r="F522" s="284">
        <v>43500</v>
      </c>
      <c r="G522" s="280">
        <v>2.265E-2</v>
      </c>
      <c r="H522" s="291">
        <f t="shared" si="0"/>
        <v>3.2649999999999998E-2</v>
      </c>
      <c r="I522" s="280">
        <f t="shared" si="1"/>
        <v>1.265E-2</v>
      </c>
      <c r="J522" s="25"/>
      <c r="K522" s="25"/>
      <c r="O522" s="14"/>
      <c r="P522" s="24"/>
    </row>
    <row r="523" spans="1:16">
      <c r="A523" s="223">
        <v>43503</v>
      </c>
      <c r="B523" s="285">
        <v>2.2630000000000001E-2</v>
      </c>
      <c r="C523" s="2">
        <v>3199</v>
      </c>
      <c r="D523" s="2">
        <v>8134</v>
      </c>
      <c r="E523" s="31"/>
      <c r="F523" s="284">
        <v>43501</v>
      </c>
      <c r="G523" s="280">
        <v>2.2630000000000001E-2</v>
      </c>
      <c r="H523" s="291">
        <f t="shared" si="0"/>
        <v>3.2629999999999999E-2</v>
      </c>
      <c r="I523" s="280">
        <f t="shared" si="1"/>
        <v>1.2630000000000001E-2</v>
      </c>
      <c r="J523" s="25"/>
      <c r="K523" s="25"/>
      <c r="O523" s="14"/>
      <c r="P523" s="24"/>
    </row>
    <row r="524" spans="1:16">
      <c r="A524" s="223">
        <v>43504</v>
      </c>
      <c r="B524" s="285">
        <v>2.256E-2</v>
      </c>
      <c r="C524" s="2">
        <v>2011</v>
      </c>
      <c r="D524" s="2">
        <v>6946</v>
      </c>
      <c r="E524" s="31"/>
      <c r="F524" s="284">
        <v>43502</v>
      </c>
      <c r="G524" s="280">
        <v>2.2599999999999999E-2</v>
      </c>
      <c r="H524" s="291">
        <f t="shared" si="0"/>
        <v>3.2599999999999997E-2</v>
      </c>
      <c r="I524" s="280">
        <f t="shared" si="1"/>
        <v>1.2599999999999998E-2</v>
      </c>
      <c r="J524" s="25"/>
      <c r="K524" s="25"/>
      <c r="O524" s="14"/>
      <c r="P524" s="24"/>
    </row>
    <row r="525" spans="1:16">
      <c r="A525" s="223">
        <v>43505</v>
      </c>
      <c r="B525" s="285">
        <v>2.256E-2</v>
      </c>
      <c r="C525" s="2" t="s">
        <v>8</v>
      </c>
      <c r="D525" s="2">
        <v>6946</v>
      </c>
      <c r="E525" s="31"/>
      <c r="F525" s="284">
        <v>43503</v>
      </c>
      <c r="G525" s="280">
        <v>2.2630000000000001E-2</v>
      </c>
      <c r="H525" s="291">
        <f t="shared" si="0"/>
        <v>3.2629999999999999E-2</v>
      </c>
      <c r="I525" s="280">
        <f t="shared" si="1"/>
        <v>1.2630000000000001E-2</v>
      </c>
      <c r="J525" s="25"/>
      <c r="K525" s="25"/>
      <c r="O525" s="14"/>
      <c r="P525" s="24"/>
    </row>
    <row r="526" spans="1:16">
      <c r="A526" s="223">
        <v>43506</v>
      </c>
      <c r="B526" s="285">
        <v>2.256E-2</v>
      </c>
      <c r="C526" s="2" t="s">
        <v>8</v>
      </c>
      <c r="D526" s="2">
        <v>6946</v>
      </c>
      <c r="E526" s="31"/>
      <c r="F526" s="284">
        <v>43504</v>
      </c>
      <c r="G526" s="280">
        <v>2.256E-2</v>
      </c>
      <c r="H526" s="291">
        <f t="shared" si="0"/>
        <v>3.2559999999999999E-2</v>
      </c>
      <c r="I526" s="280">
        <f t="shared" si="1"/>
        <v>1.256E-2</v>
      </c>
      <c r="J526" s="25"/>
      <c r="K526" s="25"/>
      <c r="O526" s="14"/>
      <c r="P526" s="24"/>
    </row>
    <row r="527" spans="1:16">
      <c r="A527" s="223">
        <v>43507</v>
      </c>
      <c r="B527" s="285">
        <v>2.2530000000000001E-2</v>
      </c>
      <c r="C527" s="2">
        <v>1990</v>
      </c>
      <c r="D527" s="2">
        <v>6435</v>
      </c>
      <c r="E527" s="31"/>
      <c r="F527" s="284">
        <v>43505</v>
      </c>
      <c r="G527" s="280">
        <v>2.256E-2</v>
      </c>
      <c r="H527" s="291">
        <f t="shared" si="0"/>
        <v>3.2559999999999999E-2</v>
      </c>
      <c r="I527" s="280">
        <f t="shared" si="1"/>
        <v>1.256E-2</v>
      </c>
      <c r="J527" s="25"/>
      <c r="K527" s="25"/>
      <c r="O527" s="14"/>
      <c r="P527" s="24"/>
    </row>
    <row r="528" spans="1:16">
      <c r="A528" s="223">
        <v>43508</v>
      </c>
      <c r="B528" s="285">
        <v>2.2519999999999998E-2</v>
      </c>
      <c r="C528" s="2">
        <v>2006</v>
      </c>
      <c r="D528" s="2">
        <v>6781</v>
      </c>
      <c r="E528" s="31"/>
      <c r="F528" s="284">
        <v>43506</v>
      </c>
      <c r="G528" s="280">
        <v>2.256E-2</v>
      </c>
      <c r="H528" s="291">
        <f t="shared" si="0"/>
        <v>3.2559999999999999E-2</v>
      </c>
      <c r="I528" s="280">
        <f t="shared" si="1"/>
        <v>1.256E-2</v>
      </c>
      <c r="J528" s="25"/>
      <c r="K528" s="25"/>
      <c r="O528" s="14"/>
      <c r="P528" s="24"/>
    </row>
    <row r="529" spans="1:16">
      <c r="A529" s="223">
        <v>43509</v>
      </c>
      <c r="B529" s="285">
        <v>2.2519999999999998E-2</v>
      </c>
      <c r="C529" s="2">
        <v>2081</v>
      </c>
      <c r="D529" s="2">
        <v>7206</v>
      </c>
      <c r="E529" s="31"/>
      <c r="F529" s="284">
        <v>43507</v>
      </c>
      <c r="G529" s="280">
        <v>2.2530000000000001E-2</v>
      </c>
      <c r="H529" s="291">
        <f t="shared" si="0"/>
        <v>3.2530000000000003E-2</v>
      </c>
      <c r="I529" s="280">
        <f t="shared" si="1"/>
        <v>1.2530000000000001E-2</v>
      </c>
      <c r="J529" s="25"/>
      <c r="K529" s="25"/>
      <c r="O529" s="14"/>
      <c r="P529" s="24"/>
    </row>
    <row r="530" spans="1:16">
      <c r="A530" s="223">
        <v>43510</v>
      </c>
      <c r="B530" s="285">
        <v>2.2550000000000001E-2</v>
      </c>
      <c r="C530" s="2">
        <v>3714</v>
      </c>
      <c r="D530" s="2">
        <v>8139</v>
      </c>
      <c r="E530" s="31"/>
      <c r="F530" s="284">
        <v>43508</v>
      </c>
      <c r="G530" s="280">
        <v>2.2519999999999998E-2</v>
      </c>
      <c r="H530" s="291">
        <f t="shared" si="0"/>
        <v>3.252E-2</v>
      </c>
      <c r="I530" s="280">
        <f t="shared" si="1"/>
        <v>1.2519999999999998E-2</v>
      </c>
      <c r="J530" s="25"/>
      <c r="K530" s="25"/>
      <c r="O530" s="14"/>
      <c r="P530" s="24"/>
    </row>
    <row r="531" spans="1:16">
      <c r="A531" s="223">
        <v>43511</v>
      </c>
      <c r="B531" s="285">
        <v>2.257E-2</v>
      </c>
      <c r="C531" s="2">
        <v>2796</v>
      </c>
      <c r="D531" s="2">
        <v>7421</v>
      </c>
      <c r="E531" s="31"/>
      <c r="F531" s="284">
        <v>43509</v>
      </c>
      <c r="G531" s="280">
        <v>2.2519999999999998E-2</v>
      </c>
      <c r="H531" s="291">
        <f t="shared" si="0"/>
        <v>3.252E-2</v>
      </c>
      <c r="I531" s="280">
        <f t="shared" si="1"/>
        <v>1.2519999999999998E-2</v>
      </c>
      <c r="J531" s="25"/>
      <c r="K531" s="25"/>
      <c r="O531" s="14"/>
      <c r="P531" s="24"/>
    </row>
    <row r="532" spans="1:16">
      <c r="A532" s="223">
        <v>43512</v>
      </c>
      <c r="B532" s="285">
        <v>2.257E-2</v>
      </c>
      <c r="C532" s="2" t="s">
        <v>8</v>
      </c>
      <c r="D532" s="2">
        <v>7421</v>
      </c>
      <c r="E532" s="31"/>
      <c r="F532" s="284">
        <v>43510</v>
      </c>
      <c r="G532" s="280">
        <v>2.2550000000000001E-2</v>
      </c>
      <c r="H532" s="291">
        <f t="shared" si="0"/>
        <v>3.2550000000000003E-2</v>
      </c>
      <c r="I532" s="280">
        <f t="shared" si="1"/>
        <v>1.255E-2</v>
      </c>
      <c r="J532" s="25"/>
      <c r="K532" s="25"/>
      <c r="O532" s="14"/>
      <c r="P532" s="24"/>
    </row>
    <row r="533" spans="1:16">
      <c r="A533" s="223">
        <v>43513</v>
      </c>
      <c r="B533" s="285">
        <v>2.257E-2</v>
      </c>
      <c r="C533" s="2" t="s">
        <v>8</v>
      </c>
      <c r="D533" s="2">
        <v>7421</v>
      </c>
      <c r="E533" s="31"/>
      <c r="F533" s="284">
        <v>43511</v>
      </c>
      <c r="G533" s="280">
        <v>2.257E-2</v>
      </c>
      <c r="H533" s="291">
        <f t="shared" si="0"/>
        <v>3.2570000000000002E-2</v>
      </c>
      <c r="I533" s="280">
        <f t="shared" si="1"/>
        <v>1.257E-2</v>
      </c>
      <c r="J533" s="25"/>
      <c r="K533" s="25"/>
      <c r="O533" s="14"/>
      <c r="P533" s="24"/>
    </row>
    <row r="534" spans="1:16">
      <c r="A534" s="223">
        <v>43514</v>
      </c>
      <c r="B534" s="285">
        <v>2.274E-2</v>
      </c>
      <c r="C534" s="2">
        <v>3133</v>
      </c>
      <c r="D534" s="2">
        <v>7318</v>
      </c>
      <c r="E534" s="31"/>
      <c r="F534" s="284">
        <v>43512</v>
      </c>
      <c r="G534" s="280">
        <v>2.257E-2</v>
      </c>
      <c r="H534" s="291">
        <f t="shared" si="0"/>
        <v>3.2570000000000002E-2</v>
      </c>
      <c r="I534" s="280">
        <f t="shared" si="1"/>
        <v>1.257E-2</v>
      </c>
      <c r="J534" s="25"/>
      <c r="K534" s="25"/>
      <c r="O534" s="14"/>
      <c r="P534" s="24"/>
    </row>
    <row r="535" spans="1:16">
      <c r="A535" s="223">
        <v>43515</v>
      </c>
      <c r="B535" s="285">
        <v>2.2679999999999999E-2</v>
      </c>
      <c r="C535" s="2">
        <v>2695</v>
      </c>
      <c r="D535" s="2">
        <v>6880</v>
      </c>
      <c r="E535" s="31"/>
      <c r="F535" s="284">
        <v>43513</v>
      </c>
      <c r="G535" s="280">
        <v>2.257E-2</v>
      </c>
      <c r="H535" s="291">
        <f t="shared" si="0"/>
        <v>3.2570000000000002E-2</v>
      </c>
      <c r="I535" s="280">
        <f t="shared" si="1"/>
        <v>1.257E-2</v>
      </c>
      <c r="J535" s="25"/>
      <c r="K535" s="25"/>
      <c r="O535" s="14"/>
      <c r="P535" s="24"/>
    </row>
    <row r="536" spans="1:16">
      <c r="A536" s="223">
        <v>43516</v>
      </c>
      <c r="B536" s="285">
        <v>2.257E-2</v>
      </c>
      <c r="C536" s="2">
        <v>2716</v>
      </c>
      <c r="D536" s="2">
        <v>6871</v>
      </c>
      <c r="E536" s="31"/>
      <c r="F536" s="284">
        <v>43514</v>
      </c>
      <c r="G536" s="280">
        <v>2.274E-2</v>
      </c>
      <c r="H536" s="291">
        <f t="shared" si="0"/>
        <v>3.2739999999999998E-2</v>
      </c>
      <c r="I536" s="280">
        <f t="shared" si="1"/>
        <v>1.274E-2</v>
      </c>
      <c r="J536" s="25"/>
      <c r="K536" s="25"/>
      <c r="O536" s="14"/>
      <c r="P536" s="24"/>
    </row>
    <row r="537" spans="1:16">
      <c r="A537" s="223">
        <v>43517</v>
      </c>
      <c r="B537" s="285">
        <v>2.264E-2</v>
      </c>
      <c r="C537" s="2">
        <v>2302</v>
      </c>
      <c r="D537" s="2">
        <v>6877</v>
      </c>
      <c r="E537" s="31"/>
      <c r="F537" s="284">
        <v>43515</v>
      </c>
      <c r="G537" s="280">
        <v>2.2679999999999999E-2</v>
      </c>
      <c r="H537" s="291">
        <f t="shared" si="0"/>
        <v>3.2680000000000001E-2</v>
      </c>
      <c r="I537" s="280">
        <f t="shared" si="1"/>
        <v>1.2679999999999999E-2</v>
      </c>
      <c r="J537" s="25"/>
      <c r="K537" s="25"/>
      <c r="O537" s="14"/>
      <c r="P537" s="24"/>
    </row>
    <row r="538" spans="1:16">
      <c r="A538" s="223">
        <v>43518</v>
      </c>
      <c r="B538" s="285">
        <v>2.2589999999999999E-2</v>
      </c>
      <c r="C538" s="2">
        <v>3961</v>
      </c>
      <c r="D538" s="2">
        <v>8796</v>
      </c>
      <c r="E538" s="31"/>
      <c r="F538" s="284">
        <v>43516</v>
      </c>
      <c r="G538" s="280">
        <v>2.257E-2</v>
      </c>
      <c r="H538" s="291">
        <f t="shared" si="0"/>
        <v>3.2570000000000002E-2</v>
      </c>
      <c r="I538" s="280">
        <f t="shared" si="1"/>
        <v>1.257E-2</v>
      </c>
      <c r="J538" s="25"/>
      <c r="K538" s="25"/>
      <c r="O538" s="14"/>
      <c r="P538" s="24"/>
    </row>
    <row r="539" spans="1:16">
      <c r="A539" s="223">
        <v>43519</v>
      </c>
      <c r="B539" s="285">
        <v>2.2589999999999999E-2</v>
      </c>
      <c r="C539" s="2" t="s">
        <v>8</v>
      </c>
      <c r="D539" s="2">
        <v>8796</v>
      </c>
      <c r="E539" s="31"/>
      <c r="F539" s="284">
        <v>43517</v>
      </c>
      <c r="G539" s="280">
        <v>2.264E-2</v>
      </c>
      <c r="H539" s="291">
        <f t="shared" si="0"/>
        <v>3.2640000000000002E-2</v>
      </c>
      <c r="I539" s="280">
        <f t="shared" si="1"/>
        <v>1.264E-2</v>
      </c>
      <c r="J539" s="25"/>
      <c r="K539" s="25"/>
      <c r="O539" s="14"/>
      <c r="P539" s="24"/>
    </row>
    <row r="540" spans="1:16">
      <c r="A540" s="223">
        <v>43520</v>
      </c>
      <c r="B540" s="285">
        <v>2.2589999999999999E-2</v>
      </c>
      <c r="C540" s="2" t="s">
        <v>8</v>
      </c>
      <c r="D540" s="2">
        <v>8796</v>
      </c>
      <c r="E540" s="31"/>
      <c r="F540" s="284">
        <v>43518</v>
      </c>
      <c r="G540" s="280">
        <v>2.2589999999999999E-2</v>
      </c>
      <c r="H540" s="291">
        <f t="shared" si="0"/>
        <v>3.2590000000000001E-2</v>
      </c>
      <c r="I540" s="280">
        <f t="shared" si="1"/>
        <v>1.2589999999999999E-2</v>
      </c>
      <c r="J540" s="25"/>
      <c r="K540" s="25"/>
      <c r="O540" s="14"/>
      <c r="P540" s="24"/>
    </row>
    <row r="541" spans="1:16">
      <c r="A541" s="223">
        <v>43521</v>
      </c>
      <c r="B541" s="285">
        <v>2.2519999999999998E-2</v>
      </c>
      <c r="C541" s="2">
        <v>3875</v>
      </c>
      <c r="D541" s="2">
        <v>8710</v>
      </c>
      <c r="E541" s="31"/>
      <c r="F541" s="284">
        <v>43519</v>
      </c>
      <c r="G541" s="280">
        <v>2.2589999999999999E-2</v>
      </c>
      <c r="H541" s="291">
        <f t="shared" si="0"/>
        <v>3.2590000000000001E-2</v>
      </c>
      <c r="I541" s="280">
        <f t="shared" si="1"/>
        <v>1.2589999999999999E-2</v>
      </c>
      <c r="J541" s="25"/>
      <c r="K541" s="25"/>
      <c r="O541" s="14"/>
      <c r="P541" s="24"/>
    </row>
    <row r="542" spans="1:16">
      <c r="A542" s="223">
        <v>43522</v>
      </c>
      <c r="B542" s="285">
        <v>2.2509999999999999E-2</v>
      </c>
      <c r="C542" s="2">
        <v>4248</v>
      </c>
      <c r="D542" s="2">
        <v>9383</v>
      </c>
      <c r="E542" s="31"/>
      <c r="F542" s="284">
        <v>43520</v>
      </c>
      <c r="G542" s="280">
        <v>2.2589999999999999E-2</v>
      </c>
      <c r="H542" s="291">
        <f t="shared" si="0"/>
        <v>3.2590000000000001E-2</v>
      </c>
      <c r="I542" s="280">
        <f t="shared" si="1"/>
        <v>1.2589999999999999E-2</v>
      </c>
      <c r="J542" s="25"/>
      <c r="K542" s="25"/>
      <c r="O542" s="14"/>
      <c r="P542" s="24"/>
    </row>
    <row r="543" spans="1:16">
      <c r="A543" s="223">
        <v>43523</v>
      </c>
      <c r="B543" s="285">
        <v>2.2599999999999999E-2</v>
      </c>
      <c r="C543" s="2">
        <v>3299</v>
      </c>
      <c r="D543" s="2">
        <v>8489</v>
      </c>
      <c r="E543" s="31"/>
      <c r="F543" s="284">
        <v>43521</v>
      </c>
      <c r="G543" s="280">
        <v>2.2519999999999998E-2</v>
      </c>
      <c r="H543" s="291">
        <f t="shared" si="0"/>
        <v>3.252E-2</v>
      </c>
      <c r="I543" s="280">
        <f t="shared" si="1"/>
        <v>1.2519999999999998E-2</v>
      </c>
      <c r="J543" s="25"/>
      <c r="K543" s="25"/>
      <c r="O543" s="14"/>
      <c r="P543" s="24"/>
    </row>
    <row r="544" spans="1:16">
      <c r="A544" s="223">
        <v>43524</v>
      </c>
      <c r="B544" s="285">
        <v>2.2610000000000002E-2</v>
      </c>
      <c r="C544" s="2">
        <v>5741</v>
      </c>
      <c r="D544" s="2">
        <v>10931</v>
      </c>
      <c r="E544" s="31"/>
      <c r="F544" s="284">
        <v>43522</v>
      </c>
      <c r="G544" s="280">
        <v>2.2509999999999999E-2</v>
      </c>
      <c r="H544" s="291">
        <f t="shared" si="0"/>
        <v>3.2509999999999997E-2</v>
      </c>
      <c r="I544" s="280">
        <f t="shared" si="1"/>
        <v>1.2509999999999999E-2</v>
      </c>
      <c r="J544" s="25"/>
      <c r="K544" s="25"/>
      <c r="O544" s="14"/>
      <c r="P544" s="24"/>
    </row>
    <row r="545" spans="1:16">
      <c r="A545" s="223">
        <v>43525</v>
      </c>
      <c r="B545" s="285">
        <v>2.2599999999999999E-2</v>
      </c>
      <c r="C545" s="2">
        <v>5406</v>
      </c>
      <c r="D545" s="2">
        <v>10796</v>
      </c>
      <c r="E545" s="31"/>
      <c r="F545" s="284">
        <v>43523</v>
      </c>
      <c r="G545" s="280">
        <v>2.2599999999999999E-2</v>
      </c>
      <c r="H545" s="291">
        <f t="shared" si="0"/>
        <v>3.2599999999999997E-2</v>
      </c>
      <c r="I545" s="280">
        <f t="shared" si="1"/>
        <v>1.2599999999999998E-2</v>
      </c>
      <c r="J545" s="25"/>
      <c r="K545" s="25"/>
      <c r="O545" s="14"/>
      <c r="P545" s="24"/>
    </row>
    <row r="546" spans="1:16">
      <c r="A546" s="223">
        <v>43526</v>
      </c>
      <c r="B546" s="285">
        <v>2.2599999999999999E-2</v>
      </c>
      <c r="C546" s="2" t="s">
        <v>8</v>
      </c>
      <c r="D546" s="2">
        <v>10796</v>
      </c>
      <c r="E546" s="31"/>
      <c r="F546" s="284">
        <v>43524</v>
      </c>
      <c r="G546" s="280">
        <v>2.2610000000000002E-2</v>
      </c>
      <c r="H546" s="291">
        <f t="shared" si="0"/>
        <v>3.261E-2</v>
      </c>
      <c r="I546" s="280">
        <f t="shared" si="1"/>
        <v>1.2610000000000001E-2</v>
      </c>
      <c r="J546" s="25"/>
      <c r="K546" s="25"/>
      <c r="O546" s="14"/>
      <c r="P546" s="24"/>
    </row>
    <row r="547" spans="1:16">
      <c r="A547" s="223">
        <v>43527</v>
      </c>
      <c r="B547" s="285">
        <v>2.2599999999999999E-2</v>
      </c>
      <c r="C547" s="2" t="s">
        <v>8</v>
      </c>
      <c r="D547" s="2">
        <v>10796</v>
      </c>
      <c r="E547" s="31"/>
      <c r="F547" s="284">
        <v>43525</v>
      </c>
      <c r="G547" s="280">
        <v>2.2599999999999999E-2</v>
      </c>
      <c r="H547" s="291">
        <f t="shared" si="0"/>
        <v>3.2599999999999997E-2</v>
      </c>
      <c r="I547" s="280">
        <f t="shared" si="1"/>
        <v>1.2599999999999998E-2</v>
      </c>
      <c r="J547" s="25"/>
      <c r="K547" s="25"/>
      <c r="O547" s="14"/>
      <c r="P547" s="24"/>
    </row>
    <row r="548" spans="1:16">
      <c r="A548" s="223">
        <v>43528</v>
      </c>
      <c r="B548" s="285">
        <v>2.2620000000000001E-2</v>
      </c>
      <c r="C548" s="2">
        <v>3368</v>
      </c>
      <c r="D548" s="2">
        <v>9308</v>
      </c>
      <c r="E548" s="31"/>
      <c r="F548" s="284">
        <v>43526</v>
      </c>
      <c r="G548" s="280">
        <v>2.2599999999999999E-2</v>
      </c>
      <c r="H548" s="291">
        <f t="shared" si="0"/>
        <v>3.2599999999999997E-2</v>
      </c>
      <c r="I548" s="280">
        <f t="shared" si="1"/>
        <v>1.2599999999999998E-2</v>
      </c>
      <c r="J548" s="25"/>
      <c r="K548" s="25"/>
      <c r="O548" s="14"/>
      <c r="P548" s="24"/>
    </row>
    <row r="549" spans="1:16">
      <c r="A549" s="223">
        <v>43529</v>
      </c>
      <c r="B549" s="285">
        <v>2.2620000000000001E-2</v>
      </c>
      <c r="C549" s="2">
        <v>2294</v>
      </c>
      <c r="D549" s="2">
        <v>7934</v>
      </c>
      <c r="E549" s="31"/>
      <c r="F549" s="284">
        <v>43527</v>
      </c>
      <c r="G549" s="280">
        <v>2.2599999999999999E-2</v>
      </c>
      <c r="H549" s="291">
        <f t="shared" si="0"/>
        <v>3.2599999999999997E-2</v>
      </c>
      <c r="I549" s="280">
        <f t="shared" si="1"/>
        <v>1.2599999999999998E-2</v>
      </c>
      <c r="J549" s="25"/>
      <c r="K549" s="25"/>
      <c r="O549" s="14"/>
      <c r="P549" s="24"/>
    </row>
    <row r="550" spans="1:16">
      <c r="A550" s="223">
        <v>43530</v>
      </c>
      <c r="B550" s="285">
        <v>2.2519999999999998E-2</v>
      </c>
      <c r="C550" s="2">
        <v>3243</v>
      </c>
      <c r="D550" s="2">
        <v>8873</v>
      </c>
      <c r="E550" s="31"/>
      <c r="F550" s="284">
        <v>43528</v>
      </c>
      <c r="G550" s="280">
        <v>2.2620000000000001E-2</v>
      </c>
      <c r="H550" s="291">
        <f t="shared" si="0"/>
        <v>3.2620000000000003E-2</v>
      </c>
      <c r="I550" s="280">
        <f t="shared" si="1"/>
        <v>1.2620000000000001E-2</v>
      </c>
      <c r="J550" s="25"/>
      <c r="K550" s="25"/>
      <c r="O550" s="14"/>
      <c r="P550" s="24"/>
    </row>
    <row r="551" spans="1:16">
      <c r="A551" s="223">
        <v>43531</v>
      </c>
      <c r="B551" s="285">
        <v>2.2589999999999999E-2</v>
      </c>
      <c r="C551" s="2">
        <v>4165</v>
      </c>
      <c r="D551" s="2">
        <v>8495</v>
      </c>
      <c r="E551" s="31"/>
      <c r="F551" s="284">
        <v>43529</v>
      </c>
      <c r="G551" s="280">
        <v>2.2620000000000001E-2</v>
      </c>
      <c r="H551" s="291">
        <f t="shared" si="0"/>
        <v>3.2620000000000003E-2</v>
      </c>
      <c r="I551" s="280">
        <f t="shared" si="1"/>
        <v>1.2620000000000001E-2</v>
      </c>
      <c r="J551" s="25"/>
      <c r="K551" s="25"/>
      <c r="O551" s="14"/>
      <c r="P551" s="24"/>
    </row>
    <row r="552" spans="1:16">
      <c r="A552" s="223">
        <v>43532</v>
      </c>
      <c r="B552" s="285">
        <v>2.2579999999999999E-2</v>
      </c>
      <c r="C552" s="2">
        <v>4158</v>
      </c>
      <c r="D552" s="2">
        <v>8488</v>
      </c>
      <c r="E552" s="31"/>
      <c r="F552" s="284">
        <v>43530</v>
      </c>
      <c r="G552" s="280">
        <v>2.2519999999999998E-2</v>
      </c>
      <c r="H552" s="291">
        <f t="shared" si="0"/>
        <v>3.252E-2</v>
      </c>
      <c r="I552" s="280">
        <f t="shared" si="1"/>
        <v>1.2519999999999998E-2</v>
      </c>
      <c r="J552" s="25"/>
      <c r="K552" s="25"/>
      <c r="O552" s="14"/>
      <c r="P552" s="24"/>
    </row>
    <row r="553" spans="1:16">
      <c r="A553" s="223">
        <v>43533</v>
      </c>
      <c r="B553" s="285">
        <v>2.2579999999999999E-2</v>
      </c>
      <c r="C553" s="2" t="s">
        <v>8</v>
      </c>
      <c r="D553" s="2">
        <v>8488</v>
      </c>
      <c r="E553" s="31"/>
      <c r="F553" s="284">
        <v>43531</v>
      </c>
      <c r="G553" s="280">
        <v>2.2589999999999999E-2</v>
      </c>
      <c r="H553" s="291">
        <f t="shared" si="0"/>
        <v>3.2590000000000001E-2</v>
      </c>
      <c r="I553" s="280">
        <f t="shared" si="1"/>
        <v>1.2589999999999999E-2</v>
      </c>
      <c r="J553" s="25"/>
      <c r="K553" s="25"/>
      <c r="O553" s="14"/>
      <c r="P553" s="24"/>
    </row>
    <row r="554" spans="1:16">
      <c r="A554" s="223">
        <v>43534</v>
      </c>
      <c r="B554" s="285">
        <v>2.2579999999999999E-2</v>
      </c>
      <c r="C554" s="2" t="s">
        <v>8</v>
      </c>
      <c r="D554" s="2">
        <v>8488</v>
      </c>
      <c r="E554" s="31"/>
      <c r="F554" s="284">
        <v>43532</v>
      </c>
      <c r="G554" s="280">
        <v>2.2579999999999999E-2</v>
      </c>
      <c r="H554" s="291">
        <f t="shared" ref="H554:H617" si="2">G554+1%</f>
        <v>3.2579999999999998E-2</v>
      </c>
      <c r="I554" s="280">
        <f t="shared" ref="I554:I617" si="3">G554-1%</f>
        <v>1.2579999999999999E-2</v>
      </c>
      <c r="J554" s="25"/>
      <c r="K554" s="25"/>
      <c r="O554" s="14"/>
      <c r="P554" s="24"/>
    </row>
    <row r="555" spans="1:16">
      <c r="A555" s="223">
        <v>43535</v>
      </c>
      <c r="B555" s="285">
        <v>2.2540000000000001E-2</v>
      </c>
      <c r="C555" s="2">
        <v>3959</v>
      </c>
      <c r="D555" s="2">
        <v>8039</v>
      </c>
      <c r="E555" s="31"/>
      <c r="F555" s="284">
        <v>43533</v>
      </c>
      <c r="G555" s="280">
        <v>2.2579999999999999E-2</v>
      </c>
      <c r="H555" s="291">
        <f t="shared" si="2"/>
        <v>3.2579999999999998E-2</v>
      </c>
      <c r="I555" s="280">
        <f t="shared" si="3"/>
        <v>1.2579999999999999E-2</v>
      </c>
      <c r="J555" s="25"/>
      <c r="K555" s="25"/>
      <c r="O555" s="14"/>
      <c r="P555" s="24"/>
    </row>
    <row r="556" spans="1:16">
      <c r="A556" s="223">
        <v>43536</v>
      </c>
      <c r="B556" s="285">
        <v>2.2509999999999999E-2</v>
      </c>
      <c r="C556" s="2">
        <v>4506</v>
      </c>
      <c r="D556" s="2">
        <v>8686</v>
      </c>
      <c r="E556" s="31"/>
      <c r="F556" s="284">
        <v>43534</v>
      </c>
      <c r="G556" s="280">
        <v>2.2579999999999999E-2</v>
      </c>
      <c r="H556" s="291">
        <f t="shared" si="2"/>
        <v>3.2579999999999998E-2</v>
      </c>
      <c r="I556" s="280">
        <f t="shared" si="3"/>
        <v>1.2579999999999999E-2</v>
      </c>
      <c r="J556" s="25"/>
      <c r="K556" s="25"/>
      <c r="O556" s="14"/>
      <c r="P556" s="24"/>
    </row>
    <row r="557" spans="1:16">
      <c r="A557" s="223">
        <v>43537</v>
      </c>
      <c r="B557" s="285">
        <v>2.2550000000000001E-2</v>
      </c>
      <c r="C557" s="2">
        <v>4633</v>
      </c>
      <c r="D557" s="2">
        <v>9163</v>
      </c>
      <c r="E557" s="31"/>
      <c r="F557" s="284">
        <v>43535</v>
      </c>
      <c r="G557" s="280">
        <v>2.2540000000000001E-2</v>
      </c>
      <c r="H557" s="291">
        <f t="shared" si="2"/>
        <v>3.2539999999999999E-2</v>
      </c>
      <c r="I557" s="280">
        <f t="shared" si="3"/>
        <v>1.2540000000000001E-2</v>
      </c>
      <c r="J557" s="25"/>
      <c r="K557" s="25"/>
      <c r="O557" s="14"/>
      <c r="P557" s="24"/>
    </row>
    <row r="558" spans="1:16">
      <c r="A558" s="223">
        <v>43538</v>
      </c>
      <c r="B558" s="285">
        <v>2.2530000000000001E-2</v>
      </c>
      <c r="C558" s="2">
        <v>4280</v>
      </c>
      <c r="D558" s="2">
        <v>8720</v>
      </c>
      <c r="E558" s="31"/>
      <c r="F558" s="284">
        <v>43536</v>
      </c>
      <c r="G558" s="280">
        <v>2.2509999999999999E-2</v>
      </c>
      <c r="H558" s="291">
        <f t="shared" si="2"/>
        <v>3.2509999999999997E-2</v>
      </c>
      <c r="I558" s="280">
        <f t="shared" si="3"/>
        <v>1.2509999999999999E-2</v>
      </c>
      <c r="J558" s="25"/>
      <c r="K558" s="25"/>
      <c r="O558" s="14"/>
      <c r="P558" s="24"/>
    </row>
    <row r="559" spans="1:16">
      <c r="A559" s="223">
        <v>43539</v>
      </c>
      <c r="B559" s="285">
        <v>2.2540000000000001E-2</v>
      </c>
      <c r="C559" s="2">
        <v>1963</v>
      </c>
      <c r="D559" s="2">
        <v>6403</v>
      </c>
      <c r="E559" s="31"/>
      <c r="F559" s="284">
        <v>43537</v>
      </c>
      <c r="G559" s="280">
        <v>2.2550000000000001E-2</v>
      </c>
      <c r="H559" s="291">
        <f t="shared" si="2"/>
        <v>3.2550000000000003E-2</v>
      </c>
      <c r="I559" s="280">
        <f t="shared" si="3"/>
        <v>1.255E-2</v>
      </c>
      <c r="J559" s="25"/>
      <c r="K559" s="25"/>
      <c r="O559" s="14"/>
      <c r="P559" s="24"/>
    </row>
    <row r="560" spans="1:16">
      <c r="A560" s="223">
        <v>43540</v>
      </c>
      <c r="B560" s="285">
        <v>2.2540000000000001E-2</v>
      </c>
      <c r="C560" s="2" t="s">
        <v>8</v>
      </c>
      <c r="D560" s="2">
        <v>6403</v>
      </c>
      <c r="E560" s="31"/>
      <c r="F560" s="284">
        <v>43538</v>
      </c>
      <c r="G560" s="280">
        <v>2.2530000000000001E-2</v>
      </c>
      <c r="H560" s="291">
        <f t="shared" si="2"/>
        <v>3.2530000000000003E-2</v>
      </c>
      <c r="I560" s="280">
        <f t="shared" si="3"/>
        <v>1.2530000000000001E-2</v>
      </c>
      <c r="J560" s="25"/>
      <c r="K560" s="25"/>
      <c r="O560" s="14"/>
      <c r="P560" s="24"/>
    </row>
    <row r="561" spans="1:16">
      <c r="A561" s="223">
        <v>43541</v>
      </c>
      <c r="B561" s="285">
        <v>2.2540000000000001E-2</v>
      </c>
      <c r="C561" s="2" t="s">
        <v>8</v>
      </c>
      <c r="D561" s="2">
        <v>6403</v>
      </c>
      <c r="E561" s="31"/>
      <c r="F561" s="284">
        <v>43539</v>
      </c>
      <c r="G561" s="280">
        <v>2.2540000000000001E-2</v>
      </c>
      <c r="H561" s="291">
        <f t="shared" si="2"/>
        <v>3.2539999999999999E-2</v>
      </c>
      <c r="I561" s="280">
        <f t="shared" si="3"/>
        <v>1.2540000000000001E-2</v>
      </c>
      <c r="J561" s="25"/>
      <c r="K561" s="25"/>
      <c r="O561" s="14"/>
      <c r="P561" s="24"/>
    </row>
    <row r="562" spans="1:16">
      <c r="A562" s="223">
        <v>43542</v>
      </c>
      <c r="B562" s="285">
        <v>2.2499999999999999E-2</v>
      </c>
      <c r="C562" s="2">
        <v>1186</v>
      </c>
      <c r="D562" s="2">
        <v>5046</v>
      </c>
      <c r="E562" s="31"/>
      <c r="F562" s="284">
        <v>43540</v>
      </c>
      <c r="G562" s="280">
        <v>2.2540000000000001E-2</v>
      </c>
      <c r="H562" s="291">
        <f t="shared" si="2"/>
        <v>3.2539999999999999E-2</v>
      </c>
      <c r="I562" s="280">
        <f t="shared" si="3"/>
        <v>1.2540000000000001E-2</v>
      </c>
      <c r="J562" s="25"/>
      <c r="K562" s="25"/>
      <c r="O562" s="14"/>
      <c r="P562" s="24"/>
    </row>
    <row r="563" spans="1:16">
      <c r="A563" s="223">
        <v>43543</v>
      </c>
      <c r="B563" s="285">
        <v>2.2499999999999999E-2</v>
      </c>
      <c r="C563" s="2">
        <v>765</v>
      </c>
      <c r="D563" s="2">
        <v>4625</v>
      </c>
      <c r="E563" s="31"/>
      <c r="F563" s="284">
        <v>43541</v>
      </c>
      <c r="G563" s="280">
        <v>2.2540000000000001E-2</v>
      </c>
      <c r="H563" s="291">
        <f t="shared" si="2"/>
        <v>3.2539999999999999E-2</v>
      </c>
      <c r="I563" s="280">
        <f t="shared" si="3"/>
        <v>1.2540000000000001E-2</v>
      </c>
      <c r="J563" s="25"/>
      <c r="K563" s="25"/>
      <c r="O563" s="14"/>
      <c r="P563" s="24"/>
    </row>
    <row r="564" spans="1:16">
      <c r="A564" s="223">
        <v>43544</v>
      </c>
      <c r="B564" s="285">
        <v>2.2499999999999999E-2</v>
      </c>
      <c r="C564" s="2">
        <v>1164</v>
      </c>
      <c r="D564" s="2">
        <v>4584</v>
      </c>
      <c r="E564" s="31"/>
      <c r="F564" s="284">
        <v>43542</v>
      </c>
      <c r="G564" s="280">
        <v>2.2499999999999999E-2</v>
      </c>
      <c r="H564" s="291">
        <f t="shared" si="2"/>
        <v>3.2500000000000001E-2</v>
      </c>
      <c r="I564" s="280">
        <f t="shared" si="3"/>
        <v>1.2499999999999999E-2</v>
      </c>
      <c r="J564" s="25"/>
      <c r="K564" s="25"/>
      <c r="O564" s="14"/>
      <c r="P564" s="24"/>
    </row>
    <row r="565" spans="1:16">
      <c r="A565" s="223">
        <v>43545</v>
      </c>
      <c r="B565" s="285">
        <v>2.2540000000000001E-2</v>
      </c>
      <c r="C565" s="2">
        <v>1736</v>
      </c>
      <c r="D565" s="2">
        <v>6136</v>
      </c>
      <c r="E565" s="31"/>
      <c r="F565" s="284">
        <v>43543</v>
      </c>
      <c r="G565" s="280">
        <v>2.2499999999999999E-2</v>
      </c>
      <c r="H565" s="291">
        <f t="shared" si="2"/>
        <v>3.2500000000000001E-2</v>
      </c>
      <c r="I565" s="280">
        <f t="shared" si="3"/>
        <v>1.2499999999999999E-2</v>
      </c>
      <c r="J565" s="25"/>
      <c r="K565" s="25"/>
      <c r="O565" s="14"/>
      <c r="P565" s="24"/>
    </row>
    <row r="566" spans="1:16">
      <c r="A566" s="223">
        <v>43546</v>
      </c>
      <c r="B566" s="285">
        <v>2.266E-2</v>
      </c>
      <c r="C566" s="2">
        <v>3627</v>
      </c>
      <c r="D566" s="2">
        <v>8027</v>
      </c>
      <c r="E566" s="31"/>
      <c r="F566" s="284">
        <v>43544</v>
      </c>
      <c r="G566" s="280">
        <v>2.2499999999999999E-2</v>
      </c>
      <c r="H566" s="291">
        <f t="shared" si="2"/>
        <v>3.2500000000000001E-2</v>
      </c>
      <c r="I566" s="280">
        <f t="shared" si="3"/>
        <v>1.2499999999999999E-2</v>
      </c>
      <c r="J566" s="25"/>
      <c r="K566" s="25"/>
      <c r="O566" s="14"/>
      <c r="P566" s="24"/>
    </row>
    <row r="567" spans="1:16">
      <c r="A567" s="223">
        <v>43547</v>
      </c>
      <c r="B567" s="285">
        <v>2.266E-2</v>
      </c>
      <c r="C567" s="2" t="s">
        <v>8</v>
      </c>
      <c r="D567" s="2">
        <v>8027</v>
      </c>
      <c r="E567" s="31"/>
      <c r="F567" s="284">
        <v>43545</v>
      </c>
      <c r="G567" s="280">
        <v>2.2540000000000001E-2</v>
      </c>
      <c r="H567" s="291">
        <f t="shared" si="2"/>
        <v>3.2539999999999999E-2</v>
      </c>
      <c r="I567" s="280">
        <f t="shared" si="3"/>
        <v>1.2540000000000001E-2</v>
      </c>
      <c r="J567" s="25"/>
      <c r="K567" s="25"/>
      <c r="O567" s="14"/>
      <c r="P567" s="24"/>
    </row>
    <row r="568" spans="1:16">
      <c r="A568" s="223">
        <v>43548</v>
      </c>
      <c r="B568" s="285">
        <v>2.266E-2</v>
      </c>
      <c r="C568" s="2" t="s">
        <v>8</v>
      </c>
      <c r="D568" s="2">
        <v>8027</v>
      </c>
      <c r="E568" s="31"/>
      <c r="F568" s="284">
        <v>43546</v>
      </c>
      <c r="G568" s="280">
        <v>2.266E-2</v>
      </c>
      <c r="H568" s="291">
        <f t="shared" si="2"/>
        <v>3.2660000000000002E-2</v>
      </c>
      <c r="I568" s="280">
        <f t="shared" si="3"/>
        <v>1.2659999999999999E-2</v>
      </c>
      <c r="J568" s="25"/>
      <c r="K568" s="25"/>
      <c r="O568" s="14"/>
      <c r="P568" s="24"/>
    </row>
    <row r="569" spans="1:16">
      <c r="A569" s="223">
        <v>43549</v>
      </c>
      <c r="B569" s="285">
        <v>2.2630000000000001E-2</v>
      </c>
      <c r="C569" s="2">
        <v>2801</v>
      </c>
      <c r="D569" s="2">
        <v>7201</v>
      </c>
      <c r="E569" s="31"/>
      <c r="F569" s="284">
        <v>43547</v>
      </c>
      <c r="G569" s="280">
        <v>2.266E-2</v>
      </c>
      <c r="H569" s="291">
        <f t="shared" si="2"/>
        <v>3.2660000000000002E-2</v>
      </c>
      <c r="I569" s="280">
        <f t="shared" si="3"/>
        <v>1.2659999999999999E-2</v>
      </c>
      <c r="J569" s="25"/>
      <c r="K569" s="25"/>
      <c r="O569" s="14"/>
      <c r="P569" s="24"/>
    </row>
    <row r="570" spans="1:16">
      <c r="A570" s="223">
        <v>43550</v>
      </c>
      <c r="B570" s="285">
        <v>2.265E-2</v>
      </c>
      <c r="C570" s="2">
        <v>2987</v>
      </c>
      <c r="D570" s="2">
        <v>7397</v>
      </c>
      <c r="E570" s="31"/>
      <c r="F570" s="284">
        <v>43548</v>
      </c>
      <c r="G570" s="280">
        <v>2.266E-2</v>
      </c>
      <c r="H570" s="291">
        <f t="shared" si="2"/>
        <v>3.2660000000000002E-2</v>
      </c>
      <c r="I570" s="280">
        <f t="shared" si="3"/>
        <v>1.2659999999999999E-2</v>
      </c>
      <c r="J570" s="25"/>
      <c r="K570" s="25"/>
      <c r="O570" s="14"/>
      <c r="P570" s="24"/>
    </row>
    <row r="571" spans="1:16">
      <c r="A571" s="223">
        <v>43551</v>
      </c>
      <c r="B571" s="285">
        <v>2.2620000000000001E-2</v>
      </c>
      <c r="C571" s="2">
        <v>3245</v>
      </c>
      <c r="D571" s="2">
        <v>7655</v>
      </c>
      <c r="E571" s="31"/>
      <c r="F571" s="284">
        <v>43549</v>
      </c>
      <c r="G571" s="280">
        <v>2.2630000000000001E-2</v>
      </c>
      <c r="H571" s="291">
        <f t="shared" si="2"/>
        <v>3.2629999999999999E-2</v>
      </c>
      <c r="I571" s="280">
        <f t="shared" si="3"/>
        <v>1.2630000000000001E-2</v>
      </c>
      <c r="J571" s="25"/>
      <c r="K571" s="25"/>
      <c r="O571" s="14"/>
      <c r="P571" s="24"/>
    </row>
    <row r="572" spans="1:16">
      <c r="A572" s="223">
        <v>43552</v>
      </c>
      <c r="B572" s="285">
        <v>2.2589999999999999E-2</v>
      </c>
      <c r="C572" s="2">
        <v>3549</v>
      </c>
      <c r="D572" s="2">
        <v>7309</v>
      </c>
      <c r="E572" s="31"/>
      <c r="F572" s="284">
        <v>43550</v>
      </c>
      <c r="G572" s="280">
        <v>2.265E-2</v>
      </c>
      <c r="H572" s="291">
        <f t="shared" si="2"/>
        <v>3.2649999999999998E-2</v>
      </c>
      <c r="I572" s="280">
        <f t="shared" si="3"/>
        <v>1.265E-2</v>
      </c>
      <c r="J572" s="25"/>
      <c r="K572" s="25"/>
      <c r="O572" s="14"/>
      <c r="P572" s="24"/>
    </row>
    <row r="573" spans="1:16">
      <c r="A573" s="223">
        <v>43553</v>
      </c>
      <c r="B573" s="285">
        <v>2.2769999999999999E-2</v>
      </c>
      <c r="C573" s="2">
        <v>2606</v>
      </c>
      <c r="D573" s="2">
        <v>6216</v>
      </c>
      <c r="E573" s="31"/>
      <c r="F573" s="284">
        <v>43551</v>
      </c>
      <c r="G573" s="280">
        <v>2.2620000000000001E-2</v>
      </c>
      <c r="H573" s="291">
        <f t="shared" si="2"/>
        <v>3.2620000000000003E-2</v>
      </c>
      <c r="I573" s="280">
        <f t="shared" si="3"/>
        <v>1.2620000000000001E-2</v>
      </c>
      <c r="J573" s="25"/>
      <c r="K573" s="25"/>
      <c r="O573" s="14"/>
      <c r="P573" s="24"/>
    </row>
    <row r="574" spans="1:16">
      <c r="A574" s="223">
        <v>43554</v>
      </c>
      <c r="B574" s="285">
        <v>2.2769999999999999E-2</v>
      </c>
      <c r="C574" s="2" t="s">
        <v>8</v>
      </c>
      <c r="D574" s="2">
        <v>6216</v>
      </c>
      <c r="E574" s="31"/>
      <c r="F574" s="284">
        <v>43552</v>
      </c>
      <c r="G574" s="280">
        <v>2.2589999999999999E-2</v>
      </c>
      <c r="H574" s="291">
        <f t="shared" si="2"/>
        <v>3.2590000000000001E-2</v>
      </c>
      <c r="I574" s="280">
        <f t="shared" si="3"/>
        <v>1.2589999999999999E-2</v>
      </c>
      <c r="J574" s="25"/>
      <c r="K574" s="25"/>
      <c r="O574" s="14"/>
      <c r="P574" s="24"/>
    </row>
    <row r="575" spans="1:16">
      <c r="A575" s="223">
        <v>43555</v>
      </c>
      <c r="B575" s="285">
        <v>2.2769999999999999E-2</v>
      </c>
      <c r="C575" s="2" t="s">
        <v>8</v>
      </c>
      <c r="D575" s="2">
        <v>6216</v>
      </c>
      <c r="E575" s="31"/>
      <c r="F575" s="284">
        <v>43553</v>
      </c>
      <c r="G575" s="280">
        <v>2.2769999999999999E-2</v>
      </c>
      <c r="H575" s="291">
        <f t="shared" si="2"/>
        <v>3.2770000000000001E-2</v>
      </c>
      <c r="I575" s="280">
        <f t="shared" si="3"/>
        <v>1.2769999999999998E-2</v>
      </c>
      <c r="J575" s="25"/>
      <c r="K575" s="25"/>
      <c r="O575" s="14"/>
      <c r="P575" s="24"/>
    </row>
    <row r="576" spans="1:16">
      <c r="A576" s="223">
        <v>43556</v>
      </c>
      <c r="B576" s="285">
        <v>2.2599999999999999E-2</v>
      </c>
      <c r="C576" s="2">
        <v>3613</v>
      </c>
      <c r="D576" s="2">
        <v>7073</v>
      </c>
      <c r="E576" s="31"/>
      <c r="F576" s="284">
        <v>43554</v>
      </c>
      <c r="G576" s="280">
        <v>2.2769999999999999E-2</v>
      </c>
      <c r="H576" s="291">
        <f t="shared" si="2"/>
        <v>3.2770000000000001E-2</v>
      </c>
      <c r="I576" s="280">
        <f t="shared" si="3"/>
        <v>1.2769999999999998E-2</v>
      </c>
      <c r="J576" s="25"/>
      <c r="K576" s="25"/>
      <c r="O576" s="14"/>
      <c r="P576" s="24"/>
    </row>
    <row r="577" spans="1:16">
      <c r="A577" s="223">
        <v>43557</v>
      </c>
      <c r="B577" s="285">
        <v>2.2630000000000001E-2</v>
      </c>
      <c r="C577" s="2">
        <v>3934</v>
      </c>
      <c r="D577" s="2">
        <v>7194</v>
      </c>
      <c r="E577" s="31"/>
      <c r="F577" s="284">
        <v>43555</v>
      </c>
      <c r="G577" s="280">
        <v>2.2769999999999999E-2</v>
      </c>
      <c r="H577" s="291">
        <f t="shared" si="2"/>
        <v>3.2770000000000001E-2</v>
      </c>
      <c r="I577" s="280">
        <f t="shared" si="3"/>
        <v>1.2769999999999998E-2</v>
      </c>
      <c r="J577" s="25"/>
      <c r="K577" s="25"/>
      <c r="O577" s="14"/>
      <c r="P577" s="24"/>
    </row>
    <row r="578" spans="1:16">
      <c r="A578" s="223">
        <v>43558</v>
      </c>
      <c r="B578" s="285">
        <v>2.265E-2</v>
      </c>
      <c r="C578" s="2">
        <v>4556</v>
      </c>
      <c r="D578" s="2">
        <v>7716</v>
      </c>
      <c r="E578" s="31"/>
      <c r="F578" s="284">
        <v>43556</v>
      </c>
      <c r="G578" s="280">
        <v>2.2599999999999999E-2</v>
      </c>
      <c r="H578" s="291">
        <f t="shared" si="2"/>
        <v>3.2599999999999997E-2</v>
      </c>
      <c r="I578" s="280">
        <f t="shared" si="3"/>
        <v>1.2599999999999998E-2</v>
      </c>
      <c r="J578" s="25"/>
      <c r="K578" s="25"/>
      <c r="O578" s="14"/>
      <c r="P578" s="24"/>
    </row>
    <row r="579" spans="1:16">
      <c r="A579" s="223">
        <v>43559</v>
      </c>
      <c r="B579" s="285">
        <v>2.2579999999999999E-2</v>
      </c>
      <c r="C579" s="2">
        <v>3553</v>
      </c>
      <c r="D579" s="2">
        <v>6613</v>
      </c>
      <c r="E579" s="31"/>
      <c r="F579" s="284">
        <v>43557</v>
      </c>
      <c r="G579" s="280">
        <v>2.2630000000000001E-2</v>
      </c>
      <c r="H579" s="291">
        <f t="shared" si="2"/>
        <v>3.2629999999999999E-2</v>
      </c>
      <c r="I579" s="280">
        <f t="shared" si="3"/>
        <v>1.2630000000000001E-2</v>
      </c>
      <c r="J579" s="25"/>
      <c r="K579" s="25"/>
      <c r="O579" s="14"/>
      <c r="P579" s="24"/>
    </row>
    <row r="580" spans="1:16">
      <c r="A580" s="223">
        <v>43560</v>
      </c>
      <c r="B580" s="285">
        <v>2.2720000000000001E-2</v>
      </c>
      <c r="C580" s="2">
        <v>4756</v>
      </c>
      <c r="D580" s="2">
        <v>7816</v>
      </c>
      <c r="E580" s="31"/>
      <c r="F580" s="284">
        <v>43558</v>
      </c>
      <c r="G580" s="280">
        <v>2.265E-2</v>
      </c>
      <c r="H580" s="291">
        <f t="shared" si="2"/>
        <v>3.2649999999999998E-2</v>
      </c>
      <c r="I580" s="280">
        <f t="shared" si="3"/>
        <v>1.265E-2</v>
      </c>
      <c r="J580" s="25"/>
      <c r="K580" s="25"/>
      <c r="O580" s="14"/>
      <c r="P580" s="24"/>
    </row>
    <row r="581" spans="1:16">
      <c r="A581" s="223">
        <v>43561</v>
      </c>
      <c r="B581" s="285">
        <v>2.2720000000000001E-2</v>
      </c>
      <c r="C581" s="2" t="s">
        <v>8</v>
      </c>
      <c r="D581" s="2">
        <v>7816</v>
      </c>
      <c r="E581" s="31"/>
      <c r="F581" s="284">
        <v>43559</v>
      </c>
      <c r="G581" s="280">
        <v>2.2579999999999999E-2</v>
      </c>
      <c r="H581" s="291">
        <f t="shared" si="2"/>
        <v>3.2579999999999998E-2</v>
      </c>
      <c r="I581" s="280">
        <f t="shared" si="3"/>
        <v>1.2579999999999999E-2</v>
      </c>
      <c r="J581" s="25"/>
      <c r="K581" s="25"/>
      <c r="O581" s="14"/>
      <c r="P581" s="24"/>
    </row>
    <row r="582" spans="1:16">
      <c r="A582" s="223">
        <v>43562</v>
      </c>
      <c r="B582" s="285">
        <v>2.2720000000000001E-2</v>
      </c>
      <c r="C582" s="2" t="s">
        <v>8</v>
      </c>
      <c r="D582" s="2">
        <v>7816</v>
      </c>
      <c r="E582" s="31"/>
      <c r="F582" s="284">
        <v>43560</v>
      </c>
      <c r="G582" s="280">
        <v>2.2720000000000001E-2</v>
      </c>
      <c r="H582" s="291">
        <f t="shared" si="2"/>
        <v>3.2719999999999999E-2</v>
      </c>
      <c r="I582" s="280">
        <f t="shared" si="3"/>
        <v>1.272E-2</v>
      </c>
      <c r="J582" s="25"/>
      <c r="K582" s="25"/>
      <c r="O582" s="14"/>
      <c r="P582" s="24"/>
    </row>
    <row r="583" spans="1:16">
      <c r="A583" s="223">
        <v>43563</v>
      </c>
      <c r="B583" s="285">
        <v>2.2700000000000001E-2</v>
      </c>
      <c r="C583" s="2">
        <v>5442</v>
      </c>
      <c r="D583" s="2">
        <v>8252</v>
      </c>
      <c r="E583" s="31"/>
      <c r="F583" s="284">
        <v>43561</v>
      </c>
      <c r="G583" s="280">
        <v>2.2720000000000001E-2</v>
      </c>
      <c r="H583" s="291">
        <f t="shared" si="2"/>
        <v>3.2719999999999999E-2</v>
      </c>
      <c r="I583" s="280">
        <f t="shared" si="3"/>
        <v>1.272E-2</v>
      </c>
      <c r="J583" s="25"/>
      <c r="K583" s="25"/>
      <c r="O583" s="14"/>
      <c r="P583" s="24"/>
    </row>
    <row r="584" spans="1:16">
      <c r="A584" s="223">
        <v>43564</v>
      </c>
      <c r="B584" s="285">
        <v>2.2630000000000001E-2</v>
      </c>
      <c r="C584" s="2">
        <v>5793</v>
      </c>
      <c r="D584" s="2">
        <v>8503</v>
      </c>
      <c r="E584" s="31"/>
      <c r="F584" s="284">
        <v>43562</v>
      </c>
      <c r="G584" s="280">
        <v>2.2720000000000001E-2</v>
      </c>
      <c r="H584" s="291">
        <f t="shared" si="2"/>
        <v>3.2719999999999999E-2</v>
      </c>
      <c r="I584" s="280">
        <f t="shared" si="3"/>
        <v>1.272E-2</v>
      </c>
      <c r="J584" s="25"/>
      <c r="K584" s="25"/>
      <c r="O584" s="14"/>
      <c r="P584" s="24"/>
    </row>
    <row r="585" spans="1:16">
      <c r="A585" s="223">
        <v>43565</v>
      </c>
      <c r="B585" s="285">
        <v>2.2610000000000002E-2</v>
      </c>
      <c r="C585" s="2">
        <v>5992</v>
      </c>
      <c r="D585" s="2">
        <v>8702</v>
      </c>
      <c r="E585" s="31"/>
      <c r="F585" s="284">
        <v>43563</v>
      </c>
      <c r="G585" s="280">
        <v>2.2700000000000001E-2</v>
      </c>
      <c r="H585" s="291">
        <f t="shared" si="2"/>
        <v>3.27E-2</v>
      </c>
      <c r="I585" s="280">
        <f t="shared" si="3"/>
        <v>1.2700000000000001E-2</v>
      </c>
      <c r="J585" s="25"/>
      <c r="K585" s="25"/>
      <c r="O585" s="14"/>
      <c r="P585" s="24"/>
    </row>
    <row r="586" spans="1:16">
      <c r="A586" s="223">
        <v>43566</v>
      </c>
      <c r="B586" s="285">
        <v>2.2710000000000001E-2</v>
      </c>
      <c r="C586" s="2">
        <v>6079</v>
      </c>
      <c r="D586" s="2">
        <v>8589</v>
      </c>
      <c r="E586" s="31"/>
      <c r="F586" s="284">
        <v>43564</v>
      </c>
      <c r="G586" s="280">
        <v>2.2630000000000001E-2</v>
      </c>
      <c r="H586" s="291">
        <f t="shared" si="2"/>
        <v>3.2629999999999999E-2</v>
      </c>
      <c r="I586" s="280">
        <f t="shared" si="3"/>
        <v>1.2630000000000001E-2</v>
      </c>
      <c r="J586" s="25"/>
      <c r="K586" s="25"/>
      <c r="O586" s="14"/>
      <c r="P586" s="24"/>
    </row>
    <row r="587" spans="1:16">
      <c r="A587" s="223">
        <v>43567</v>
      </c>
      <c r="B587" s="285">
        <v>2.2610000000000002E-2</v>
      </c>
      <c r="C587" s="2">
        <v>5070</v>
      </c>
      <c r="D587" s="2">
        <v>8280</v>
      </c>
      <c r="E587" s="31"/>
      <c r="F587" s="284">
        <v>43565</v>
      </c>
      <c r="G587" s="280">
        <v>2.2610000000000002E-2</v>
      </c>
      <c r="H587" s="291">
        <f t="shared" si="2"/>
        <v>3.261E-2</v>
      </c>
      <c r="I587" s="280">
        <f t="shared" si="3"/>
        <v>1.2610000000000001E-2</v>
      </c>
      <c r="J587" s="25"/>
      <c r="K587" s="25"/>
      <c r="O587" s="14"/>
      <c r="P587" s="24"/>
    </row>
    <row r="588" spans="1:16">
      <c r="A588" s="223">
        <v>43568</v>
      </c>
      <c r="B588" s="285">
        <v>2.2610000000000002E-2</v>
      </c>
      <c r="C588" s="2" t="s">
        <v>8</v>
      </c>
      <c r="D588" s="2">
        <v>8280</v>
      </c>
      <c r="E588" s="31"/>
      <c r="F588" s="284">
        <v>43566</v>
      </c>
      <c r="G588" s="280">
        <v>2.2710000000000001E-2</v>
      </c>
      <c r="H588" s="291">
        <f t="shared" si="2"/>
        <v>3.2710000000000003E-2</v>
      </c>
      <c r="I588" s="280">
        <f t="shared" si="3"/>
        <v>1.2710000000000001E-2</v>
      </c>
      <c r="J588" s="25"/>
      <c r="K588" s="25"/>
      <c r="O588" s="14"/>
      <c r="P588" s="24"/>
    </row>
    <row r="589" spans="1:16">
      <c r="A589" s="223">
        <v>43569</v>
      </c>
      <c r="B589" s="285">
        <v>2.2610000000000002E-2</v>
      </c>
      <c r="C589" s="2" t="s">
        <v>8</v>
      </c>
      <c r="D589" s="2">
        <v>8280</v>
      </c>
      <c r="E589" s="31"/>
      <c r="F589" s="284">
        <v>43567</v>
      </c>
      <c r="G589" s="280">
        <v>2.2610000000000002E-2</v>
      </c>
      <c r="H589" s="291">
        <f t="shared" si="2"/>
        <v>3.261E-2</v>
      </c>
      <c r="I589" s="280">
        <f t="shared" si="3"/>
        <v>1.2610000000000001E-2</v>
      </c>
      <c r="J589" s="25"/>
      <c r="K589" s="25"/>
      <c r="O589" s="14"/>
      <c r="P589" s="24"/>
    </row>
    <row r="590" spans="1:16">
      <c r="A590" s="223">
        <v>43570</v>
      </c>
      <c r="B590" s="285">
        <v>2.2679999999999999E-2</v>
      </c>
      <c r="C590" s="2">
        <v>6389</v>
      </c>
      <c r="D590" s="2">
        <v>9599</v>
      </c>
      <c r="E590" s="31"/>
      <c r="F590" s="284">
        <v>43568</v>
      </c>
      <c r="G590" s="280">
        <v>2.2610000000000002E-2</v>
      </c>
      <c r="H590" s="291">
        <f t="shared" si="2"/>
        <v>3.261E-2</v>
      </c>
      <c r="I590" s="280">
        <f t="shared" si="3"/>
        <v>1.2610000000000001E-2</v>
      </c>
      <c r="J590" s="25"/>
      <c r="K590" s="25"/>
      <c r="O590" s="14"/>
      <c r="P590" s="24"/>
    </row>
    <row r="591" spans="1:16">
      <c r="A591" s="223">
        <v>43571</v>
      </c>
      <c r="B591" s="285">
        <v>2.2669999999999999E-2</v>
      </c>
      <c r="C591" s="2">
        <v>4313</v>
      </c>
      <c r="D591" s="2">
        <v>7523</v>
      </c>
      <c r="E591" s="31"/>
      <c r="F591" s="284">
        <v>43569</v>
      </c>
      <c r="G591" s="280">
        <v>2.2610000000000002E-2</v>
      </c>
      <c r="H591" s="291">
        <f t="shared" si="2"/>
        <v>3.261E-2</v>
      </c>
      <c r="I591" s="280">
        <f t="shared" si="3"/>
        <v>1.2610000000000001E-2</v>
      </c>
      <c r="J591" s="25"/>
      <c r="K591" s="25"/>
      <c r="O591" s="14"/>
      <c r="P591" s="24"/>
    </row>
    <row r="592" spans="1:16">
      <c r="A592" s="223">
        <v>43572</v>
      </c>
      <c r="B592" s="285">
        <v>2.2749999999999999E-2</v>
      </c>
      <c r="C592" s="2">
        <v>4338</v>
      </c>
      <c r="D592" s="2">
        <v>7398</v>
      </c>
      <c r="E592" s="31"/>
      <c r="F592" s="284">
        <v>43570</v>
      </c>
      <c r="G592" s="280">
        <v>2.2679999999999999E-2</v>
      </c>
      <c r="H592" s="291">
        <f t="shared" si="2"/>
        <v>3.2680000000000001E-2</v>
      </c>
      <c r="I592" s="280">
        <f t="shared" si="3"/>
        <v>1.2679999999999999E-2</v>
      </c>
      <c r="J592" s="25"/>
      <c r="K592" s="25"/>
      <c r="O592" s="14"/>
      <c r="P592" s="24"/>
    </row>
    <row r="593" spans="1:16">
      <c r="A593" s="223">
        <v>43573</v>
      </c>
      <c r="B593" s="285">
        <v>2.256E-2</v>
      </c>
      <c r="C593" s="2">
        <v>2997</v>
      </c>
      <c r="D593" s="2">
        <v>5457</v>
      </c>
      <c r="E593" s="31"/>
      <c r="F593" s="284">
        <v>43571</v>
      </c>
      <c r="G593" s="280">
        <v>2.2669999999999999E-2</v>
      </c>
      <c r="H593" s="291">
        <f t="shared" si="2"/>
        <v>3.2669999999999998E-2</v>
      </c>
      <c r="I593" s="280">
        <f t="shared" si="3"/>
        <v>1.2669999999999999E-2</v>
      </c>
      <c r="J593" s="25"/>
      <c r="K593" s="25"/>
      <c r="O593" s="14"/>
      <c r="P593" s="24"/>
    </row>
    <row r="594" spans="1:16">
      <c r="A594" s="223">
        <v>43574</v>
      </c>
      <c r="B594" s="285">
        <v>2.2849999999999999E-2</v>
      </c>
      <c r="C594" s="2">
        <v>4448</v>
      </c>
      <c r="D594" s="2">
        <v>6908</v>
      </c>
      <c r="E594" s="31"/>
      <c r="F594" s="284">
        <v>43572</v>
      </c>
      <c r="G594" s="280">
        <v>2.2749999999999999E-2</v>
      </c>
      <c r="H594" s="291">
        <f t="shared" si="2"/>
        <v>3.2750000000000001E-2</v>
      </c>
      <c r="I594" s="280">
        <f t="shared" si="3"/>
        <v>1.2749999999999999E-2</v>
      </c>
      <c r="J594" s="25"/>
      <c r="K594" s="25"/>
      <c r="O594" s="14"/>
      <c r="P594" s="24"/>
    </row>
    <row r="595" spans="1:16">
      <c r="A595" s="223">
        <v>43575</v>
      </c>
      <c r="B595" s="285">
        <v>2.2849999999999999E-2</v>
      </c>
      <c r="C595" s="2" t="s">
        <v>8</v>
      </c>
      <c r="D595" s="2">
        <v>6908</v>
      </c>
      <c r="E595" s="31"/>
      <c r="F595" s="284">
        <v>43573</v>
      </c>
      <c r="G595" s="280">
        <v>2.256E-2</v>
      </c>
      <c r="H595" s="291">
        <f t="shared" si="2"/>
        <v>3.2559999999999999E-2</v>
      </c>
      <c r="I595" s="280">
        <f t="shared" si="3"/>
        <v>1.256E-2</v>
      </c>
      <c r="J595" s="25"/>
      <c r="K595" s="25"/>
      <c r="O595" s="14"/>
      <c r="P595" s="24"/>
    </row>
    <row r="596" spans="1:16">
      <c r="A596" s="223">
        <v>43576</v>
      </c>
      <c r="B596" s="285">
        <v>2.2849999999999999E-2</v>
      </c>
      <c r="C596" s="2" t="s">
        <v>8</v>
      </c>
      <c r="D596" s="2">
        <v>6908</v>
      </c>
      <c r="E596" s="31"/>
      <c r="F596" s="284">
        <v>43574</v>
      </c>
      <c r="G596" s="280">
        <v>2.2849999999999999E-2</v>
      </c>
      <c r="H596" s="291">
        <f t="shared" si="2"/>
        <v>3.2849999999999997E-2</v>
      </c>
      <c r="I596" s="280">
        <f t="shared" si="3"/>
        <v>1.2849999999999999E-2</v>
      </c>
      <c r="J596" s="25"/>
      <c r="K596" s="25"/>
      <c r="O596" s="14"/>
      <c r="P596" s="24"/>
    </row>
    <row r="597" spans="1:16">
      <c r="A597" s="223">
        <v>43577</v>
      </c>
      <c r="B597" s="285">
        <v>2.2579999999999999E-2</v>
      </c>
      <c r="C597" s="2">
        <v>955</v>
      </c>
      <c r="D597" s="2">
        <v>3415</v>
      </c>
      <c r="E597" s="31"/>
      <c r="F597" s="284">
        <v>43575</v>
      </c>
      <c r="G597" s="280">
        <v>2.2849999999999999E-2</v>
      </c>
      <c r="H597" s="291">
        <f t="shared" si="2"/>
        <v>3.2849999999999997E-2</v>
      </c>
      <c r="I597" s="280">
        <f t="shared" si="3"/>
        <v>1.2849999999999999E-2</v>
      </c>
      <c r="J597" s="25"/>
      <c r="K597" s="25"/>
      <c r="O597" s="14"/>
      <c r="P597" s="24"/>
    </row>
    <row r="598" spans="1:16">
      <c r="A598" s="223">
        <v>43578</v>
      </c>
      <c r="B598" s="285">
        <v>2.281E-2</v>
      </c>
      <c r="C598" s="2">
        <v>3618</v>
      </c>
      <c r="D598" s="2">
        <v>6143</v>
      </c>
      <c r="E598" s="31"/>
      <c r="F598" s="284">
        <v>43576</v>
      </c>
      <c r="G598" s="280">
        <v>2.2849999999999999E-2</v>
      </c>
      <c r="H598" s="291">
        <f t="shared" si="2"/>
        <v>3.2849999999999997E-2</v>
      </c>
      <c r="I598" s="280">
        <f t="shared" si="3"/>
        <v>1.2849999999999999E-2</v>
      </c>
      <c r="J598" s="25"/>
      <c r="K598" s="25"/>
      <c r="O598" s="14"/>
      <c r="P598" s="24"/>
    </row>
    <row r="599" spans="1:16">
      <c r="A599" s="223">
        <v>43579</v>
      </c>
      <c r="B599" s="285">
        <v>2.273E-2</v>
      </c>
      <c r="C599" s="2">
        <v>3672</v>
      </c>
      <c r="D599" s="2">
        <v>6177</v>
      </c>
      <c r="E599" s="31"/>
      <c r="F599" s="284">
        <v>43577</v>
      </c>
      <c r="G599" s="280">
        <v>2.2579999999999999E-2</v>
      </c>
      <c r="H599" s="291">
        <f t="shared" si="2"/>
        <v>3.2579999999999998E-2</v>
      </c>
      <c r="I599" s="280">
        <f t="shared" si="3"/>
        <v>1.2579999999999999E-2</v>
      </c>
      <c r="J599" s="25"/>
      <c r="K599" s="25"/>
      <c r="O599" s="14"/>
      <c r="P599" s="24"/>
    </row>
    <row r="600" spans="1:16">
      <c r="A600" s="223">
        <v>43580</v>
      </c>
      <c r="B600" s="285">
        <v>2.264E-2</v>
      </c>
      <c r="C600" s="2">
        <v>4723</v>
      </c>
      <c r="D600" s="2">
        <v>8428</v>
      </c>
      <c r="E600" s="31"/>
      <c r="F600" s="284">
        <v>43578</v>
      </c>
      <c r="G600" s="280">
        <v>2.281E-2</v>
      </c>
      <c r="H600" s="291">
        <f t="shared" si="2"/>
        <v>3.2809999999999999E-2</v>
      </c>
      <c r="I600" s="280">
        <f t="shared" si="3"/>
        <v>1.281E-2</v>
      </c>
      <c r="J600" s="25"/>
      <c r="K600" s="25"/>
      <c r="O600" s="14"/>
      <c r="P600" s="24"/>
    </row>
    <row r="601" spans="1:16">
      <c r="A601" s="223">
        <v>43581</v>
      </c>
      <c r="B601" s="285">
        <v>2.2599999999999999E-2</v>
      </c>
      <c r="C601" s="2">
        <v>4094</v>
      </c>
      <c r="D601" s="2">
        <v>7974</v>
      </c>
      <c r="E601" s="31"/>
      <c r="F601" s="284">
        <v>43579</v>
      </c>
      <c r="G601" s="280">
        <v>2.273E-2</v>
      </c>
      <c r="H601" s="291">
        <f t="shared" si="2"/>
        <v>3.2730000000000002E-2</v>
      </c>
      <c r="I601" s="280">
        <f t="shared" si="3"/>
        <v>1.273E-2</v>
      </c>
      <c r="J601" s="25"/>
      <c r="K601" s="25"/>
      <c r="O601" s="14"/>
      <c r="P601" s="24"/>
    </row>
    <row r="602" spans="1:16">
      <c r="A602" s="223">
        <v>43582</v>
      </c>
      <c r="B602" s="285">
        <v>2.2599999999999999E-2</v>
      </c>
      <c r="C602" s="2" t="s">
        <v>8</v>
      </c>
      <c r="D602" s="2">
        <v>7974</v>
      </c>
      <c r="E602" s="31"/>
      <c r="F602" s="284">
        <v>43580</v>
      </c>
      <c r="G602" s="280">
        <v>2.264E-2</v>
      </c>
      <c r="H602" s="291">
        <f t="shared" si="2"/>
        <v>3.2640000000000002E-2</v>
      </c>
      <c r="I602" s="280">
        <f t="shared" si="3"/>
        <v>1.264E-2</v>
      </c>
      <c r="J602" s="25"/>
      <c r="K602" s="25"/>
      <c r="O602" s="14"/>
      <c r="P602" s="24"/>
    </row>
    <row r="603" spans="1:16">
      <c r="A603" s="223">
        <v>43583</v>
      </c>
      <c r="B603" s="285">
        <v>2.2599999999999999E-2</v>
      </c>
      <c r="C603" s="2" t="s">
        <v>8</v>
      </c>
      <c r="D603" s="2">
        <v>7974</v>
      </c>
      <c r="E603" s="31"/>
      <c r="F603" s="284">
        <v>43581</v>
      </c>
      <c r="G603" s="280">
        <v>2.2599999999999999E-2</v>
      </c>
      <c r="H603" s="291">
        <f t="shared" si="2"/>
        <v>3.2599999999999997E-2</v>
      </c>
      <c r="I603" s="280">
        <f t="shared" si="3"/>
        <v>1.2599999999999998E-2</v>
      </c>
      <c r="J603" s="25"/>
      <c r="K603" s="25"/>
      <c r="O603" s="14"/>
      <c r="P603" s="24"/>
    </row>
    <row r="604" spans="1:16">
      <c r="A604" s="223">
        <v>43584</v>
      </c>
      <c r="B604" s="285">
        <v>2.2530000000000001E-2</v>
      </c>
      <c r="C604" s="2">
        <v>3570</v>
      </c>
      <c r="D604" s="2">
        <v>7465</v>
      </c>
      <c r="E604" s="31"/>
      <c r="F604" s="284">
        <v>43582</v>
      </c>
      <c r="G604" s="280">
        <v>2.2599999999999999E-2</v>
      </c>
      <c r="H604" s="291">
        <f t="shared" si="2"/>
        <v>3.2599999999999997E-2</v>
      </c>
      <c r="I604" s="280">
        <f t="shared" si="3"/>
        <v>1.2599999999999998E-2</v>
      </c>
      <c r="J604" s="25"/>
      <c r="K604" s="25"/>
      <c r="O604" s="14"/>
      <c r="P604" s="24"/>
    </row>
    <row r="605" spans="1:16">
      <c r="A605" s="223">
        <v>43585</v>
      </c>
      <c r="B605" s="285">
        <v>2.283E-2</v>
      </c>
      <c r="C605" s="2">
        <v>4634</v>
      </c>
      <c r="D605" s="2">
        <v>7939</v>
      </c>
      <c r="E605" s="31"/>
      <c r="F605" s="284">
        <v>43583</v>
      </c>
      <c r="G605" s="280">
        <v>2.2599999999999999E-2</v>
      </c>
      <c r="H605" s="291">
        <f t="shared" si="2"/>
        <v>3.2599999999999997E-2</v>
      </c>
      <c r="I605" s="280">
        <f t="shared" si="3"/>
        <v>1.2599999999999998E-2</v>
      </c>
      <c r="J605" s="25"/>
      <c r="K605" s="25"/>
      <c r="O605" s="14"/>
      <c r="P605" s="24"/>
    </row>
    <row r="606" spans="1:16">
      <c r="A606" s="223">
        <v>43586</v>
      </c>
      <c r="B606" s="285">
        <v>2.283E-2</v>
      </c>
      <c r="C606" s="2" t="s">
        <v>8</v>
      </c>
      <c r="D606" s="2">
        <v>7939</v>
      </c>
      <c r="E606" s="31"/>
      <c r="F606" s="284">
        <v>43584</v>
      </c>
      <c r="G606" s="280">
        <v>2.2530000000000001E-2</v>
      </c>
      <c r="H606" s="291">
        <f t="shared" si="2"/>
        <v>3.2530000000000003E-2</v>
      </c>
      <c r="I606" s="280">
        <f t="shared" si="3"/>
        <v>1.2530000000000001E-2</v>
      </c>
      <c r="J606" s="25"/>
      <c r="K606" s="25"/>
      <c r="O606" s="14"/>
      <c r="P606" s="24"/>
    </row>
    <row r="607" spans="1:16">
      <c r="A607" s="223">
        <v>43587</v>
      </c>
      <c r="B607" s="285">
        <v>2.2540000000000001E-2</v>
      </c>
      <c r="C607" s="2">
        <v>4285</v>
      </c>
      <c r="D607" s="2">
        <v>6935</v>
      </c>
      <c r="E607" s="31"/>
      <c r="F607" s="284">
        <v>43585</v>
      </c>
      <c r="G607" s="280">
        <v>2.283E-2</v>
      </c>
      <c r="H607" s="291">
        <f t="shared" si="2"/>
        <v>3.2829999999999998E-2</v>
      </c>
      <c r="I607" s="280">
        <f t="shared" si="3"/>
        <v>1.2829999999999999E-2</v>
      </c>
      <c r="J607" s="25"/>
      <c r="K607" s="25"/>
      <c r="O607" s="14"/>
      <c r="P607" s="24"/>
    </row>
    <row r="608" spans="1:16">
      <c r="A608" s="223">
        <v>43588</v>
      </c>
      <c r="B608" s="285">
        <v>2.2689999999999998E-2</v>
      </c>
      <c r="C608" s="2">
        <v>3423</v>
      </c>
      <c r="D608" s="2">
        <v>6078</v>
      </c>
      <c r="E608" s="31"/>
      <c r="F608" s="284">
        <v>43586</v>
      </c>
      <c r="G608" s="280">
        <v>2.283E-2</v>
      </c>
      <c r="H608" s="291">
        <f t="shared" si="2"/>
        <v>3.2829999999999998E-2</v>
      </c>
      <c r="I608" s="280">
        <f t="shared" si="3"/>
        <v>1.2829999999999999E-2</v>
      </c>
      <c r="J608" s="25"/>
      <c r="K608" s="25"/>
      <c r="O608" s="14"/>
      <c r="P608" s="24"/>
    </row>
    <row r="609" spans="1:16">
      <c r="A609" s="223">
        <v>43589</v>
      </c>
      <c r="B609" s="285">
        <v>2.2689999999999998E-2</v>
      </c>
      <c r="C609" s="2" t="s">
        <v>8</v>
      </c>
      <c r="D609" s="2">
        <v>6078</v>
      </c>
      <c r="E609" s="31"/>
      <c r="F609" s="284">
        <v>43587</v>
      </c>
      <c r="G609" s="280">
        <v>2.2540000000000001E-2</v>
      </c>
      <c r="H609" s="291">
        <f t="shared" si="2"/>
        <v>3.2539999999999999E-2</v>
      </c>
      <c r="I609" s="280">
        <f t="shared" si="3"/>
        <v>1.2540000000000001E-2</v>
      </c>
      <c r="J609" s="25"/>
      <c r="K609" s="25"/>
      <c r="O609" s="14"/>
      <c r="P609" s="24"/>
    </row>
    <row r="610" spans="1:16">
      <c r="A610" s="223">
        <v>43590</v>
      </c>
      <c r="B610" s="285">
        <v>2.2689999999999998E-2</v>
      </c>
      <c r="C610" s="2" t="s">
        <v>8</v>
      </c>
      <c r="D610" s="2">
        <v>6078</v>
      </c>
      <c r="E610" s="31"/>
      <c r="F610" s="284">
        <v>43588</v>
      </c>
      <c r="G610" s="280">
        <v>2.2689999999999998E-2</v>
      </c>
      <c r="H610" s="291">
        <f t="shared" si="2"/>
        <v>3.2689999999999997E-2</v>
      </c>
      <c r="I610" s="280">
        <f t="shared" si="3"/>
        <v>1.2689999999999998E-2</v>
      </c>
      <c r="J610" s="25"/>
      <c r="K610" s="25"/>
      <c r="O610" s="14"/>
      <c r="P610" s="24"/>
    </row>
    <row r="611" spans="1:16">
      <c r="A611" s="223">
        <v>43591</v>
      </c>
      <c r="B611" s="285">
        <v>2.256E-2</v>
      </c>
      <c r="C611" s="2">
        <v>3019</v>
      </c>
      <c r="D611" s="2">
        <v>5674</v>
      </c>
      <c r="E611" s="31"/>
      <c r="F611" s="284">
        <v>43589</v>
      </c>
      <c r="G611" s="280">
        <v>2.2689999999999998E-2</v>
      </c>
      <c r="H611" s="291">
        <f t="shared" si="2"/>
        <v>3.2689999999999997E-2</v>
      </c>
      <c r="I611" s="280">
        <f t="shared" si="3"/>
        <v>1.2689999999999998E-2</v>
      </c>
      <c r="J611" s="25"/>
      <c r="K611" s="25"/>
      <c r="O611" s="14"/>
      <c r="P611" s="24"/>
    </row>
    <row r="612" spans="1:16">
      <c r="A612" s="223">
        <v>43592</v>
      </c>
      <c r="B612" s="285">
        <v>2.2530000000000001E-2</v>
      </c>
      <c r="C612" s="2">
        <v>3045</v>
      </c>
      <c r="D612" s="2">
        <v>5700</v>
      </c>
      <c r="E612" s="31"/>
      <c r="F612" s="284">
        <v>43590</v>
      </c>
      <c r="G612" s="280">
        <v>2.2689999999999998E-2</v>
      </c>
      <c r="H612" s="291">
        <f t="shared" si="2"/>
        <v>3.2689999999999997E-2</v>
      </c>
      <c r="I612" s="280">
        <f t="shared" si="3"/>
        <v>1.2689999999999998E-2</v>
      </c>
      <c r="J612" s="25"/>
      <c r="K612" s="25"/>
      <c r="O612" s="14"/>
      <c r="P612" s="24"/>
    </row>
    <row r="613" spans="1:16">
      <c r="A613" s="223">
        <v>43593</v>
      </c>
      <c r="B613" s="285">
        <v>2.257E-2</v>
      </c>
      <c r="C613" s="2">
        <v>2786</v>
      </c>
      <c r="D613" s="2">
        <v>5691</v>
      </c>
      <c r="E613" s="31"/>
      <c r="F613" s="284">
        <v>43591</v>
      </c>
      <c r="G613" s="280">
        <v>2.256E-2</v>
      </c>
      <c r="H613" s="291">
        <f t="shared" si="2"/>
        <v>3.2559999999999999E-2</v>
      </c>
      <c r="I613" s="280">
        <f t="shared" si="3"/>
        <v>1.256E-2</v>
      </c>
      <c r="J613" s="25"/>
      <c r="K613" s="25"/>
      <c r="O613" s="14"/>
      <c r="P613" s="24"/>
    </row>
    <row r="614" spans="1:16">
      <c r="A614" s="223">
        <v>43594</v>
      </c>
      <c r="B614" s="285">
        <v>2.2519999999999998E-2</v>
      </c>
      <c r="C614" s="2">
        <v>3491</v>
      </c>
      <c r="D614" s="2">
        <v>6296</v>
      </c>
      <c r="E614" s="31"/>
      <c r="F614" s="284">
        <v>43592</v>
      </c>
      <c r="G614" s="280">
        <v>2.2530000000000001E-2</v>
      </c>
      <c r="H614" s="291">
        <f t="shared" si="2"/>
        <v>3.2530000000000003E-2</v>
      </c>
      <c r="I614" s="280">
        <f t="shared" si="3"/>
        <v>1.2530000000000001E-2</v>
      </c>
      <c r="J614" s="25"/>
      <c r="K614" s="25"/>
      <c r="O614" s="14"/>
      <c r="P614" s="24"/>
    </row>
    <row r="615" spans="1:16">
      <c r="A615" s="223">
        <v>43595</v>
      </c>
      <c r="B615" s="285">
        <v>2.2519999999999998E-2</v>
      </c>
      <c r="C615" s="2">
        <v>2909</v>
      </c>
      <c r="D615" s="2">
        <v>5709</v>
      </c>
      <c r="E615" s="31"/>
      <c r="F615" s="284">
        <v>43593</v>
      </c>
      <c r="G615" s="280">
        <v>2.257E-2</v>
      </c>
      <c r="H615" s="291">
        <f t="shared" si="2"/>
        <v>3.2570000000000002E-2</v>
      </c>
      <c r="I615" s="280">
        <f t="shared" si="3"/>
        <v>1.257E-2</v>
      </c>
      <c r="J615" s="25"/>
      <c r="K615" s="25"/>
      <c r="O615" s="14"/>
      <c r="P615" s="24"/>
    </row>
    <row r="616" spans="1:16">
      <c r="A616" s="223">
        <v>43596</v>
      </c>
      <c r="B616" s="285">
        <v>2.2519999999999998E-2</v>
      </c>
      <c r="C616" s="2" t="s">
        <v>8</v>
      </c>
      <c r="D616" s="2">
        <v>5709</v>
      </c>
      <c r="E616" s="31"/>
      <c r="F616" s="284">
        <v>43594</v>
      </c>
      <c r="G616" s="280">
        <v>2.2519999999999998E-2</v>
      </c>
      <c r="H616" s="291">
        <f t="shared" si="2"/>
        <v>3.252E-2</v>
      </c>
      <c r="I616" s="280">
        <f t="shared" si="3"/>
        <v>1.2519999999999998E-2</v>
      </c>
      <c r="J616" s="25"/>
      <c r="K616" s="25"/>
      <c r="O616" s="14"/>
      <c r="P616" s="24"/>
    </row>
    <row r="617" spans="1:16">
      <c r="A617" s="223">
        <v>43597</v>
      </c>
      <c r="B617" s="285">
        <v>2.2519999999999998E-2</v>
      </c>
      <c r="C617" s="2" t="s">
        <v>8</v>
      </c>
      <c r="D617" s="2">
        <v>5709</v>
      </c>
      <c r="E617" s="31"/>
      <c r="F617" s="284">
        <v>43595</v>
      </c>
      <c r="G617" s="280">
        <v>2.2519999999999998E-2</v>
      </c>
      <c r="H617" s="291">
        <f t="shared" si="2"/>
        <v>3.252E-2</v>
      </c>
      <c r="I617" s="280">
        <f t="shared" si="3"/>
        <v>1.2519999999999998E-2</v>
      </c>
      <c r="J617" s="25"/>
      <c r="K617" s="25"/>
      <c r="O617" s="14"/>
      <c r="P617" s="24"/>
    </row>
    <row r="618" spans="1:16">
      <c r="A618" s="223">
        <v>43598</v>
      </c>
      <c r="B618" s="285">
        <v>2.2530000000000001E-2</v>
      </c>
      <c r="C618" s="2">
        <v>3213</v>
      </c>
      <c r="D618" s="2">
        <v>6013</v>
      </c>
      <c r="E618" s="31"/>
      <c r="F618" s="284">
        <v>43596</v>
      </c>
      <c r="G618" s="280">
        <v>2.2519999999999998E-2</v>
      </c>
      <c r="H618" s="291">
        <f t="shared" ref="H618:H681" si="4">G618+1%</f>
        <v>3.252E-2</v>
      </c>
      <c r="I618" s="280">
        <f t="shared" ref="I618:I681" si="5">G618-1%</f>
        <v>1.2519999999999998E-2</v>
      </c>
      <c r="J618" s="25"/>
      <c r="K618" s="25"/>
      <c r="O618" s="14"/>
      <c r="P618" s="24"/>
    </row>
    <row r="619" spans="1:16">
      <c r="A619" s="223">
        <v>43599</v>
      </c>
      <c r="B619" s="285">
        <v>2.2509999999999999E-2</v>
      </c>
      <c r="C619" s="2">
        <v>3405</v>
      </c>
      <c r="D619" s="2">
        <v>6210</v>
      </c>
      <c r="E619" s="31"/>
      <c r="F619" s="284">
        <v>43597</v>
      </c>
      <c r="G619" s="280">
        <v>2.2519999999999998E-2</v>
      </c>
      <c r="H619" s="291">
        <f t="shared" si="4"/>
        <v>3.252E-2</v>
      </c>
      <c r="I619" s="280">
        <f t="shared" si="5"/>
        <v>1.2519999999999998E-2</v>
      </c>
      <c r="J619" s="25"/>
      <c r="K619" s="25"/>
      <c r="O619" s="14"/>
      <c r="P619" s="24"/>
    </row>
    <row r="620" spans="1:16">
      <c r="A620" s="223">
        <v>43600</v>
      </c>
      <c r="B620" s="285">
        <v>2.2509999999999999E-2</v>
      </c>
      <c r="C620" s="2">
        <v>3302</v>
      </c>
      <c r="D620" s="2">
        <v>6107</v>
      </c>
      <c r="E620" s="31"/>
      <c r="F620" s="284">
        <v>43598</v>
      </c>
      <c r="G620" s="280">
        <v>2.2530000000000001E-2</v>
      </c>
      <c r="H620" s="291">
        <f t="shared" si="4"/>
        <v>3.2530000000000003E-2</v>
      </c>
      <c r="I620" s="280">
        <f t="shared" si="5"/>
        <v>1.2530000000000001E-2</v>
      </c>
      <c r="J620" s="25"/>
      <c r="K620" s="25"/>
      <c r="O620" s="14"/>
      <c r="P620" s="24"/>
    </row>
    <row r="621" spans="1:16">
      <c r="A621" s="223">
        <v>43601</v>
      </c>
      <c r="B621" s="285">
        <v>2.2550000000000001E-2</v>
      </c>
      <c r="C621" s="2">
        <v>3721</v>
      </c>
      <c r="D621" s="2">
        <v>6526</v>
      </c>
      <c r="E621" s="31"/>
      <c r="F621" s="284">
        <v>43599</v>
      </c>
      <c r="G621" s="280">
        <v>2.2509999999999999E-2</v>
      </c>
      <c r="H621" s="291">
        <f t="shared" si="4"/>
        <v>3.2509999999999997E-2</v>
      </c>
      <c r="I621" s="280">
        <f t="shared" si="5"/>
        <v>1.2509999999999999E-2</v>
      </c>
      <c r="J621" s="25"/>
      <c r="K621" s="25"/>
      <c r="O621" s="14"/>
      <c r="P621" s="24"/>
    </row>
    <row r="622" spans="1:16">
      <c r="A622" s="223">
        <v>43602</v>
      </c>
      <c r="B622" s="285">
        <v>2.2499999999999999E-2</v>
      </c>
      <c r="C622" s="2">
        <v>2974</v>
      </c>
      <c r="D622" s="2">
        <v>5934</v>
      </c>
      <c r="E622" s="31"/>
      <c r="F622" s="284">
        <v>43600</v>
      </c>
      <c r="G622" s="280">
        <v>2.2509999999999999E-2</v>
      </c>
      <c r="H622" s="291">
        <f t="shared" si="4"/>
        <v>3.2509999999999997E-2</v>
      </c>
      <c r="I622" s="280">
        <f t="shared" si="5"/>
        <v>1.2509999999999999E-2</v>
      </c>
      <c r="J622" s="25"/>
      <c r="K622" s="25"/>
      <c r="O622" s="14"/>
      <c r="P622" s="24"/>
    </row>
    <row r="623" spans="1:16">
      <c r="A623" s="223">
        <v>43603</v>
      </c>
      <c r="B623" s="285">
        <v>2.2499999999999999E-2</v>
      </c>
      <c r="C623" s="2" t="s">
        <v>8</v>
      </c>
      <c r="D623" s="2">
        <v>5934</v>
      </c>
      <c r="E623" s="31"/>
      <c r="F623" s="284">
        <v>43601</v>
      </c>
      <c r="G623" s="280">
        <v>2.2550000000000001E-2</v>
      </c>
      <c r="H623" s="291">
        <f t="shared" si="4"/>
        <v>3.2550000000000003E-2</v>
      </c>
      <c r="I623" s="280">
        <f t="shared" si="5"/>
        <v>1.255E-2</v>
      </c>
      <c r="J623" s="25"/>
      <c r="K623" s="25"/>
      <c r="O623" s="14"/>
      <c r="P623" s="24"/>
    </row>
    <row r="624" spans="1:16">
      <c r="A624" s="223">
        <v>43604</v>
      </c>
      <c r="B624" s="285">
        <v>2.2499999999999999E-2</v>
      </c>
      <c r="C624" s="2" t="s">
        <v>8</v>
      </c>
      <c r="D624" s="2">
        <v>5934</v>
      </c>
      <c r="E624" s="31"/>
      <c r="F624" s="284">
        <v>43602</v>
      </c>
      <c r="G624" s="280">
        <v>2.2499999999999999E-2</v>
      </c>
      <c r="H624" s="291">
        <f t="shared" si="4"/>
        <v>3.2500000000000001E-2</v>
      </c>
      <c r="I624" s="280">
        <f t="shared" si="5"/>
        <v>1.2499999999999999E-2</v>
      </c>
      <c r="J624" s="25"/>
      <c r="K624" s="25"/>
      <c r="O624" s="14"/>
      <c r="P624" s="24"/>
    </row>
    <row r="625" spans="1:16">
      <c r="A625" s="223">
        <v>43605</v>
      </c>
      <c r="B625" s="285">
        <v>2.256E-2</v>
      </c>
      <c r="C625" s="2">
        <v>1926</v>
      </c>
      <c r="D625" s="2">
        <v>4531</v>
      </c>
      <c r="E625" s="31"/>
      <c r="F625" s="284">
        <v>43603</v>
      </c>
      <c r="G625" s="280">
        <v>2.2499999999999999E-2</v>
      </c>
      <c r="H625" s="291">
        <f t="shared" si="4"/>
        <v>3.2500000000000001E-2</v>
      </c>
      <c r="I625" s="280">
        <f t="shared" si="5"/>
        <v>1.2499999999999999E-2</v>
      </c>
      <c r="J625" s="25"/>
      <c r="K625" s="25"/>
      <c r="O625" s="14"/>
      <c r="P625" s="24"/>
    </row>
    <row r="626" spans="1:16">
      <c r="A626" s="223">
        <v>43606</v>
      </c>
      <c r="B626" s="285">
        <v>2.2499999999999999E-2</v>
      </c>
      <c r="C626" s="2">
        <v>2239</v>
      </c>
      <c r="D626" s="2">
        <v>4749</v>
      </c>
      <c r="E626" s="31"/>
      <c r="F626" s="284">
        <v>43604</v>
      </c>
      <c r="G626" s="280">
        <v>2.2499999999999999E-2</v>
      </c>
      <c r="H626" s="291">
        <f t="shared" si="4"/>
        <v>3.2500000000000001E-2</v>
      </c>
      <c r="I626" s="280">
        <f t="shared" si="5"/>
        <v>1.2499999999999999E-2</v>
      </c>
      <c r="J626" s="25"/>
      <c r="K626" s="25"/>
      <c r="O626" s="14"/>
      <c r="P626" s="24"/>
    </row>
    <row r="627" spans="1:16">
      <c r="A627" s="223">
        <v>43607</v>
      </c>
      <c r="B627" s="285">
        <v>2.2499999999999999E-2</v>
      </c>
      <c r="C627" s="2">
        <v>2573</v>
      </c>
      <c r="D627" s="2">
        <v>5283</v>
      </c>
      <c r="E627" s="31"/>
      <c r="F627" s="284">
        <v>43605</v>
      </c>
      <c r="G627" s="280">
        <v>2.256E-2</v>
      </c>
      <c r="H627" s="291">
        <f t="shared" si="4"/>
        <v>3.2559999999999999E-2</v>
      </c>
      <c r="I627" s="280">
        <f t="shared" si="5"/>
        <v>1.256E-2</v>
      </c>
      <c r="J627" s="25"/>
      <c r="K627" s="25"/>
      <c r="O627" s="14"/>
      <c r="P627" s="24"/>
    </row>
    <row r="628" spans="1:16">
      <c r="A628" s="223">
        <v>43608</v>
      </c>
      <c r="B628" s="285">
        <v>2.256E-2</v>
      </c>
      <c r="C628" s="2">
        <v>3816</v>
      </c>
      <c r="D628" s="2">
        <v>7031</v>
      </c>
      <c r="E628" s="31"/>
      <c r="F628" s="284">
        <v>43606</v>
      </c>
      <c r="G628" s="280">
        <v>2.2499999999999999E-2</v>
      </c>
      <c r="H628" s="291">
        <f t="shared" si="4"/>
        <v>3.2500000000000001E-2</v>
      </c>
      <c r="I628" s="280">
        <f t="shared" si="5"/>
        <v>1.2499999999999999E-2</v>
      </c>
      <c r="J628" s="25"/>
      <c r="K628" s="25"/>
      <c r="O628" s="14"/>
      <c r="P628" s="24"/>
    </row>
    <row r="629" spans="1:16">
      <c r="A629" s="223">
        <v>43609</v>
      </c>
      <c r="B629" s="285">
        <v>2.2540000000000001E-2</v>
      </c>
      <c r="C629" s="2">
        <v>3726</v>
      </c>
      <c r="D629" s="2">
        <v>6926</v>
      </c>
      <c r="E629" s="31"/>
      <c r="F629" s="284">
        <v>43607</v>
      </c>
      <c r="G629" s="280">
        <v>2.2499999999999999E-2</v>
      </c>
      <c r="H629" s="291">
        <f t="shared" si="4"/>
        <v>3.2500000000000001E-2</v>
      </c>
      <c r="I629" s="280">
        <f t="shared" si="5"/>
        <v>1.2499999999999999E-2</v>
      </c>
      <c r="J629" s="25"/>
      <c r="K629" s="25"/>
      <c r="O629" s="14"/>
      <c r="P629" s="24"/>
    </row>
    <row r="630" spans="1:16">
      <c r="A630" s="223">
        <v>43610</v>
      </c>
      <c r="B630" s="285">
        <v>2.2540000000000001E-2</v>
      </c>
      <c r="C630" s="2" t="s">
        <v>8</v>
      </c>
      <c r="D630" s="2">
        <v>6926</v>
      </c>
      <c r="E630" s="31"/>
      <c r="F630" s="284">
        <v>43608</v>
      </c>
      <c r="G630" s="280">
        <v>2.256E-2</v>
      </c>
      <c r="H630" s="291">
        <f t="shared" si="4"/>
        <v>3.2559999999999999E-2</v>
      </c>
      <c r="I630" s="280">
        <f t="shared" si="5"/>
        <v>1.256E-2</v>
      </c>
      <c r="J630" s="25"/>
      <c r="K630" s="25"/>
      <c r="O630" s="14"/>
      <c r="P630" s="24"/>
    </row>
    <row r="631" spans="1:16">
      <c r="A631" s="223">
        <v>43611</v>
      </c>
      <c r="B631" s="285">
        <v>2.2540000000000001E-2</v>
      </c>
      <c r="C631" s="2" t="s">
        <v>8</v>
      </c>
      <c r="D631" s="2">
        <v>6926</v>
      </c>
      <c r="E631" s="31"/>
      <c r="F631" s="284">
        <v>43609</v>
      </c>
      <c r="G631" s="280">
        <v>2.2540000000000001E-2</v>
      </c>
      <c r="H631" s="291">
        <f t="shared" si="4"/>
        <v>3.2539999999999999E-2</v>
      </c>
      <c r="I631" s="280">
        <f t="shared" si="5"/>
        <v>1.2540000000000001E-2</v>
      </c>
      <c r="J631" s="25"/>
      <c r="K631" s="25"/>
      <c r="O631" s="14"/>
      <c r="P631" s="24"/>
    </row>
    <row r="632" spans="1:16">
      <c r="A632" s="223">
        <v>43612</v>
      </c>
      <c r="B632" s="285">
        <v>2.2540000000000001E-2</v>
      </c>
      <c r="C632" s="2">
        <v>3440</v>
      </c>
      <c r="D632" s="2">
        <v>6800</v>
      </c>
      <c r="E632" s="31"/>
      <c r="F632" s="284">
        <v>43610</v>
      </c>
      <c r="G632" s="280">
        <v>2.2540000000000001E-2</v>
      </c>
      <c r="H632" s="291">
        <f t="shared" si="4"/>
        <v>3.2539999999999999E-2</v>
      </c>
      <c r="I632" s="280">
        <f t="shared" si="5"/>
        <v>1.2540000000000001E-2</v>
      </c>
      <c r="J632" s="25"/>
      <c r="K632" s="25"/>
      <c r="O632" s="14"/>
      <c r="P632" s="24"/>
    </row>
    <row r="633" spans="1:16">
      <c r="A633" s="223">
        <v>43613</v>
      </c>
      <c r="B633" s="285">
        <v>2.2540000000000001E-2</v>
      </c>
      <c r="C633" s="2">
        <v>4568</v>
      </c>
      <c r="D633" s="2">
        <v>8163</v>
      </c>
      <c r="E633" s="31"/>
      <c r="F633" s="284">
        <v>43611</v>
      </c>
      <c r="G633" s="280">
        <v>2.2540000000000001E-2</v>
      </c>
      <c r="H633" s="291">
        <f t="shared" si="4"/>
        <v>3.2539999999999999E-2</v>
      </c>
      <c r="I633" s="280">
        <f t="shared" si="5"/>
        <v>1.2540000000000001E-2</v>
      </c>
      <c r="J633" s="25"/>
      <c r="K633" s="25"/>
      <c r="O633" s="14"/>
      <c r="P633" s="24"/>
    </row>
    <row r="634" spans="1:16">
      <c r="A634" s="223">
        <v>43614</v>
      </c>
      <c r="B634" s="285">
        <v>2.256E-2</v>
      </c>
      <c r="C634" s="2">
        <v>4133</v>
      </c>
      <c r="D634" s="2">
        <v>7828</v>
      </c>
      <c r="E634" s="31"/>
      <c r="F634" s="284">
        <v>43612</v>
      </c>
      <c r="G634" s="280">
        <v>2.2540000000000001E-2</v>
      </c>
      <c r="H634" s="291">
        <f t="shared" si="4"/>
        <v>3.2539999999999999E-2</v>
      </c>
      <c r="I634" s="280">
        <f t="shared" si="5"/>
        <v>1.2540000000000001E-2</v>
      </c>
      <c r="J634" s="25"/>
      <c r="K634" s="25"/>
      <c r="O634" s="14"/>
      <c r="P634" s="24"/>
    </row>
    <row r="635" spans="1:16">
      <c r="A635" s="223">
        <v>43615</v>
      </c>
      <c r="B635" s="285">
        <v>2.266E-2</v>
      </c>
      <c r="C635" s="2">
        <v>5149</v>
      </c>
      <c r="D635" s="2">
        <v>7944</v>
      </c>
      <c r="E635" s="31"/>
      <c r="F635" s="284">
        <v>43613</v>
      </c>
      <c r="G635" s="280">
        <v>2.2540000000000001E-2</v>
      </c>
      <c r="H635" s="291">
        <f t="shared" si="4"/>
        <v>3.2539999999999999E-2</v>
      </c>
      <c r="I635" s="280">
        <f t="shared" si="5"/>
        <v>1.2540000000000001E-2</v>
      </c>
      <c r="J635" s="25"/>
      <c r="K635" s="25"/>
      <c r="O635" s="14"/>
      <c r="P635" s="24"/>
    </row>
    <row r="636" spans="1:16">
      <c r="A636" s="223">
        <v>43616</v>
      </c>
      <c r="B636" s="285">
        <v>2.2679999999999999E-2</v>
      </c>
      <c r="C636" s="2">
        <v>5341</v>
      </c>
      <c r="D636" s="2">
        <v>7891</v>
      </c>
      <c r="E636" s="31"/>
      <c r="F636" s="284">
        <v>43614</v>
      </c>
      <c r="G636" s="280">
        <v>2.256E-2</v>
      </c>
      <c r="H636" s="291">
        <f t="shared" si="4"/>
        <v>3.2559999999999999E-2</v>
      </c>
      <c r="I636" s="280">
        <f t="shared" si="5"/>
        <v>1.256E-2</v>
      </c>
      <c r="J636" s="25"/>
      <c r="K636" s="25"/>
      <c r="O636" s="14"/>
      <c r="P636" s="24"/>
    </row>
    <row r="637" spans="1:16">
      <c r="A637" s="223">
        <v>43617</v>
      </c>
      <c r="B637" s="285">
        <v>2.2679999999999999E-2</v>
      </c>
      <c r="C637" s="2" t="s">
        <v>8</v>
      </c>
      <c r="D637" s="2">
        <v>7891</v>
      </c>
      <c r="E637" s="31"/>
      <c r="F637" s="284">
        <v>43615</v>
      </c>
      <c r="G637" s="280">
        <v>2.266E-2</v>
      </c>
      <c r="H637" s="291">
        <f t="shared" si="4"/>
        <v>3.2660000000000002E-2</v>
      </c>
      <c r="I637" s="280">
        <f t="shared" si="5"/>
        <v>1.2659999999999999E-2</v>
      </c>
      <c r="J637" s="25"/>
      <c r="K637" s="25"/>
      <c r="O637" s="14"/>
      <c r="P637" s="24"/>
    </row>
    <row r="638" spans="1:16">
      <c r="A638" s="223">
        <v>43618</v>
      </c>
      <c r="B638" s="285">
        <v>2.2679999999999999E-2</v>
      </c>
      <c r="C638" s="2" t="s">
        <v>8</v>
      </c>
      <c r="D638" s="2">
        <v>7891</v>
      </c>
      <c r="E638" s="31"/>
      <c r="F638" s="284">
        <v>43616</v>
      </c>
      <c r="G638" s="280">
        <v>2.2679999999999999E-2</v>
      </c>
      <c r="H638" s="291">
        <f t="shared" si="4"/>
        <v>3.2680000000000001E-2</v>
      </c>
      <c r="I638" s="280">
        <f t="shared" si="5"/>
        <v>1.2679999999999999E-2</v>
      </c>
      <c r="J638" s="25"/>
      <c r="K638" s="25"/>
      <c r="O638" s="14"/>
      <c r="P638" s="24"/>
    </row>
    <row r="639" spans="1:16">
      <c r="A639" s="223">
        <v>43619</v>
      </c>
      <c r="B639" s="285">
        <v>2.2669999999999999E-2</v>
      </c>
      <c r="C639" s="2">
        <v>3635</v>
      </c>
      <c r="D639" s="2">
        <v>7685</v>
      </c>
      <c r="E639" s="31"/>
      <c r="F639" s="284">
        <v>43617</v>
      </c>
      <c r="G639" s="280">
        <v>2.2679999999999999E-2</v>
      </c>
      <c r="H639" s="291">
        <f t="shared" si="4"/>
        <v>3.2680000000000001E-2</v>
      </c>
      <c r="I639" s="280">
        <f t="shared" si="5"/>
        <v>1.2679999999999999E-2</v>
      </c>
      <c r="J639" s="25"/>
      <c r="K639" s="25"/>
      <c r="O639" s="14"/>
      <c r="P639" s="24"/>
    </row>
    <row r="640" spans="1:16">
      <c r="A640" s="223">
        <v>43620</v>
      </c>
      <c r="B640" s="285">
        <v>2.2839999999999999E-2</v>
      </c>
      <c r="C640" s="2">
        <v>4241</v>
      </c>
      <c r="D640" s="2">
        <v>8111</v>
      </c>
      <c r="E640" s="31"/>
      <c r="F640" s="284">
        <v>43618</v>
      </c>
      <c r="G640" s="280">
        <v>2.2679999999999999E-2</v>
      </c>
      <c r="H640" s="291">
        <f t="shared" si="4"/>
        <v>3.2680000000000001E-2</v>
      </c>
      <c r="I640" s="280">
        <f t="shared" si="5"/>
        <v>1.2679999999999999E-2</v>
      </c>
      <c r="J640" s="25"/>
      <c r="K640" s="25"/>
      <c r="O640" s="14"/>
      <c r="P640" s="24"/>
    </row>
    <row r="641" spans="1:16">
      <c r="A641" s="223">
        <v>43621</v>
      </c>
      <c r="B641" s="285">
        <v>2.2839999999999999E-2</v>
      </c>
      <c r="C641" s="2" t="s">
        <v>8</v>
      </c>
      <c r="D641" s="2">
        <v>8111</v>
      </c>
      <c r="E641" s="31"/>
      <c r="F641" s="284">
        <v>43619</v>
      </c>
      <c r="G641" s="280">
        <v>2.2669999999999999E-2</v>
      </c>
      <c r="H641" s="291">
        <f t="shared" si="4"/>
        <v>3.2669999999999998E-2</v>
      </c>
      <c r="I641" s="280">
        <f t="shared" si="5"/>
        <v>1.2669999999999999E-2</v>
      </c>
      <c r="J641" s="25"/>
      <c r="K641" s="25"/>
      <c r="O641" s="14"/>
      <c r="P641" s="24"/>
    </row>
    <row r="642" spans="1:16">
      <c r="A642" s="223">
        <v>43622</v>
      </c>
      <c r="B642" s="285">
        <v>2.2839999999999999E-2</v>
      </c>
      <c r="C642" s="2" t="s">
        <v>8</v>
      </c>
      <c r="D642" s="2">
        <v>8111</v>
      </c>
      <c r="E642" s="31"/>
      <c r="F642" s="284">
        <v>43620</v>
      </c>
      <c r="G642" s="280">
        <v>2.2839999999999999E-2</v>
      </c>
      <c r="H642" s="291">
        <f t="shared" si="4"/>
        <v>3.2840000000000001E-2</v>
      </c>
      <c r="I642" s="280">
        <f t="shared" si="5"/>
        <v>1.2839999999999999E-2</v>
      </c>
      <c r="J642" s="25"/>
      <c r="K642" s="25"/>
      <c r="O642" s="14"/>
      <c r="P642" s="24"/>
    </row>
    <row r="643" spans="1:16">
      <c r="A643" s="223">
        <v>43623</v>
      </c>
      <c r="B643" s="285">
        <v>2.2839999999999999E-2</v>
      </c>
      <c r="C643" s="2" t="s">
        <v>8</v>
      </c>
      <c r="D643" s="2">
        <v>8111</v>
      </c>
      <c r="E643" s="31"/>
      <c r="F643" s="284">
        <v>43621</v>
      </c>
      <c r="G643" s="280">
        <v>2.2839999999999999E-2</v>
      </c>
      <c r="H643" s="291">
        <f t="shared" si="4"/>
        <v>3.2840000000000001E-2</v>
      </c>
      <c r="I643" s="280">
        <f t="shared" si="5"/>
        <v>1.2839999999999999E-2</v>
      </c>
      <c r="J643" s="25"/>
      <c r="K643" s="25"/>
      <c r="O643" s="14"/>
      <c r="P643" s="24"/>
    </row>
    <row r="644" spans="1:16">
      <c r="A644" s="223">
        <v>43624</v>
      </c>
      <c r="B644" s="285">
        <v>2.2839999999999999E-2</v>
      </c>
      <c r="C644" s="2" t="s">
        <v>8</v>
      </c>
      <c r="D644" s="2">
        <v>8111</v>
      </c>
      <c r="E644" s="31"/>
      <c r="F644" s="284">
        <v>43622</v>
      </c>
      <c r="G644" s="280">
        <v>2.2839999999999999E-2</v>
      </c>
      <c r="H644" s="291">
        <f t="shared" si="4"/>
        <v>3.2840000000000001E-2</v>
      </c>
      <c r="I644" s="280">
        <f t="shared" si="5"/>
        <v>1.2839999999999999E-2</v>
      </c>
      <c r="J644" s="25"/>
      <c r="K644" s="25"/>
      <c r="O644" s="14"/>
      <c r="P644" s="24"/>
    </row>
    <row r="645" spans="1:16">
      <c r="A645" s="223">
        <v>43625</v>
      </c>
      <c r="B645" s="285">
        <v>2.2839999999999999E-2</v>
      </c>
      <c r="C645" s="2" t="s">
        <v>8</v>
      </c>
      <c r="D645" s="2">
        <v>8111</v>
      </c>
      <c r="E645" s="31"/>
      <c r="F645" s="284">
        <v>43623</v>
      </c>
      <c r="G645" s="280">
        <v>2.2839999999999999E-2</v>
      </c>
      <c r="H645" s="291">
        <f t="shared" si="4"/>
        <v>3.2840000000000001E-2</v>
      </c>
      <c r="I645" s="280">
        <f t="shared" si="5"/>
        <v>1.2839999999999999E-2</v>
      </c>
      <c r="J645" s="25"/>
      <c r="K645" s="25"/>
      <c r="O645" s="14"/>
      <c r="P645" s="24"/>
    </row>
    <row r="646" spans="1:16">
      <c r="A646" s="223">
        <v>43626</v>
      </c>
      <c r="B646" s="285">
        <v>2.2530000000000001E-2</v>
      </c>
      <c r="C646" s="2">
        <v>2826</v>
      </c>
      <c r="D646" s="2">
        <v>5836</v>
      </c>
      <c r="E646" s="31"/>
      <c r="F646" s="284">
        <v>43624</v>
      </c>
      <c r="G646" s="280">
        <v>2.2839999999999999E-2</v>
      </c>
      <c r="H646" s="291">
        <f t="shared" si="4"/>
        <v>3.2840000000000001E-2</v>
      </c>
      <c r="I646" s="280">
        <f t="shared" si="5"/>
        <v>1.2839999999999999E-2</v>
      </c>
      <c r="J646" s="25"/>
      <c r="K646" s="25"/>
      <c r="O646" s="14"/>
      <c r="P646" s="24"/>
    </row>
    <row r="647" spans="1:16">
      <c r="A647" s="223">
        <v>43627</v>
      </c>
      <c r="B647" s="285">
        <v>2.2689999999999998E-2</v>
      </c>
      <c r="C647" s="2">
        <v>3797</v>
      </c>
      <c r="D647" s="2">
        <v>6807</v>
      </c>
      <c r="E647" s="31"/>
      <c r="F647" s="284">
        <v>43625</v>
      </c>
      <c r="G647" s="280">
        <v>2.2839999999999999E-2</v>
      </c>
      <c r="H647" s="291">
        <f t="shared" si="4"/>
        <v>3.2840000000000001E-2</v>
      </c>
      <c r="I647" s="280">
        <f t="shared" si="5"/>
        <v>1.2839999999999999E-2</v>
      </c>
      <c r="J647" s="25"/>
      <c r="K647" s="25"/>
      <c r="O647" s="14"/>
      <c r="P647" s="24"/>
    </row>
    <row r="648" spans="1:16">
      <c r="A648" s="223">
        <v>43628</v>
      </c>
      <c r="B648" s="285">
        <v>2.273E-2</v>
      </c>
      <c r="C648" s="2">
        <v>3029</v>
      </c>
      <c r="D648" s="2">
        <v>6489</v>
      </c>
      <c r="E648" s="31"/>
      <c r="F648" s="284">
        <v>43626</v>
      </c>
      <c r="G648" s="280">
        <v>2.2530000000000001E-2</v>
      </c>
      <c r="H648" s="291">
        <f t="shared" si="4"/>
        <v>3.2530000000000003E-2</v>
      </c>
      <c r="I648" s="280">
        <f t="shared" si="5"/>
        <v>1.2530000000000001E-2</v>
      </c>
      <c r="J648" s="25"/>
      <c r="K648" s="25"/>
      <c r="O648" s="14"/>
      <c r="P648" s="24"/>
    </row>
    <row r="649" spans="1:16">
      <c r="A649" s="223">
        <v>43629</v>
      </c>
      <c r="B649" s="285">
        <v>2.256E-2</v>
      </c>
      <c r="C649" s="2">
        <v>3237</v>
      </c>
      <c r="D649" s="2">
        <v>5997</v>
      </c>
      <c r="E649" s="31"/>
      <c r="F649" s="284">
        <v>43627</v>
      </c>
      <c r="G649" s="280">
        <v>2.2689999999999998E-2</v>
      </c>
      <c r="H649" s="291">
        <f t="shared" si="4"/>
        <v>3.2689999999999997E-2</v>
      </c>
      <c r="I649" s="280">
        <f t="shared" si="5"/>
        <v>1.2689999999999998E-2</v>
      </c>
      <c r="J649" s="25"/>
      <c r="K649" s="25"/>
      <c r="O649" s="14"/>
      <c r="P649" s="24"/>
    </row>
    <row r="650" spans="1:16">
      <c r="A650" s="223">
        <v>43630</v>
      </c>
      <c r="B650" s="285">
        <v>2.2550000000000001E-2</v>
      </c>
      <c r="C650" s="2">
        <v>2740</v>
      </c>
      <c r="D650" s="2">
        <v>5650</v>
      </c>
      <c r="E650" s="31"/>
      <c r="F650" s="284">
        <v>43628</v>
      </c>
      <c r="G650" s="280">
        <v>2.273E-2</v>
      </c>
      <c r="H650" s="291">
        <f t="shared" si="4"/>
        <v>3.2730000000000002E-2</v>
      </c>
      <c r="I650" s="280">
        <f t="shared" si="5"/>
        <v>1.273E-2</v>
      </c>
      <c r="J650" s="25"/>
      <c r="K650" s="25"/>
      <c r="O650" s="14"/>
      <c r="P650" s="24"/>
    </row>
    <row r="651" spans="1:16">
      <c r="A651" s="223">
        <v>43631</v>
      </c>
      <c r="B651" s="285">
        <v>2.2550000000000001E-2</v>
      </c>
      <c r="C651" s="2" t="s">
        <v>8</v>
      </c>
      <c r="D651" s="2">
        <v>5650</v>
      </c>
      <c r="E651" s="31"/>
      <c r="F651" s="284">
        <v>43629</v>
      </c>
      <c r="G651" s="280">
        <v>2.256E-2</v>
      </c>
      <c r="H651" s="291">
        <f t="shared" si="4"/>
        <v>3.2559999999999999E-2</v>
      </c>
      <c r="I651" s="280">
        <f t="shared" si="5"/>
        <v>1.256E-2</v>
      </c>
      <c r="J651" s="25"/>
      <c r="K651" s="25"/>
      <c r="O651" s="14"/>
      <c r="P651" s="24"/>
    </row>
    <row r="652" spans="1:16">
      <c r="A652" s="223">
        <v>43632</v>
      </c>
      <c r="B652" s="285">
        <v>2.2550000000000001E-2</v>
      </c>
      <c r="C652" s="2" t="s">
        <v>8</v>
      </c>
      <c r="D652" s="2">
        <v>5650</v>
      </c>
      <c r="E652" s="31"/>
      <c r="F652" s="284">
        <v>43630</v>
      </c>
      <c r="G652" s="280">
        <v>2.2550000000000001E-2</v>
      </c>
      <c r="H652" s="291">
        <f t="shared" si="4"/>
        <v>3.2550000000000003E-2</v>
      </c>
      <c r="I652" s="280">
        <f t="shared" si="5"/>
        <v>1.255E-2</v>
      </c>
      <c r="J652" s="25"/>
      <c r="K652" s="25"/>
      <c r="O652" s="14"/>
      <c r="P652" s="24"/>
    </row>
    <row r="653" spans="1:16">
      <c r="A653" s="223">
        <v>43633</v>
      </c>
      <c r="B653" s="285">
        <v>2.2519999999999998E-2</v>
      </c>
      <c r="C653" s="2">
        <v>2798</v>
      </c>
      <c r="D653" s="2">
        <v>6358</v>
      </c>
      <c r="E653" s="31"/>
      <c r="F653" s="284">
        <v>43631</v>
      </c>
      <c r="G653" s="280">
        <v>2.2550000000000001E-2</v>
      </c>
      <c r="H653" s="291">
        <f t="shared" si="4"/>
        <v>3.2550000000000003E-2</v>
      </c>
      <c r="I653" s="280">
        <f t="shared" si="5"/>
        <v>1.255E-2</v>
      </c>
      <c r="J653" s="25"/>
      <c r="K653" s="25"/>
      <c r="O653" s="14"/>
      <c r="P653" s="24"/>
    </row>
    <row r="654" spans="1:16">
      <c r="A654" s="223">
        <v>43634</v>
      </c>
      <c r="B654" s="285">
        <v>2.2499999999999999E-2</v>
      </c>
      <c r="C654" s="2">
        <v>3510</v>
      </c>
      <c r="D654" s="2">
        <v>7370</v>
      </c>
      <c r="E654" s="31"/>
      <c r="F654" s="284">
        <v>43632</v>
      </c>
      <c r="G654" s="280">
        <v>2.2550000000000001E-2</v>
      </c>
      <c r="H654" s="291">
        <f t="shared" si="4"/>
        <v>3.2550000000000003E-2</v>
      </c>
      <c r="I654" s="280">
        <f t="shared" si="5"/>
        <v>1.255E-2</v>
      </c>
      <c r="J654" s="25"/>
      <c r="K654" s="25"/>
      <c r="O654" s="14"/>
      <c r="P654" s="24"/>
    </row>
    <row r="655" spans="1:16">
      <c r="A655" s="223">
        <v>43635</v>
      </c>
      <c r="B655" s="285">
        <v>2.2499999999999999E-2</v>
      </c>
      <c r="C655" s="2">
        <v>3493</v>
      </c>
      <c r="D655" s="2">
        <v>6903</v>
      </c>
      <c r="E655" s="31"/>
      <c r="F655" s="284">
        <v>43633</v>
      </c>
      <c r="G655" s="280">
        <v>2.2519999999999998E-2</v>
      </c>
      <c r="H655" s="291">
        <f t="shared" si="4"/>
        <v>3.252E-2</v>
      </c>
      <c r="I655" s="280">
        <f t="shared" si="5"/>
        <v>1.2519999999999998E-2</v>
      </c>
      <c r="J655" s="25"/>
      <c r="K655" s="25"/>
      <c r="O655" s="14"/>
      <c r="P655" s="24"/>
    </row>
    <row r="656" spans="1:16">
      <c r="A656" s="223">
        <v>43636</v>
      </c>
      <c r="B656" s="285">
        <v>2.307E-2</v>
      </c>
      <c r="C656" s="2">
        <v>4161</v>
      </c>
      <c r="D656" s="2">
        <v>7891</v>
      </c>
      <c r="E656" s="31"/>
      <c r="F656" s="284">
        <v>43634</v>
      </c>
      <c r="G656" s="280">
        <v>2.2499999999999999E-2</v>
      </c>
      <c r="H656" s="291">
        <f t="shared" si="4"/>
        <v>3.2500000000000001E-2</v>
      </c>
      <c r="I656" s="280">
        <f t="shared" si="5"/>
        <v>1.2499999999999999E-2</v>
      </c>
      <c r="J656" s="25"/>
      <c r="K656" s="25"/>
      <c r="O656" s="14"/>
      <c r="P656" s="24"/>
    </row>
    <row r="657" spans="1:16">
      <c r="A657" s="223">
        <v>43637</v>
      </c>
      <c r="B657" s="285">
        <v>2.2669999999999999E-2</v>
      </c>
      <c r="C657" s="2">
        <v>2132</v>
      </c>
      <c r="D657" s="2">
        <v>5872</v>
      </c>
      <c r="E657" s="31"/>
      <c r="F657" s="284">
        <v>43635</v>
      </c>
      <c r="G657" s="280">
        <v>2.2499999999999999E-2</v>
      </c>
      <c r="H657" s="291">
        <f t="shared" si="4"/>
        <v>3.2500000000000001E-2</v>
      </c>
      <c r="I657" s="280">
        <f t="shared" si="5"/>
        <v>1.2499999999999999E-2</v>
      </c>
      <c r="J657" s="25"/>
      <c r="K657" s="25"/>
      <c r="O657" s="14"/>
      <c r="P657" s="24"/>
    </row>
    <row r="658" spans="1:16">
      <c r="A658" s="223">
        <v>43638</v>
      </c>
      <c r="B658" s="285">
        <v>2.2669999999999999E-2</v>
      </c>
      <c r="C658" s="2" t="s">
        <v>8</v>
      </c>
      <c r="D658" s="2">
        <v>5872</v>
      </c>
      <c r="E658" s="31"/>
      <c r="F658" s="284">
        <v>43636</v>
      </c>
      <c r="G658" s="280">
        <v>2.307E-2</v>
      </c>
      <c r="H658" s="291">
        <f t="shared" si="4"/>
        <v>3.3070000000000002E-2</v>
      </c>
      <c r="I658" s="280">
        <f t="shared" si="5"/>
        <v>1.307E-2</v>
      </c>
      <c r="J658" s="25"/>
      <c r="K658" s="25"/>
      <c r="O658" s="14"/>
      <c r="P658" s="24"/>
    </row>
    <row r="659" spans="1:16">
      <c r="A659" s="223">
        <v>43639</v>
      </c>
      <c r="B659" s="285">
        <v>2.2669999999999999E-2</v>
      </c>
      <c r="C659" s="2" t="s">
        <v>8</v>
      </c>
      <c r="D659" s="2">
        <v>5872</v>
      </c>
      <c r="E659" s="31"/>
      <c r="F659" s="284">
        <v>43637</v>
      </c>
      <c r="G659" s="280">
        <v>2.2669999999999999E-2</v>
      </c>
      <c r="H659" s="291">
        <f t="shared" si="4"/>
        <v>3.2669999999999998E-2</v>
      </c>
      <c r="I659" s="280">
        <f t="shared" si="5"/>
        <v>1.2669999999999999E-2</v>
      </c>
      <c r="J659" s="25"/>
      <c r="K659" s="25"/>
      <c r="O659" s="14"/>
      <c r="P659" s="24"/>
    </row>
    <row r="660" spans="1:16">
      <c r="A660" s="223">
        <v>43640</v>
      </c>
      <c r="B660" s="285">
        <v>2.256E-2</v>
      </c>
      <c r="C660" s="2">
        <v>1886</v>
      </c>
      <c r="D660" s="2">
        <v>6426</v>
      </c>
      <c r="E660" s="31"/>
      <c r="F660" s="284">
        <v>43638</v>
      </c>
      <c r="G660" s="280">
        <v>2.2669999999999999E-2</v>
      </c>
      <c r="H660" s="291">
        <f t="shared" si="4"/>
        <v>3.2669999999999998E-2</v>
      </c>
      <c r="I660" s="280">
        <f t="shared" si="5"/>
        <v>1.2669999999999999E-2</v>
      </c>
      <c r="J660" s="25"/>
      <c r="K660" s="25"/>
      <c r="O660" s="14"/>
      <c r="P660" s="24"/>
    </row>
    <row r="661" spans="1:16">
      <c r="A661" s="223">
        <v>43641</v>
      </c>
      <c r="B661" s="285">
        <v>2.2579999999999999E-2</v>
      </c>
      <c r="C661" s="2">
        <v>3344</v>
      </c>
      <c r="D661" s="2">
        <v>7884</v>
      </c>
      <c r="E661" s="31"/>
      <c r="F661" s="284">
        <v>43639</v>
      </c>
      <c r="G661" s="280">
        <v>2.2669999999999999E-2</v>
      </c>
      <c r="H661" s="291">
        <f t="shared" si="4"/>
        <v>3.2669999999999998E-2</v>
      </c>
      <c r="I661" s="280">
        <f t="shared" si="5"/>
        <v>1.2669999999999999E-2</v>
      </c>
      <c r="J661" s="25"/>
      <c r="K661" s="25"/>
      <c r="O661" s="14"/>
      <c r="P661" s="24"/>
    </row>
    <row r="662" spans="1:16">
      <c r="A662" s="223">
        <v>43642</v>
      </c>
      <c r="B662" s="285">
        <v>2.2620000000000001E-2</v>
      </c>
      <c r="C662" s="2">
        <v>2891</v>
      </c>
      <c r="D662" s="2">
        <v>7431</v>
      </c>
      <c r="E662" s="31"/>
      <c r="F662" s="284">
        <v>43640</v>
      </c>
      <c r="G662" s="280">
        <v>2.256E-2</v>
      </c>
      <c r="H662" s="291">
        <f t="shared" si="4"/>
        <v>3.2559999999999999E-2</v>
      </c>
      <c r="I662" s="280">
        <f t="shared" si="5"/>
        <v>1.256E-2</v>
      </c>
      <c r="J662" s="25"/>
      <c r="K662" s="25"/>
      <c r="O662" s="14"/>
      <c r="P662" s="24"/>
    </row>
    <row r="663" spans="1:16">
      <c r="A663" s="223">
        <v>43643</v>
      </c>
      <c r="B663" s="285">
        <v>2.265E-2</v>
      </c>
      <c r="C663" s="2">
        <v>4046</v>
      </c>
      <c r="D663" s="2">
        <v>8286</v>
      </c>
      <c r="E663" s="31"/>
      <c r="F663" s="284">
        <v>43641</v>
      </c>
      <c r="G663" s="280">
        <v>2.2579999999999999E-2</v>
      </c>
      <c r="H663" s="291">
        <f t="shared" si="4"/>
        <v>3.2579999999999998E-2</v>
      </c>
      <c r="I663" s="280">
        <f t="shared" si="5"/>
        <v>1.2579999999999999E-2</v>
      </c>
      <c r="J663" s="25"/>
      <c r="K663" s="25"/>
      <c r="O663" s="14"/>
      <c r="P663" s="24"/>
    </row>
    <row r="664" spans="1:16">
      <c r="A664" s="223">
        <v>43644</v>
      </c>
      <c r="B664" s="285">
        <v>2.29E-2</v>
      </c>
      <c r="C664" s="2">
        <v>6276</v>
      </c>
      <c r="D664" s="2">
        <v>8886</v>
      </c>
      <c r="E664" s="31"/>
      <c r="F664" s="284">
        <v>43642</v>
      </c>
      <c r="G664" s="280">
        <v>2.2620000000000001E-2</v>
      </c>
      <c r="H664" s="291">
        <f t="shared" si="4"/>
        <v>3.2620000000000003E-2</v>
      </c>
      <c r="I664" s="280">
        <f t="shared" si="5"/>
        <v>1.2620000000000001E-2</v>
      </c>
      <c r="J664" s="25"/>
      <c r="K664" s="25"/>
      <c r="O664" s="14"/>
      <c r="P664" s="24"/>
    </row>
    <row r="665" spans="1:16">
      <c r="A665" s="223">
        <v>43645</v>
      </c>
      <c r="B665" s="285">
        <v>2.29E-2</v>
      </c>
      <c r="C665" s="2" t="s">
        <v>8</v>
      </c>
      <c r="D665" s="2">
        <v>8886</v>
      </c>
      <c r="E665" s="31"/>
      <c r="F665" s="284">
        <v>43643</v>
      </c>
      <c r="G665" s="280">
        <v>2.265E-2</v>
      </c>
      <c r="H665" s="291">
        <f t="shared" si="4"/>
        <v>3.2649999999999998E-2</v>
      </c>
      <c r="I665" s="280">
        <f t="shared" si="5"/>
        <v>1.265E-2</v>
      </c>
      <c r="J665" s="25"/>
      <c r="K665" s="25"/>
      <c r="O665" s="14"/>
      <c r="P665" s="24"/>
    </row>
    <row r="666" spans="1:16">
      <c r="A666" s="223">
        <v>43646</v>
      </c>
      <c r="B666" s="285">
        <v>2.29E-2</v>
      </c>
      <c r="C666" s="2" t="s">
        <v>8</v>
      </c>
      <c r="D666" s="2">
        <v>8886</v>
      </c>
      <c r="E666" s="31"/>
      <c r="F666" s="284">
        <v>43644</v>
      </c>
      <c r="G666" s="280">
        <v>2.29E-2</v>
      </c>
      <c r="H666" s="291">
        <f t="shared" si="4"/>
        <v>3.2899999999999999E-2</v>
      </c>
      <c r="I666" s="280">
        <f t="shared" si="5"/>
        <v>1.29E-2</v>
      </c>
      <c r="J666" s="25"/>
      <c r="K666" s="25"/>
      <c r="O666" s="14"/>
      <c r="P666" s="24"/>
    </row>
    <row r="667" spans="1:16">
      <c r="A667" s="223">
        <v>43647</v>
      </c>
      <c r="B667" s="285">
        <v>2.2679999999999999E-2</v>
      </c>
      <c r="C667" s="2">
        <v>4978</v>
      </c>
      <c r="D667" s="2">
        <v>8408</v>
      </c>
      <c r="E667" s="31"/>
      <c r="F667" s="284">
        <v>43645</v>
      </c>
      <c r="G667" s="280">
        <v>2.29E-2</v>
      </c>
      <c r="H667" s="291">
        <f t="shared" si="4"/>
        <v>3.2899999999999999E-2</v>
      </c>
      <c r="I667" s="280">
        <f t="shared" si="5"/>
        <v>1.29E-2</v>
      </c>
      <c r="J667" s="25"/>
      <c r="K667" s="25"/>
      <c r="O667" s="14"/>
      <c r="P667" s="24"/>
    </row>
    <row r="668" spans="1:16">
      <c r="A668" s="223">
        <v>43648</v>
      </c>
      <c r="B668" s="285">
        <v>2.256E-2</v>
      </c>
      <c r="C668" s="2">
        <v>4987</v>
      </c>
      <c r="D668" s="2">
        <v>8237</v>
      </c>
      <c r="E668" s="31"/>
      <c r="F668" s="284">
        <v>43646</v>
      </c>
      <c r="G668" s="280">
        <v>2.29E-2</v>
      </c>
      <c r="H668" s="291">
        <f t="shared" si="4"/>
        <v>3.2899999999999999E-2</v>
      </c>
      <c r="I668" s="280">
        <f t="shared" si="5"/>
        <v>1.29E-2</v>
      </c>
      <c r="J668" s="25"/>
      <c r="K668" s="25"/>
      <c r="O668" s="14"/>
      <c r="P668" s="24"/>
    </row>
    <row r="669" spans="1:16">
      <c r="A669" s="223">
        <v>43649</v>
      </c>
      <c r="B669" s="285">
        <v>2.256E-2</v>
      </c>
      <c r="C669" s="2">
        <v>4738</v>
      </c>
      <c r="D669" s="2">
        <v>7988</v>
      </c>
      <c r="E669" s="31"/>
      <c r="F669" s="284">
        <v>43647</v>
      </c>
      <c r="G669" s="280">
        <v>2.2679999999999999E-2</v>
      </c>
      <c r="H669" s="291">
        <f t="shared" si="4"/>
        <v>3.2680000000000001E-2</v>
      </c>
      <c r="I669" s="280">
        <f t="shared" si="5"/>
        <v>1.2679999999999999E-2</v>
      </c>
      <c r="J669" s="25"/>
      <c r="K669" s="25"/>
      <c r="O669" s="14"/>
      <c r="P669" s="24"/>
    </row>
    <row r="670" spans="1:16">
      <c r="A670" s="223">
        <v>43650</v>
      </c>
      <c r="B670" s="285">
        <v>2.2499999999999999E-2</v>
      </c>
      <c r="C670" s="2">
        <v>3209</v>
      </c>
      <c r="D670" s="2">
        <v>6459</v>
      </c>
      <c r="E670" s="31"/>
      <c r="F670" s="284">
        <v>43648</v>
      </c>
      <c r="G670" s="280">
        <v>2.256E-2</v>
      </c>
      <c r="H670" s="291">
        <f t="shared" si="4"/>
        <v>3.2559999999999999E-2</v>
      </c>
      <c r="I670" s="280">
        <f t="shared" si="5"/>
        <v>1.256E-2</v>
      </c>
      <c r="J670" s="25"/>
      <c r="K670" s="25"/>
      <c r="O670" s="14"/>
      <c r="P670" s="24"/>
    </row>
    <row r="671" spans="1:16">
      <c r="A671" s="223">
        <v>43651</v>
      </c>
      <c r="B671" s="285">
        <v>2.2550000000000001E-2</v>
      </c>
      <c r="C671" s="2">
        <v>3316</v>
      </c>
      <c r="D671" s="2">
        <v>7026</v>
      </c>
      <c r="E671" s="31"/>
      <c r="F671" s="284">
        <v>43649</v>
      </c>
      <c r="G671" s="280">
        <v>2.256E-2</v>
      </c>
      <c r="H671" s="291">
        <f t="shared" si="4"/>
        <v>3.2559999999999999E-2</v>
      </c>
      <c r="I671" s="280">
        <f t="shared" si="5"/>
        <v>1.256E-2</v>
      </c>
      <c r="J671" s="25"/>
      <c r="K671" s="25"/>
      <c r="O671" s="14"/>
      <c r="P671" s="24"/>
    </row>
    <row r="672" spans="1:16">
      <c r="A672" s="223">
        <v>43652</v>
      </c>
      <c r="B672" s="285">
        <v>2.2550000000000001E-2</v>
      </c>
      <c r="C672" s="2" t="s">
        <v>8</v>
      </c>
      <c r="D672" s="2">
        <v>7026</v>
      </c>
      <c r="E672" s="31"/>
      <c r="F672" s="284">
        <v>43650</v>
      </c>
      <c r="G672" s="280">
        <v>2.2499999999999999E-2</v>
      </c>
      <c r="H672" s="291">
        <f t="shared" si="4"/>
        <v>3.2500000000000001E-2</v>
      </c>
      <c r="I672" s="280">
        <f t="shared" si="5"/>
        <v>1.2499999999999999E-2</v>
      </c>
      <c r="J672" s="25"/>
      <c r="K672" s="25"/>
      <c r="O672" s="14"/>
      <c r="P672" s="24"/>
    </row>
    <row r="673" spans="1:16">
      <c r="A673" s="223">
        <v>43653</v>
      </c>
      <c r="B673" s="285">
        <v>2.2550000000000001E-2</v>
      </c>
      <c r="C673" s="2" t="s">
        <v>8</v>
      </c>
      <c r="D673" s="2">
        <v>7026</v>
      </c>
      <c r="E673" s="31"/>
      <c r="F673" s="284">
        <v>43651</v>
      </c>
      <c r="G673" s="280">
        <v>2.2550000000000001E-2</v>
      </c>
      <c r="H673" s="291">
        <f t="shared" si="4"/>
        <v>3.2550000000000003E-2</v>
      </c>
      <c r="I673" s="280">
        <f t="shared" si="5"/>
        <v>1.255E-2</v>
      </c>
      <c r="J673" s="25"/>
      <c r="K673" s="25"/>
      <c r="O673" s="14"/>
      <c r="P673" s="24"/>
    </row>
    <row r="674" spans="1:16">
      <c r="A674" s="223">
        <v>43654</v>
      </c>
      <c r="B674" s="285">
        <v>2.2519999999999998E-2</v>
      </c>
      <c r="C674" s="2">
        <v>3769</v>
      </c>
      <c r="D674" s="2">
        <v>7529</v>
      </c>
      <c r="E674" s="31"/>
      <c r="F674" s="284">
        <v>43652</v>
      </c>
      <c r="G674" s="280">
        <v>2.2550000000000001E-2</v>
      </c>
      <c r="H674" s="291">
        <f t="shared" si="4"/>
        <v>3.2550000000000003E-2</v>
      </c>
      <c r="I674" s="280">
        <f t="shared" si="5"/>
        <v>1.255E-2</v>
      </c>
      <c r="J674" s="25"/>
      <c r="K674" s="25"/>
      <c r="O674" s="14"/>
      <c r="P674" s="24"/>
    </row>
    <row r="675" spans="1:16">
      <c r="A675" s="223">
        <v>43655</v>
      </c>
      <c r="B675" s="285">
        <v>2.2530000000000001E-2</v>
      </c>
      <c r="C675" s="2">
        <v>3053</v>
      </c>
      <c r="D675" s="2">
        <v>6813</v>
      </c>
      <c r="E675" s="31"/>
      <c r="F675" s="284">
        <v>43653</v>
      </c>
      <c r="G675" s="280">
        <v>2.2550000000000001E-2</v>
      </c>
      <c r="H675" s="291">
        <f t="shared" si="4"/>
        <v>3.2550000000000003E-2</v>
      </c>
      <c r="I675" s="280">
        <f t="shared" si="5"/>
        <v>1.255E-2</v>
      </c>
      <c r="J675" s="25"/>
      <c r="K675" s="25"/>
      <c r="O675" s="14"/>
      <c r="P675" s="24"/>
    </row>
    <row r="676" spans="1:16">
      <c r="A676" s="223">
        <v>43656</v>
      </c>
      <c r="B676" s="285">
        <v>2.256E-2</v>
      </c>
      <c r="C676" s="2">
        <v>3566</v>
      </c>
      <c r="D676" s="2">
        <v>7276</v>
      </c>
      <c r="E676" s="31"/>
      <c r="F676" s="284">
        <v>43654</v>
      </c>
      <c r="G676" s="280">
        <v>2.2519999999999998E-2</v>
      </c>
      <c r="H676" s="291">
        <f t="shared" si="4"/>
        <v>3.252E-2</v>
      </c>
      <c r="I676" s="280">
        <f t="shared" si="5"/>
        <v>1.2519999999999998E-2</v>
      </c>
      <c r="J676" s="25"/>
      <c r="K676" s="25"/>
      <c r="O676" s="14"/>
      <c r="P676" s="24"/>
    </row>
    <row r="677" spans="1:16">
      <c r="A677" s="223">
        <v>43657</v>
      </c>
      <c r="B677" s="285">
        <v>2.2550000000000001E-2</v>
      </c>
      <c r="C677" s="2">
        <v>3921</v>
      </c>
      <c r="D677" s="2">
        <v>7631</v>
      </c>
      <c r="E677" s="31"/>
      <c r="F677" s="284">
        <v>43655</v>
      </c>
      <c r="G677" s="280">
        <v>2.2530000000000001E-2</v>
      </c>
      <c r="H677" s="291">
        <f t="shared" si="4"/>
        <v>3.2530000000000003E-2</v>
      </c>
      <c r="I677" s="280">
        <f t="shared" si="5"/>
        <v>1.2530000000000001E-2</v>
      </c>
      <c r="J677" s="25"/>
      <c r="K677" s="25"/>
      <c r="O677" s="14"/>
      <c r="P677" s="24"/>
    </row>
    <row r="678" spans="1:16">
      <c r="A678" s="223">
        <v>43658</v>
      </c>
      <c r="B678" s="285">
        <v>2.264E-2</v>
      </c>
      <c r="C678" s="2">
        <v>4148</v>
      </c>
      <c r="D678" s="2">
        <v>7758</v>
      </c>
      <c r="E678" s="31"/>
      <c r="F678" s="284">
        <v>43656</v>
      </c>
      <c r="G678" s="280">
        <v>2.256E-2</v>
      </c>
      <c r="H678" s="291">
        <f t="shared" si="4"/>
        <v>3.2559999999999999E-2</v>
      </c>
      <c r="I678" s="280">
        <f t="shared" si="5"/>
        <v>1.256E-2</v>
      </c>
      <c r="J678" s="25"/>
      <c r="K678" s="25"/>
      <c r="O678" s="14"/>
      <c r="P678" s="24"/>
    </row>
    <row r="679" spans="1:16">
      <c r="A679" s="223">
        <v>43659</v>
      </c>
      <c r="B679" s="285">
        <v>2.264E-2</v>
      </c>
      <c r="C679" s="2" t="s">
        <v>8</v>
      </c>
      <c r="D679" s="2">
        <v>7758</v>
      </c>
      <c r="E679" s="31"/>
      <c r="F679" s="284">
        <v>43657</v>
      </c>
      <c r="G679" s="280">
        <v>2.2550000000000001E-2</v>
      </c>
      <c r="H679" s="291">
        <f t="shared" si="4"/>
        <v>3.2550000000000003E-2</v>
      </c>
      <c r="I679" s="280">
        <f t="shared" si="5"/>
        <v>1.255E-2</v>
      </c>
      <c r="J679" s="25"/>
      <c r="K679" s="25"/>
      <c r="O679" s="14"/>
      <c r="P679" s="24"/>
    </row>
    <row r="680" spans="1:16">
      <c r="A680" s="223">
        <v>43660</v>
      </c>
      <c r="B680" s="285">
        <v>2.264E-2</v>
      </c>
      <c r="C680" s="2" t="s">
        <v>8</v>
      </c>
      <c r="D680" s="2">
        <v>7758</v>
      </c>
      <c r="E680" s="31"/>
      <c r="F680" s="284">
        <v>43658</v>
      </c>
      <c r="G680" s="280">
        <v>2.264E-2</v>
      </c>
      <c r="H680" s="291">
        <f t="shared" si="4"/>
        <v>3.2640000000000002E-2</v>
      </c>
      <c r="I680" s="280">
        <f t="shared" si="5"/>
        <v>1.264E-2</v>
      </c>
      <c r="J680" s="25"/>
      <c r="K680" s="25"/>
      <c r="O680" s="14"/>
      <c r="P680" s="24"/>
    </row>
    <row r="681" spans="1:16">
      <c r="A681" s="223">
        <v>43661</v>
      </c>
      <c r="B681" s="285">
        <v>2.2679999999999999E-2</v>
      </c>
      <c r="C681" s="2">
        <v>2925</v>
      </c>
      <c r="D681" s="2">
        <v>5275</v>
      </c>
      <c r="E681" s="31"/>
      <c r="F681" s="284">
        <v>43659</v>
      </c>
      <c r="G681" s="280">
        <v>2.264E-2</v>
      </c>
      <c r="H681" s="291">
        <f t="shared" si="4"/>
        <v>3.2640000000000002E-2</v>
      </c>
      <c r="I681" s="280">
        <f t="shared" si="5"/>
        <v>1.264E-2</v>
      </c>
      <c r="J681" s="25"/>
      <c r="K681" s="25"/>
      <c r="O681" s="14"/>
      <c r="P681" s="24"/>
    </row>
    <row r="682" spans="1:16">
      <c r="A682" s="223">
        <v>43662</v>
      </c>
      <c r="B682" s="285">
        <v>2.2579999999999999E-2</v>
      </c>
      <c r="C682" s="2">
        <v>2430</v>
      </c>
      <c r="D682" s="2">
        <v>4560</v>
      </c>
      <c r="E682" s="31"/>
      <c r="F682" s="284">
        <v>43660</v>
      </c>
      <c r="G682" s="280">
        <v>2.264E-2</v>
      </c>
      <c r="H682" s="291">
        <f t="shared" ref="H682:H745" si="6">G682+1%</f>
        <v>3.2640000000000002E-2</v>
      </c>
      <c r="I682" s="280">
        <f t="shared" ref="I682:I745" si="7">G682-1%</f>
        <v>1.264E-2</v>
      </c>
      <c r="J682" s="25"/>
      <c r="K682" s="25"/>
      <c r="O682" s="14"/>
      <c r="P682" s="24"/>
    </row>
    <row r="683" spans="1:16">
      <c r="A683" s="223">
        <v>43663</v>
      </c>
      <c r="B683" s="285">
        <v>2.2509999999999999E-2</v>
      </c>
      <c r="C683" s="2">
        <v>2184</v>
      </c>
      <c r="D683" s="2">
        <v>4414</v>
      </c>
      <c r="E683" s="31"/>
      <c r="F683" s="284">
        <v>43661</v>
      </c>
      <c r="G683" s="280">
        <v>2.2679999999999999E-2</v>
      </c>
      <c r="H683" s="291">
        <f t="shared" si="6"/>
        <v>3.2680000000000001E-2</v>
      </c>
      <c r="I683" s="280">
        <f t="shared" si="7"/>
        <v>1.2679999999999999E-2</v>
      </c>
      <c r="J683" s="25"/>
      <c r="K683" s="25"/>
      <c r="O683" s="14"/>
      <c r="P683" s="24"/>
    </row>
    <row r="684" spans="1:16">
      <c r="A684" s="223">
        <v>43664</v>
      </c>
      <c r="B684" s="285">
        <v>2.2599999999999999E-2</v>
      </c>
      <c r="C684" s="2">
        <v>3178</v>
      </c>
      <c r="D684" s="2">
        <v>5408</v>
      </c>
      <c r="E684" s="31"/>
      <c r="F684" s="284">
        <v>43662</v>
      </c>
      <c r="G684" s="280">
        <v>2.2579999999999999E-2</v>
      </c>
      <c r="H684" s="291">
        <f t="shared" si="6"/>
        <v>3.2579999999999998E-2</v>
      </c>
      <c r="I684" s="280">
        <f t="shared" si="7"/>
        <v>1.2579999999999999E-2</v>
      </c>
      <c r="J684" s="25"/>
      <c r="K684" s="25"/>
      <c r="O684" s="14"/>
      <c r="P684" s="24"/>
    </row>
    <row r="685" spans="1:16">
      <c r="A685" s="223">
        <v>43665</v>
      </c>
      <c r="B685" s="285">
        <v>2.264E-2</v>
      </c>
      <c r="C685" s="2">
        <v>3659</v>
      </c>
      <c r="D685" s="2">
        <v>5809</v>
      </c>
      <c r="E685" s="31"/>
      <c r="F685" s="284">
        <v>43663</v>
      </c>
      <c r="G685" s="280">
        <v>2.2509999999999999E-2</v>
      </c>
      <c r="H685" s="291">
        <f t="shared" si="6"/>
        <v>3.2509999999999997E-2</v>
      </c>
      <c r="I685" s="280">
        <f t="shared" si="7"/>
        <v>1.2509999999999999E-2</v>
      </c>
      <c r="J685" s="25"/>
      <c r="K685" s="25"/>
      <c r="O685" s="14"/>
      <c r="P685" s="24"/>
    </row>
    <row r="686" spans="1:16">
      <c r="A686" s="223">
        <v>43666</v>
      </c>
      <c r="B686" s="285">
        <v>2.264E-2</v>
      </c>
      <c r="C686" s="2" t="s">
        <v>8</v>
      </c>
      <c r="D686" s="2">
        <v>5809</v>
      </c>
      <c r="E686" s="31"/>
      <c r="F686" s="284">
        <v>43664</v>
      </c>
      <c r="G686" s="280">
        <v>2.2599999999999999E-2</v>
      </c>
      <c r="H686" s="291">
        <f t="shared" si="6"/>
        <v>3.2599999999999997E-2</v>
      </c>
      <c r="I686" s="280">
        <f t="shared" si="7"/>
        <v>1.2599999999999998E-2</v>
      </c>
      <c r="J686" s="25"/>
      <c r="K686" s="25"/>
      <c r="O686" s="14"/>
      <c r="P686" s="24"/>
    </row>
    <row r="687" spans="1:16">
      <c r="A687" s="223">
        <v>43667</v>
      </c>
      <c r="B687" s="285">
        <v>2.264E-2</v>
      </c>
      <c r="C687" s="2" t="s">
        <v>8</v>
      </c>
      <c r="D687" s="2">
        <v>5809</v>
      </c>
      <c r="E687" s="31"/>
      <c r="F687" s="284">
        <v>43665</v>
      </c>
      <c r="G687" s="280">
        <v>2.264E-2</v>
      </c>
      <c r="H687" s="291">
        <f t="shared" si="6"/>
        <v>3.2640000000000002E-2</v>
      </c>
      <c r="I687" s="280">
        <f t="shared" si="7"/>
        <v>1.264E-2</v>
      </c>
      <c r="J687" s="25"/>
      <c r="K687" s="25"/>
      <c r="O687" s="14"/>
      <c r="P687" s="24"/>
    </row>
    <row r="688" spans="1:16">
      <c r="A688" s="223">
        <v>43668</v>
      </c>
      <c r="B688" s="285">
        <v>2.2550000000000001E-2</v>
      </c>
      <c r="C688" s="2">
        <v>4429</v>
      </c>
      <c r="D688" s="2">
        <v>6529</v>
      </c>
      <c r="E688" s="31"/>
      <c r="F688" s="284">
        <v>43666</v>
      </c>
      <c r="G688" s="280">
        <v>2.264E-2</v>
      </c>
      <c r="H688" s="291">
        <f t="shared" si="6"/>
        <v>3.2640000000000002E-2</v>
      </c>
      <c r="I688" s="280">
        <f t="shared" si="7"/>
        <v>1.264E-2</v>
      </c>
      <c r="J688" s="25"/>
      <c r="K688" s="25"/>
      <c r="O688" s="14"/>
      <c r="P688" s="24"/>
    </row>
    <row r="689" spans="1:16">
      <c r="A689" s="223">
        <v>43669</v>
      </c>
      <c r="B689" s="285">
        <v>2.2499999999999999E-2</v>
      </c>
      <c r="C689" s="2">
        <v>4126</v>
      </c>
      <c r="D689" s="2">
        <v>6226</v>
      </c>
      <c r="E689" s="31"/>
      <c r="F689" s="284">
        <v>43667</v>
      </c>
      <c r="G689" s="280">
        <v>2.264E-2</v>
      </c>
      <c r="H689" s="291">
        <f t="shared" si="6"/>
        <v>3.2640000000000002E-2</v>
      </c>
      <c r="I689" s="280">
        <f t="shared" si="7"/>
        <v>1.264E-2</v>
      </c>
      <c r="J689" s="25"/>
      <c r="K689" s="25"/>
      <c r="O689" s="14"/>
      <c r="P689" s="24"/>
    </row>
    <row r="690" spans="1:16">
      <c r="A690" s="223">
        <v>43670</v>
      </c>
      <c r="B690" s="285">
        <v>2.2499999999999999E-2</v>
      </c>
      <c r="C690" s="2">
        <v>3079</v>
      </c>
      <c r="D690" s="2">
        <v>5234</v>
      </c>
      <c r="E690" s="31"/>
      <c r="F690" s="284">
        <v>43668</v>
      </c>
      <c r="G690" s="280">
        <v>2.2550000000000001E-2</v>
      </c>
      <c r="H690" s="291">
        <f t="shared" si="6"/>
        <v>3.2550000000000003E-2</v>
      </c>
      <c r="I690" s="280">
        <f t="shared" si="7"/>
        <v>1.255E-2</v>
      </c>
      <c r="J690" s="25"/>
      <c r="K690" s="25"/>
      <c r="O690" s="14"/>
      <c r="P690" s="24"/>
    </row>
    <row r="691" spans="1:16">
      <c r="A691" s="223">
        <v>43671</v>
      </c>
      <c r="B691" s="285">
        <v>2.265E-2</v>
      </c>
      <c r="C691" s="2">
        <v>4324</v>
      </c>
      <c r="D691" s="2">
        <v>6474</v>
      </c>
      <c r="E691" s="31"/>
      <c r="F691" s="284">
        <v>43669</v>
      </c>
      <c r="G691" s="280">
        <v>2.2499999999999999E-2</v>
      </c>
      <c r="H691" s="291">
        <f t="shared" si="6"/>
        <v>3.2500000000000001E-2</v>
      </c>
      <c r="I691" s="280">
        <f t="shared" si="7"/>
        <v>1.2499999999999999E-2</v>
      </c>
      <c r="J691" s="25"/>
      <c r="K691" s="25"/>
      <c r="O691" s="14"/>
      <c r="P691" s="24"/>
    </row>
    <row r="692" spans="1:16">
      <c r="A692" s="223">
        <v>43672</v>
      </c>
      <c r="B692" s="285">
        <v>2.2630000000000001E-2</v>
      </c>
      <c r="C692" s="2">
        <v>4129</v>
      </c>
      <c r="D692" s="2">
        <v>6319</v>
      </c>
      <c r="E692" s="31"/>
      <c r="F692" s="284">
        <v>43670</v>
      </c>
      <c r="G692" s="280">
        <v>2.2499999999999999E-2</v>
      </c>
      <c r="H692" s="291">
        <f t="shared" si="6"/>
        <v>3.2500000000000001E-2</v>
      </c>
      <c r="I692" s="280">
        <f t="shared" si="7"/>
        <v>1.2499999999999999E-2</v>
      </c>
      <c r="J692" s="25"/>
      <c r="K692" s="25"/>
      <c r="O692" s="14"/>
      <c r="P692" s="24"/>
    </row>
    <row r="693" spans="1:16">
      <c r="A693" s="223">
        <v>43673</v>
      </c>
      <c r="B693" s="285">
        <v>2.2630000000000001E-2</v>
      </c>
      <c r="C693" s="2" t="s">
        <v>8</v>
      </c>
      <c r="D693" s="2">
        <v>6319</v>
      </c>
      <c r="E693" s="31"/>
      <c r="F693" s="284">
        <v>43671</v>
      </c>
      <c r="G693" s="280">
        <v>2.265E-2</v>
      </c>
      <c r="H693" s="291">
        <f t="shared" si="6"/>
        <v>3.2649999999999998E-2</v>
      </c>
      <c r="I693" s="280">
        <f t="shared" si="7"/>
        <v>1.265E-2</v>
      </c>
      <c r="J693" s="25"/>
      <c r="K693" s="25"/>
      <c r="O693" s="14"/>
      <c r="P693" s="24"/>
    </row>
    <row r="694" spans="1:16">
      <c r="A694" s="223">
        <v>43674</v>
      </c>
      <c r="B694" s="285">
        <v>2.2630000000000001E-2</v>
      </c>
      <c r="C694" s="2" t="s">
        <v>8</v>
      </c>
      <c r="D694" s="2">
        <v>6319</v>
      </c>
      <c r="E694" s="31"/>
      <c r="F694" s="284">
        <v>43672</v>
      </c>
      <c r="G694" s="280">
        <v>2.2630000000000001E-2</v>
      </c>
      <c r="H694" s="291">
        <f t="shared" si="6"/>
        <v>3.2629999999999999E-2</v>
      </c>
      <c r="I694" s="280">
        <f t="shared" si="7"/>
        <v>1.2630000000000001E-2</v>
      </c>
      <c r="J694" s="25"/>
      <c r="K694" s="25"/>
      <c r="O694" s="14"/>
      <c r="P694" s="24"/>
    </row>
    <row r="695" spans="1:16">
      <c r="A695" s="223">
        <v>43675</v>
      </c>
      <c r="B695" s="285">
        <v>2.2700000000000001E-2</v>
      </c>
      <c r="C695" s="2">
        <v>3690</v>
      </c>
      <c r="D695" s="2">
        <v>5880</v>
      </c>
      <c r="E695" s="31"/>
      <c r="F695" s="284">
        <v>43673</v>
      </c>
      <c r="G695" s="280">
        <v>2.2630000000000001E-2</v>
      </c>
      <c r="H695" s="291">
        <f t="shared" si="6"/>
        <v>3.2629999999999999E-2</v>
      </c>
      <c r="I695" s="280">
        <f t="shared" si="7"/>
        <v>1.2630000000000001E-2</v>
      </c>
      <c r="J695" s="25"/>
      <c r="K695" s="25"/>
      <c r="O695" s="14"/>
      <c r="P695" s="24"/>
    </row>
    <row r="696" spans="1:16">
      <c r="A696" s="223">
        <v>43676</v>
      </c>
      <c r="B696" s="285">
        <v>2.2700000000000001E-2</v>
      </c>
      <c r="C696" s="2" t="s">
        <v>8</v>
      </c>
      <c r="D696" s="2">
        <v>5880</v>
      </c>
      <c r="E696" s="31"/>
      <c r="F696" s="284">
        <v>43674</v>
      </c>
      <c r="G696" s="280">
        <v>2.2630000000000001E-2</v>
      </c>
      <c r="H696" s="291">
        <f t="shared" si="6"/>
        <v>3.2629999999999999E-2</v>
      </c>
      <c r="I696" s="280">
        <f t="shared" si="7"/>
        <v>1.2630000000000001E-2</v>
      </c>
      <c r="J696" s="25"/>
      <c r="K696" s="25"/>
      <c r="O696" s="14"/>
      <c r="P696" s="24"/>
    </row>
    <row r="697" spans="1:16">
      <c r="A697" s="223">
        <v>43677</v>
      </c>
      <c r="B697" s="285">
        <v>2.2970000000000001E-2</v>
      </c>
      <c r="C697" s="2">
        <v>3457</v>
      </c>
      <c r="D697" s="2">
        <v>5212</v>
      </c>
      <c r="E697" s="31"/>
      <c r="F697" s="284">
        <v>43675</v>
      </c>
      <c r="G697" s="280">
        <v>2.2700000000000001E-2</v>
      </c>
      <c r="H697" s="291">
        <f t="shared" si="6"/>
        <v>3.27E-2</v>
      </c>
      <c r="I697" s="280">
        <f t="shared" si="7"/>
        <v>1.2700000000000001E-2</v>
      </c>
      <c r="J697" s="25"/>
      <c r="K697" s="25"/>
      <c r="O697" s="14"/>
      <c r="P697" s="24"/>
    </row>
    <row r="698" spans="1:16">
      <c r="A698" s="223">
        <v>43678</v>
      </c>
      <c r="B698" s="285">
        <v>2.317E-2</v>
      </c>
      <c r="C698" s="2">
        <v>2601</v>
      </c>
      <c r="D698" s="2">
        <v>5111</v>
      </c>
      <c r="E698" s="31"/>
      <c r="F698" s="284">
        <v>43676</v>
      </c>
      <c r="G698" s="280">
        <v>2.2700000000000001E-2</v>
      </c>
      <c r="H698" s="291">
        <f t="shared" si="6"/>
        <v>3.27E-2</v>
      </c>
      <c r="I698" s="280">
        <f t="shared" si="7"/>
        <v>1.2700000000000001E-2</v>
      </c>
      <c r="J698" s="25"/>
      <c r="K698" s="25"/>
      <c r="O698" s="14"/>
      <c r="P698" s="24"/>
    </row>
    <row r="699" spans="1:16">
      <c r="A699" s="223">
        <v>43679</v>
      </c>
      <c r="B699" s="285">
        <v>2.315E-2</v>
      </c>
      <c r="C699" s="2">
        <v>4244</v>
      </c>
      <c r="D699" s="2">
        <v>8099</v>
      </c>
      <c r="E699" s="31"/>
      <c r="F699" s="284">
        <v>43677</v>
      </c>
      <c r="G699" s="280">
        <v>2.2970000000000001E-2</v>
      </c>
      <c r="H699" s="291">
        <f t="shared" si="6"/>
        <v>3.2969999999999999E-2</v>
      </c>
      <c r="I699" s="280">
        <f t="shared" si="7"/>
        <v>1.2970000000000001E-2</v>
      </c>
      <c r="J699" s="25"/>
      <c r="K699" s="25"/>
      <c r="O699" s="14"/>
      <c r="P699" s="24"/>
    </row>
    <row r="700" spans="1:16">
      <c r="A700" s="223">
        <v>43680</v>
      </c>
      <c r="B700" s="285">
        <v>2.315E-2</v>
      </c>
      <c r="C700" s="2" t="s">
        <v>8</v>
      </c>
      <c r="D700" s="2">
        <v>8099</v>
      </c>
      <c r="E700" s="31"/>
      <c r="F700" s="284">
        <v>43678</v>
      </c>
      <c r="G700" s="280">
        <v>2.317E-2</v>
      </c>
      <c r="H700" s="291">
        <f t="shared" si="6"/>
        <v>3.3169999999999998E-2</v>
      </c>
      <c r="I700" s="280">
        <f t="shared" si="7"/>
        <v>1.3169999999999999E-2</v>
      </c>
      <c r="J700" s="25"/>
      <c r="K700" s="25"/>
      <c r="O700" s="14"/>
      <c r="P700" s="24"/>
    </row>
    <row r="701" spans="1:16">
      <c r="A701" s="223">
        <v>43681</v>
      </c>
      <c r="B701" s="285">
        <v>2.315E-2</v>
      </c>
      <c r="C701" s="2" t="s">
        <v>8</v>
      </c>
      <c r="D701" s="2">
        <v>8099</v>
      </c>
      <c r="E701" s="31"/>
      <c r="F701" s="284">
        <v>43679</v>
      </c>
      <c r="G701" s="280">
        <v>2.315E-2</v>
      </c>
      <c r="H701" s="291">
        <f t="shared" si="6"/>
        <v>3.3149999999999999E-2</v>
      </c>
      <c r="I701" s="280">
        <f t="shared" si="7"/>
        <v>1.315E-2</v>
      </c>
      <c r="J701" s="25"/>
      <c r="K701" s="25"/>
      <c r="O701" s="14"/>
      <c r="P701" s="24"/>
    </row>
    <row r="702" spans="1:16">
      <c r="A702" s="223">
        <v>43682</v>
      </c>
      <c r="B702" s="285">
        <v>2.3109999999999999E-2</v>
      </c>
      <c r="C702" s="2">
        <v>3257</v>
      </c>
      <c r="D702" s="2">
        <v>7812</v>
      </c>
      <c r="E702" s="31"/>
      <c r="F702" s="284">
        <v>43680</v>
      </c>
      <c r="G702" s="280">
        <v>2.315E-2</v>
      </c>
      <c r="H702" s="291">
        <f t="shared" si="6"/>
        <v>3.3149999999999999E-2</v>
      </c>
      <c r="I702" s="280">
        <f t="shared" si="7"/>
        <v>1.315E-2</v>
      </c>
      <c r="J702" s="25"/>
      <c r="K702" s="25"/>
      <c r="O702" s="14"/>
      <c r="P702" s="24"/>
    </row>
    <row r="703" spans="1:16">
      <c r="A703" s="223">
        <v>43683</v>
      </c>
      <c r="B703" s="285">
        <v>2.2669999999999999E-2</v>
      </c>
      <c r="C703" s="2">
        <v>2144</v>
      </c>
      <c r="D703" s="2">
        <v>7599</v>
      </c>
      <c r="E703" s="31"/>
      <c r="F703" s="284">
        <v>43681</v>
      </c>
      <c r="G703" s="280">
        <v>2.315E-2</v>
      </c>
      <c r="H703" s="291">
        <f t="shared" si="6"/>
        <v>3.3149999999999999E-2</v>
      </c>
      <c r="I703" s="280">
        <f t="shared" si="7"/>
        <v>1.315E-2</v>
      </c>
      <c r="J703" s="25"/>
      <c r="K703" s="25"/>
      <c r="O703" s="14"/>
      <c r="P703" s="24"/>
    </row>
    <row r="704" spans="1:16">
      <c r="A704" s="223">
        <v>43684</v>
      </c>
      <c r="B704" s="285">
        <v>2.2849999999999999E-2</v>
      </c>
      <c r="C704" s="2">
        <v>2995</v>
      </c>
      <c r="D704" s="2">
        <v>8450</v>
      </c>
      <c r="E704" s="31"/>
      <c r="F704" s="284">
        <v>43682</v>
      </c>
      <c r="G704" s="280">
        <v>2.3109999999999999E-2</v>
      </c>
      <c r="H704" s="291">
        <f t="shared" si="6"/>
        <v>3.3110000000000001E-2</v>
      </c>
      <c r="I704" s="280">
        <f t="shared" si="7"/>
        <v>1.3109999999999998E-2</v>
      </c>
      <c r="J704" s="25"/>
      <c r="K704" s="25"/>
      <c r="O704" s="14"/>
      <c r="P704" s="24"/>
    </row>
    <row r="705" spans="1:16">
      <c r="A705" s="223">
        <v>43685</v>
      </c>
      <c r="B705" s="285">
        <v>2.358E-2</v>
      </c>
      <c r="C705" s="2">
        <v>2886</v>
      </c>
      <c r="D705" s="2">
        <v>7241</v>
      </c>
      <c r="E705" s="31"/>
      <c r="F705" s="284">
        <v>43683</v>
      </c>
      <c r="G705" s="280">
        <v>2.2669999999999999E-2</v>
      </c>
      <c r="H705" s="291">
        <f t="shared" si="6"/>
        <v>3.2669999999999998E-2</v>
      </c>
      <c r="I705" s="280">
        <f t="shared" si="7"/>
        <v>1.2669999999999999E-2</v>
      </c>
      <c r="J705" s="25"/>
      <c r="K705" s="25"/>
      <c r="O705" s="14"/>
      <c r="P705" s="24"/>
    </row>
    <row r="706" spans="1:16">
      <c r="A706" s="223">
        <v>43686</v>
      </c>
      <c r="B706" s="285">
        <v>2.8570000000000002E-2</v>
      </c>
      <c r="C706" s="2">
        <v>2199</v>
      </c>
      <c r="D706" s="2">
        <v>6534</v>
      </c>
      <c r="E706" s="31"/>
      <c r="F706" s="284">
        <v>43684</v>
      </c>
      <c r="G706" s="280">
        <v>2.2849999999999999E-2</v>
      </c>
      <c r="H706" s="291">
        <f t="shared" si="6"/>
        <v>3.2849999999999997E-2</v>
      </c>
      <c r="I706" s="280">
        <f t="shared" si="7"/>
        <v>1.2849999999999999E-2</v>
      </c>
      <c r="J706" s="25"/>
      <c r="K706" s="25"/>
      <c r="O706" s="14"/>
      <c r="P706" s="24"/>
    </row>
    <row r="707" spans="1:16">
      <c r="A707" s="223">
        <v>43687</v>
      </c>
      <c r="B707" s="285">
        <v>2.8570000000000002E-2</v>
      </c>
      <c r="C707" s="2" t="s">
        <v>8</v>
      </c>
      <c r="D707" s="2">
        <v>6534</v>
      </c>
      <c r="E707" s="31"/>
      <c r="F707" s="284">
        <v>43685</v>
      </c>
      <c r="G707" s="280">
        <v>2.358E-2</v>
      </c>
      <c r="H707" s="291">
        <f t="shared" si="6"/>
        <v>3.3579999999999999E-2</v>
      </c>
      <c r="I707" s="280">
        <f t="shared" si="7"/>
        <v>1.358E-2</v>
      </c>
      <c r="J707" s="25"/>
      <c r="K707" s="25"/>
      <c r="O707" s="14"/>
      <c r="P707" s="24"/>
    </row>
    <row r="708" spans="1:16">
      <c r="A708" s="223">
        <v>43688</v>
      </c>
      <c r="B708" s="285">
        <v>2.8570000000000002E-2</v>
      </c>
      <c r="C708" s="2" t="s">
        <v>8</v>
      </c>
      <c r="D708" s="2">
        <v>6534</v>
      </c>
      <c r="E708" s="31"/>
      <c r="F708" s="284">
        <v>43686</v>
      </c>
      <c r="G708" s="280">
        <v>2.8570000000000002E-2</v>
      </c>
      <c r="H708" s="291">
        <f t="shared" si="6"/>
        <v>3.857E-2</v>
      </c>
      <c r="I708" s="280">
        <f t="shared" si="7"/>
        <v>1.8570000000000003E-2</v>
      </c>
      <c r="J708" s="25"/>
      <c r="K708" s="25"/>
      <c r="O708" s="14"/>
      <c r="P708" s="24"/>
    </row>
    <row r="709" spans="1:16">
      <c r="A709" s="223">
        <v>43689</v>
      </c>
      <c r="B709" s="285">
        <v>2.8570000000000002E-2</v>
      </c>
      <c r="C709" s="2" t="s">
        <v>8</v>
      </c>
      <c r="D709" s="2">
        <v>6534</v>
      </c>
      <c r="E709" s="31"/>
      <c r="F709" s="284">
        <v>43687</v>
      </c>
      <c r="G709" s="280">
        <v>2.8570000000000002E-2</v>
      </c>
      <c r="H709" s="291">
        <f t="shared" si="6"/>
        <v>3.857E-2</v>
      </c>
      <c r="I709" s="280">
        <f t="shared" si="7"/>
        <v>1.8570000000000003E-2</v>
      </c>
      <c r="J709" s="25"/>
      <c r="K709" s="25"/>
      <c r="O709" s="14"/>
      <c r="P709" s="24"/>
    </row>
    <row r="710" spans="1:16">
      <c r="A710" s="223">
        <v>43690</v>
      </c>
      <c r="B710" s="285">
        <v>2.8570000000000002E-2</v>
      </c>
      <c r="C710" s="2" t="s">
        <v>8</v>
      </c>
      <c r="D710" s="2">
        <v>6534</v>
      </c>
      <c r="E710" s="31"/>
      <c r="F710" s="284">
        <v>43688</v>
      </c>
      <c r="G710" s="280">
        <v>2.8570000000000002E-2</v>
      </c>
      <c r="H710" s="291">
        <f t="shared" si="6"/>
        <v>3.857E-2</v>
      </c>
      <c r="I710" s="280">
        <f t="shared" si="7"/>
        <v>1.8570000000000003E-2</v>
      </c>
      <c r="J710" s="25"/>
      <c r="K710" s="25"/>
      <c r="O710" s="14"/>
      <c r="P710" s="24"/>
    </row>
    <row r="711" spans="1:16">
      <c r="A711" s="223">
        <v>43691</v>
      </c>
      <c r="B711" s="285">
        <v>2.8570000000000002E-2</v>
      </c>
      <c r="C711" s="2" t="s">
        <v>8</v>
      </c>
      <c r="D711" s="2">
        <v>6534</v>
      </c>
      <c r="E711" s="31"/>
      <c r="F711" s="284">
        <v>43689</v>
      </c>
      <c r="G711" s="280">
        <v>2.8570000000000002E-2</v>
      </c>
      <c r="H711" s="291">
        <f t="shared" si="6"/>
        <v>3.857E-2</v>
      </c>
      <c r="I711" s="280">
        <f t="shared" si="7"/>
        <v>1.8570000000000003E-2</v>
      </c>
      <c r="J711" s="25"/>
      <c r="K711" s="25"/>
      <c r="O711" s="14"/>
      <c r="P711" s="24"/>
    </row>
    <row r="712" spans="1:16">
      <c r="A712" s="223">
        <v>43692</v>
      </c>
      <c r="B712" s="285">
        <v>2.4240000000000001E-2</v>
      </c>
      <c r="C712" s="2">
        <v>2937</v>
      </c>
      <c r="D712" s="2">
        <v>6522</v>
      </c>
      <c r="E712" s="31"/>
      <c r="F712" s="284">
        <v>43690</v>
      </c>
      <c r="G712" s="280">
        <v>2.8570000000000002E-2</v>
      </c>
      <c r="H712" s="291">
        <f t="shared" si="6"/>
        <v>3.857E-2</v>
      </c>
      <c r="I712" s="280">
        <f t="shared" si="7"/>
        <v>1.8570000000000003E-2</v>
      </c>
      <c r="J712" s="25"/>
      <c r="K712" s="25"/>
      <c r="O712" s="14"/>
      <c r="P712" s="24"/>
    </row>
    <row r="713" spans="1:16">
      <c r="A713" s="223">
        <v>43693</v>
      </c>
      <c r="B713" s="285">
        <v>2.3820000000000001E-2</v>
      </c>
      <c r="C713" s="2">
        <v>6060</v>
      </c>
      <c r="D713" s="2">
        <v>9610</v>
      </c>
      <c r="E713" s="31"/>
      <c r="F713" s="284">
        <v>43691</v>
      </c>
      <c r="G713" s="280">
        <v>2.8570000000000002E-2</v>
      </c>
      <c r="H713" s="291">
        <f t="shared" si="6"/>
        <v>3.857E-2</v>
      </c>
      <c r="I713" s="280">
        <f t="shared" si="7"/>
        <v>1.8570000000000003E-2</v>
      </c>
      <c r="J713" s="25"/>
      <c r="K713" s="25"/>
      <c r="O713" s="14"/>
      <c r="P713" s="24"/>
    </row>
    <row r="714" spans="1:16">
      <c r="A714" s="223">
        <v>43694</v>
      </c>
      <c r="B714" s="285">
        <v>2.3820000000000001E-2</v>
      </c>
      <c r="C714" s="2" t="s">
        <v>8</v>
      </c>
      <c r="D714" s="2">
        <v>9610</v>
      </c>
      <c r="E714" s="31"/>
      <c r="F714" s="284">
        <v>43692</v>
      </c>
      <c r="G714" s="280">
        <v>2.4240000000000001E-2</v>
      </c>
      <c r="H714" s="291">
        <f t="shared" si="6"/>
        <v>3.424E-2</v>
      </c>
      <c r="I714" s="280">
        <f t="shared" si="7"/>
        <v>1.4240000000000001E-2</v>
      </c>
      <c r="J714" s="25"/>
      <c r="K714" s="25"/>
      <c r="O714" s="14"/>
      <c r="P714" s="24"/>
    </row>
    <row r="715" spans="1:16">
      <c r="A715" s="223">
        <v>43695</v>
      </c>
      <c r="B715" s="285">
        <v>2.3820000000000001E-2</v>
      </c>
      <c r="C715" s="2" t="s">
        <v>8</v>
      </c>
      <c r="D715" s="2">
        <v>9610</v>
      </c>
      <c r="E715" s="31"/>
      <c r="F715" s="284">
        <v>43693</v>
      </c>
      <c r="G715" s="280">
        <v>2.3820000000000001E-2</v>
      </c>
      <c r="H715" s="291">
        <f t="shared" si="6"/>
        <v>3.3820000000000003E-2</v>
      </c>
      <c r="I715" s="280">
        <f t="shared" si="7"/>
        <v>1.3820000000000001E-2</v>
      </c>
      <c r="J715" s="25"/>
      <c r="K715" s="25"/>
      <c r="O715" s="14"/>
      <c r="P715" s="24"/>
    </row>
    <row r="716" spans="1:16">
      <c r="A716" s="223">
        <v>43696</v>
      </c>
      <c r="B716" s="285">
        <v>2.384E-2</v>
      </c>
      <c r="C716" s="2">
        <v>4633</v>
      </c>
      <c r="D716" s="2">
        <v>8183</v>
      </c>
      <c r="E716" s="31"/>
      <c r="F716" s="284">
        <v>43694</v>
      </c>
      <c r="G716" s="280">
        <v>2.3820000000000001E-2</v>
      </c>
      <c r="H716" s="291">
        <f t="shared" si="6"/>
        <v>3.3820000000000003E-2</v>
      </c>
      <c r="I716" s="280">
        <f t="shared" si="7"/>
        <v>1.3820000000000001E-2</v>
      </c>
      <c r="J716" s="25"/>
      <c r="K716" s="25"/>
      <c r="O716" s="14"/>
      <c r="P716" s="24"/>
    </row>
    <row r="717" spans="1:16">
      <c r="A717" s="223">
        <v>43697</v>
      </c>
      <c r="B717" s="285">
        <v>2.384E-2</v>
      </c>
      <c r="C717" s="2" t="s">
        <v>8</v>
      </c>
      <c r="D717" s="2">
        <v>8183</v>
      </c>
      <c r="E717" s="31"/>
      <c r="F717" s="284">
        <v>43695</v>
      </c>
      <c r="G717" s="280">
        <v>2.3820000000000001E-2</v>
      </c>
      <c r="H717" s="291">
        <f t="shared" si="6"/>
        <v>3.3820000000000003E-2</v>
      </c>
      <c r="I717" s="280">
        <f t="shared" si="7"/>
        <v>1.3820000000000001E-2</v>
      </c>
      <c r="J717" s="25"/>
      <c r="K717" s="25"/>
      <c r="O717" s="14"/>
      <c r="P717" s="24"/>
    </row>
    <row r="718" spans="1:16">
      <c r="A718" s="223">
        <v>43698</v>
      </c>
      <c r="B718" s="285">
        <v>2.384E-2</v>
      </c>
      <c r="C718" s="2" t="s">
        <v>8</v>
      </c>
      <c r="D718" s="2">
        <v>8183</v>
      </c>
      <c r="E718" s="31"/>
      <c r="F718" s="284">
        <v>43696</v>
      </c>
      <c r="G718" s="280">
        <v>2.384E-2</v>
      </c>
      <c r="H718" s="291">
        <f t="shared" si="6"/>
        <v>3.3840000000000002E-2</v>
      </c>
      <c r="I718" s="280">
        <f t="shared" si="7"/>
        <v>1.384E-2</v>
      </c>
      <c r="J718" s="25"/>
      <c r="K718" s="25"/>
      <c r="O718" s="14"/>
      <c r="P718" s="24"/>
    </row>
    <row r="719" spans="1:16">
      <c r="A719" s="223">
        <v>43699</v>
      </c>
      <c r="B719" s="285">
        <v>2.334E-2</v>
      </c>
      <c r="C719" s="2">
        <v>5664</v>
      </c>
      <c r="D719" s="2">
        <v>9214</v>
      </c>
      <c r="E719" s="31"/>
      <c r="F719" s="284">
        <v>43697</v>
      </c>
      <c r="G719" s="280">
        <v>2.384E-2</v>
      </c>
      <c r="H719" s="291">
        <f t="shared" si="6"/>
        <v>3.3840000000000002E-2</v>
      </c>
      <c r="I719" s="280">
        <f t="shared" si="7"/>
        <v>1.384E-2</v>
      </c>
      <c r="J719" s="25"/>
      <c r="K719" s="25"/>
      <c r="O719" s="14"/>
      <c r="P719" s="24"/>
    </row>
    <row r="720" spans="1:16">
      <c r="A720" s="223">
        <v>43700</v>
      </c>
      <c r="B720" s="285">
        <v>2.281E-2</v>
      </c>
      <c r="C720" s="2">
        <v>5865</v>
      </c>
      <c r="D720" s="2">
        <v>8165</v>
      </c>
      <c r="E720" s="31"/>
      <c r="F720" s="284">
        <v>43698</v>
      </c>
      <c r="G720" s="280">
        <v>2.384E-2</v>
      </c>
      <c r="H720" s="291">
        <f t="shared" si="6"/>
        <v>3.3840000000000002E-2</v>
      </c>
      <c r="I720" s="280">
        <f t="shared" si="7"/>
        <v>1.384E-2</v>
      </c>
      <c r="J720" s="25"/>
      <c r="K720" s="25"/>
      <c r="O720" s="14"/>
      <c r="P720" s="24"/>
    </row>
    <row r="721" spans="1:16">
      <c r="A721" s="223">
        <v>43701</v>
      </c>
      <c r="B721" s="285">
        <v>2.281E-2</v>
      </c>
      <c r="C721" s="2" t="s">
        <v>8</v>
      </c>
      <c r="D721" s="2">
        <v>8165</v>
      </c>
      <c r="E721" s="31"/>
      <c r="F721" s="284">
        <v>43699</v>
      </c>
      <c r="G721" s="280">
        <v>2.334E-2</v>
      </c>
      <c r="H721" s="291">
        <f t="shared" si="6"/>
        <v>3.3340000000000002E-2</v>
      </c>
      <c r="I721" s="280">
        <f t="shared" si="7"/>
        <v>1.3339999999999999E-2</v>
      </c>
      <c r="J721" s="25"/>
      <c r="K721" s="25"/>
      <c r="O721" s="14"/>
      <c r="P721" s="24"/>
    </row>
    <row r="722" spans="1:16">
      <c r="A722" s="223">
        <v>43702</v>
      </c>
      <c r="B722" s="285">
        <v>2.281E-2</v>
      </c>
      <c r="C722" s="2" t="s">
        <v>8</v>
      </c>
      <c r="D722" s="2">
        <v>8165</v>
      </c>
      <c r="E722" s="31"/>
      <c r="F722" s="284">
        <v>43700</v>
      </c>
      <c r="G722" s="280">
        <v>2.281E-2</v>
      </c>
      <c r="H722" s="291">
        <f t="shared" si="6"/>
        <v>3.2809999999999999E-2</v>
      </c>
      <c r="I722" s="280">
        <f t="shared" si="7"/>
        <v>1.281E-2</v>
      </c>
      <c r="J722" s="25"/>
      <c r="K722" s="25"/>
      <c r="O722" s="14"/>
      <c r="P722" s="24"/>
    </row>
    <row r="723" spans="1:16">
      <c r="A723" s="223">
        <v>43703</v>
      </c>
      <c r="B723" s="285">
        <v>2.257E-2</v>
      </c>
      <c r="C723" s="2">
        <v>3485</v>
      </c>
      <c r="D723" s="2">
        <v>7255</v>
      </c>
      <c r="E723" s="31"/>
      <c r="F723" s="284">
        <v>43701</v>
      </c>
      <c r="G723" s="280">
        <v>2.281E-2</v>
      </c>
      <c r="H723" s="291">
        <f t="shared" si="6"/>
        <v>3.2809999999999999E-2</v>
      </c>
      <c r="I723" s="280">
        <f t="shared" si="7"/>
        <v>1.281E-2</v>
      </c>
      <c r="J723" s="25"/>
      <c r="K723" s="25"/>
      <c r="O723" s="14"/>
      <c r="P723" s="24"/>
    </row>
    <row r="724" spans="1:16">
      <c r="A724" s="223">
        <v>43704</v>
      </c>
      <c r="B724" s="285">
        <v>2.2499999999999999E-2</v>
      </c>
      <c r="C724" s="2">
        <v>2414</v>
      </c>
      <c r="D724" s="2">
        <v>6484</v>
      </c>
      <c r="E724" s="31"/>
      <c r="F724" s="284">
        <v>43702</v>
      </c>
      <c r="G724" s="280">
        <v>2.281E-2</v>
      </c>
      <c r="H724" s="291">
        <f t="shared" si="6"/>
        <v>3.2809999999999999E-2</v>
      </c>
      <c r="I724" s="280">
        <f t="shared" si="7"/>
        <v>1.281E-2</v>
      </c>
      <c r="J724" s="25"/>
      <c r="K724" s="25"/>
      <c r="O724" s="14"/>
      <c r="P724" s="24"/>
    </row>
    <row r="725" spans="1:16">
      <c r="A725" s="223">
        <v>43705</v>
      </c>
      <c r="B725" s="285">
        <v>2.2499999999999999E-2</v>
      </c>
      <c r="C725" s="2">
        <v>2178</v>
      </c>
      <c r="D725" s="2">
        <v>6348</v>
      </c>
      <c r="E725" s="31"/>
      <c r="F725" s="284">
        <v>43703</v>
      </c>
      <c r="G725" s="280">
        <v>2.257E-2</v>
      </c>
      <c r="H725" s="291">
        <f t="shared" si="6"/>
        <v>3.2570000000000002E-2</v>
      </c>
      <c r="I725" s="280">
        <f t="shared" si="7"/>
        <v>1.257E-2</v>
      </c>
      <c r="J725" s="25"/>
      <c r="K725" s="25"/>
      <c r="O725" s="14"/>
      <c r="P725" s="24"/>
    </row>
    <row r="726" spans="1:16">
      <c r="A726" s="223">
        <v>43706</v>
      </c>
      <c r="B726" s="285">
        <v>2.2579999999999999E-2</v>
      </c>
      <c r="C726" s="2">
        <v>3916</v>
      </c>
      <c r="D726" s="2">
        <v>7616</v>
      </c>
      <c r="E726" s="31"/>
      <c r="F726" s="284">
        <v>43704</v>
      </c>
      <c r="G726" s="280">
        <v>2.2499999999999999E-2</v>
      </c>
      <c r="H726" s="291">
        <f t="shared" si="6"/>
        <v>3.2500000000000001E-2</v>
      </c>
      <c r="I726" s="280">
        <f t="shared" si="7"/>
        <v>1.2499999999999999E-2</v>
      </c>
      <c r="J726" s="25"/>
      <c r="K726" s="25"/>
      <c r="O726" s="14"/>
      <c r="P726" s="24"/>
    </row>
    <row r="727" spans="1:16">
      <c r="A727" s="223">
        <v>43707</v>
      </c>
      <c r="B727" s="285">
        <v>2.2929999999999999E-2</v>
      </c>
      <c r="C727" s="2">
        <v>3781</v>
      </c>
      <c r="D727" s="2">
        <v>7391</v>
      </c>
      <c r="E727" s="31"/>
      <c r="F727" s="284">
        <v>43705</v>
      </c>
      <c r="G727" s="280">
        <v>2.2499999999999999E-2</v>
      </c>
      <c r="H727" s="291">
        <f t="shared" si="6"/>
        <v>3.2500000000000001E-2</v>
      </c>
      <c r="I727" s="280">
        <f t="shared" si="7"/>
        <v>1.2499999999999999E-2</v>
      </c>
      <c r="J727" s="25"/>
      <c r="K727" s="25"/>
      <c r="O727" s="14"/>
      <c r="P727" s="24"/>
    </row>
    <row r="728" spans="1:16">
      <c r="A728" s="223">
        <v>43708</v>
      </c>
      <c r="B728" s="285">
        <v>2.2929999999999999E-2</v>
      </c>
      <c r="C728" s="2" t="s">
        <v>8</v>
      </c>
      <c r="D728" s="2">
        <v>7391</v>
      </c>
      <c r="E728" s="31"/>
      <c r="F728" s="284">
        <v>43706</v>
      </c>
      <c r="G728" s="280">
        <v>2.2579999999999999E-2</v>
      </c>
      <c r="H728" s="291">
        <f t="shared" si="6"/>
        <v>3.2579999999999998E-2</v>
      </c>
      <c r="I728" s="280">
        <f t="shared" si="7"/>
        <v>1.2579999999999999E-2</v>
      </c>
      <c r="J728" s="25"/>
      <c r="K728" s="25"/>
      <c r="O728" s="14"/>
      <c r="P728" s="24"/>
    </row>
    <row r="729" spans="1:16">
      <c r="A729" s="223">
        <v>43709</v>
      </c>
      <c r="B729" s="285">
        <v>2.2929999999999999E-2</v>
      </c>
      <c r="C729" s="2" t="s">
        <v>8</v>
      </c>
      <c r="D729" s="2">
        <v>7391</v>
      </c>
      <c r="E729" s="31"/>
      <c r="F729" s="284">
        <v>43707</v>
      </c>
      <c r="G729" s="280">
        <v>2.2929999999999999E-2</v>
      </c>
      <c r="H729" s="291">
        <f t="shared" si="6"/>
        <v>3.2930000000000001E-2</v>
      </c>
      <c r="I729" s="280">
        <f t="shared" si="7"/>
        <v>1.2929999999999999E-2</v>
      </c>
      <c r="J729" s="25"/>
      <c r="K729" s="25"/>
      <c r="O729" s="14"/>
      <c r="P729" s="24"/>
    </row>
    <row r="730" spans="1:16">
      <c r="A730" s="223">
        <v>43710</v>
      </c>
      <c r="B730" s="285">
        <v>2.2499999999999999E-2</v>
      </c>
      <c r="C730" s="2">
        <v>2450</v>
      </c>
      <c r="D730" s="2">
        <v>7310</v>
      </c>
      <c r="E730" s="31"/>
      <c r="F730" s="284">
        <v>43708</v>
      </c>
      <c r="G730" s="280">
        <v>2.2929999999999999E-2</v>
      </c>
      <c r="H730" s="291">
        <f t="shared" si="6"/>
        <v>3.2930000000000001E-2</v>
      </c>
      <c r="I730" s="280">
        <f t="shared" si="7"/>
        <v>1.2929999999999999E-2</v>
      </c>
      <c r="J730" s="25"/>
      <c r="K730" s="25"/>
      <c r="O730" s="14"/>
      <c r="P730" s="24"/>
    </row>
    <row r="731" spans="1:16">
      <c r="A731" s="223">
        <v>43711</v>
      </c>
      <c r="B731" s="285">
        <v>2.256E-2</v>
      </c>
      <c r="C731" s="2">
        <v>3097</v>
      </c>
      <c r="D731" s="2">
        <v>7477</v>
      </c>
      <c r="E731" s="31"/>
      <c r="F731" s="284">
        <v>43709</v>
      </c>
      <c r="G731" s="280">
        <v>2.2929999999999999E-2</v>
      </c>
      <c r="H731" s="291">
        <f t="shared" si="6"/>
        <v>3.2930000000000001E-2</v>
      </c>
      <c r="I731" s="280">
        <f t="shared" si="7"/>
        <v>1.2929999999999999E-2</v>
      </c>
      <c r="J731" s="25"/>
      <c r="K731" s="25"/>
      <c r="O731" s="14"/>
      <c r="P731" s="24"/>
    </row>
    <row r="732" spans="1:16">
      <c r="A732" s="223">
        <v>43712</v>
      </c>
      <c r="B732" s="285">
        <v>2.2610000000000002E-2</v>
      </c>
      <c r="C732" s="2">
        <v>2773</v>
      </c>
      <c r="D732" s="2">
        <v>7053</v>
      </c>
      <c r="E732" s="31"/>
      <c r="F732" s="284">
        <v>43710</v>
      </c>
      <c r="G732" s="280">
        <v>2.2499999999999999E-2</v>
      </c>
      <c r="H732" s="291">
        <f t="shared" si="6"/>
        <v>3.2500000000000001E-2</v>
      </c>
      <c r="I732" s="280">
        <f t="shared" si="7"/>
        <v>1.2499999999999999E-2</v>
      </c>
      <c r="J732" s="25"/>
      <c r="K732" s="25"/>
      <c r="O732" s="14"/>
      <c r="P732" s="24"/>
    </row>
    <row r="733" spans="1:16">
      <c r="A733" s="223">
        <v>43713</v>
      </c>
      <c r="B733" s="285">
        <v>2.2550000000000001E-2</v>
      </c>
      <c r="C733" s="2">
        <v>2749</v>
      </c>
      <c r="D733" s="2">
        <v>6479</v>
      </c>
      <c r="E733" s="31"/>
      <c r="F733" s="284">
        <v>43711</v>
      </c>
      <c r="G733" s="280">
        <v>2.256E-2</v>
      </c>
      <c r="H733" s="291">
        <f t="shared" si="6"/>
        <v>3.2559999999999999E-2</v>
      </c>
      <c r="I733" s="280">
        <f t="shared" si="7"/>
        <v>1.256E-2</v>
      </c>
      <c r="J733" s="25"/>
      <c r="K733" s="25"/>
      <c r="O733" s="14"/>
      <c r="P733" s="24"/>
    </row>
    <row r="734" spans="1:16">
      <c r="A734" s="223">
        <v>43714</v>
      </c>
      <c r="B734" s="285">
        <v>2.257E-2</v>
      </c>
      <c r="C734" s="2">
        <v>5045</v>
      </c>
      <c r="D734" s="2">
        <v>8635</v>
      </c>
      <c r="E734" s="31"/>
      <c r="F734" s="284">
        <v>43712</v>
      </c>
      <c r="G734" s="280">
        <v>2.2610000000000002E-2</v>
      </c>
      <c r="H734" s="291">
        <f t="shared" si="6"/>
        <v>3.261E-2</v>
      </c>
      <c r="I734" s="280">
        <f t="shared" si="7"/>
        <v>1.2610000000000001E-2</v>
      </c>
      <c r="J734" s="25"/>
      <c r="K734" s="25"/>
      <c r="O734" s="14"/>
      <c r="P734" s="24"/>
    </row>
    <row r="735" spans="1:16">
      <c r="A735" s="223">
        <v>43715</v>
      </c>
      <c r="B735" s="285">
        <v>2.257E-2</v>
      </c>
      <c r="C735" s="2" t="s">
        <v>8</v>
      </c>
      <c r="D735" s="2">
        <v>8635</v>
      </c>
      <c r="E735" s="31"/>
      <c r="F735" s="284">
        <v>43713</v>
      </c>
      <c r="G735" s="280">
        <v>2.2550000000000001E-2</v>
      </c>
      <c r="H735" s="291">
        <f t="shared" si="6"/>
        <v>3.2550000000000003E-2</v>
      </c>
      <c r="I735" s="280">
        <f t="shared" si="7"/>
        <v>1.255E-2</v>
      </c>
      <c r="J735" s="25"/>
      <c r="K735" s="25"/>
      <c r="O735" s="14"/>
      <c r="P735" s="24"/>
    </row>
    <row r="736" spans="1:16">
      <c r="A736" s="223">
        <v>43716</v>
      </c>
      <c r="B736" s="285">
        <v>2.257E-2</v>
      </c>
      <c r="C736" s="2" t="s">
        <v>8</v>
      </c>
      <c r="D736" s="2">
        <v>8635</v>
      </c>
      <c r="E736" s="31"/>
      <c r="F736" s="284">
        <v>43714</v>
      </c>
      <c r="G736" s="280">
        <v>2.257E-2</v>
      </c>
      <c r="H736" s="291">
        <f t="shared" si="6"/>
        <v>3.2570000000000002E-2</v>
      </c>
      <c r="I736" s="280">
        <f t="shared" si="7"/>
        <v>1.257E-2</v>
      </c>
      <c r="J736" s="25"/>
      <c r="K736" s="25"/>
      <c r="O736" s="14"/>
      <c r="P736" s="24"/>
    </row>
    <row r="737" spans="1:16">
      <c r="A737" s="223">
        <v>43717</v>
      </c>
      <c r="B737" s="285">
        <v>2.2589999999999999E-2</v>
      </c>
      <c r="C737" s="2">
        <v>5117</v>
      </c>
      <c r="D737" s="2">
        <v>8117</v>
      </c>
      <c r="E737" s="31"/>
      <c r="F737" s="284">
        <v>43715</v>
      </c>
      <c r="G737" s="280">
        <v>2.257E-2</v>
      </c>
      <c r="H737" s="291">
        <f t="shared" si="6"/>
        <v>3.2570000000000002E-2</v>
      </c>
      <c r="I737" s="280">
        <f t="shared" si="7"/>
        <v>1.257E-2</v>
      </c>
      <c r="J737" s="25"/>
      <c r="K737" s="25"/>
      <c r="O737" s="14"/>
      <c r="P737" s="24"/>
    </row>
    <row r="738" spans="1:16">
      <c r="A738" s="223">
        <v>43718</v>
      </c>
      <c r="B738" s="285">
        <v>2.2550000000000001E-2</v>
      </c>
      <c r="C738" s="2">
        <v>5455</v>
      </c>
      <c r="D738" s="2">
        <v>8795</v>
      </c>
      <c r="E738" s="31"/>
      <c r="F738" s="284">
        <v>43716</v>
      </c>
      <c r="G738" s="280">
        <v>2.257E-2</v>
      </c>
      <c r="H738" s="291">
        <f t="shared" si="6"/>
        <v>3.2570000000000002E-2</v>
      </c>
      <c r="I738" s="280">
        <f t="shared" si="7"/>
        <v>1.257E-2</v>
      </c>
      <c r="J738" s="25"/>
      <c r="K738" s="25"/>
      <c r="O738" s="14"/>
      <c r="P738" s="24"/>
    </row>
    <row r="739" spans="1:16">
      <c r="A739" s="223">
        <v>43719</v>
      </c>
      <c r="B739" s="285">
        <v>2.2499999999999999E-2</v>
      </c>
      <c r="C739" s="2">
        <v>4630</v>
      </c>
      <c r="D739" s="2">
        <v>8420</v>
      </c>
      <c r="E739" s="31"/>
      <c r="F739" s="284">
        <v>43717</v>
      </c>
      <c r="G739" s="280">
        <v>2.2589999999999999E-2</v>
      </c>
      <c r="H739" s="291">
        <f t="shared" si="6"/>
        <v>3.2590000000000001E-2</v>
      </c>
      <c r="I739" s="280">
        <f t="shared" si="7"/>
        <v>1.2589999999999999E-2</v>
      </c>
      <c r="J739" s="25"/>
      <c r="K739" s="25"/>
      <c r="O739" s="14"/>
      <c r="P739" s="24"/>
    </row>
    <row r="740" spans="1:16">
      <c r="A740" s="223">
        <v>43720</v>
      </c>
      <c r="B740" s="285">
        <v>2.2530000000000001E-2</v>
      </c>
      <c r="C740" s="2">
        <v>3473</v>
      </c>
      <c r="D740" s="2">
        <v>7133</v>
      </c>
      <c r="E740" s="31"/>
      <c r="F740" s="284">
        <v>43718</v>
      </c>
      <c r="G740" s="280">
        <v>2.2550000000000001E-2</v>
      </c>
      <c r="H740" s="291">
        <f t="shared" si="6"/>
        <v>3.2550000000000003E-2</v>
      </c>
      <c r="I740" s="280">
        <f t="shared" si="7"/>
        <v>1.255E-2</v>
      </c>
      <c r="J740" s="25"/>
      <c r="K740" s="25"/>
      <c r="O740" s="14"/>
      <c r="P740" s="24"/>
    </row>
    <row r="741" spans="1:16">
      <c r="A741" s="223">
        <v>43721</v>
      </c>
      <c r="B741" s="285">
        <v>2.2870000000000001E-2</v>
      </c>
      <c r="C741" s="2">
        <v>3644</v>
      </c>
      <c r="D741" s="2">
        <v>7434</v>
      </c>
      <c r="E741" s="31"/>
      <c r="F741" s="284">
        <v>43719</v>
      </c>
      <c r="G741" s="280">
        <v>2.2499999999999999E-2</v>
      </c>
      <c r="H741" s="291">
        <f t="shared" si="6"/>
        <v>3.2500000000000001E-2</v>
      </c>
      <c r="I741" s="280">
        <f t="shared" si="7"/>
        <v>1.2499999999999999E-2</v>
      </c>
      <c r="J741" s="25"/>
      <c r="K741" s="25"/>
      <c r="O741" s="14"/>
      <c r="P741" s="24"/>
    </row>
    <row r="742" spans="1:16">
      <c r="A742" s="223">
        <v>43722</v>
      </c>
      <c r="B742" s="285">
        <v>2.2870000000000001E-2</v>
      </c>
      <c r="C742" s="2" t="s">
        <v>8</v>
      </c>
      <c r="D742" s="2">
        <v>7434</v>
      </c>
      <c r="E742" s="31"/>
      <c r="F742" s="284">
        <v>43720</v>
      </c>
      <c r="G742" s="280">
        <v>2.2530000000000001E-2</v>
      </c>
      <c r="H742" s="291">
        <f t="shared" si="6"/>
        <v>3.2530000000000003E-2</v>
      </c>
      <c r="I742" s="280">
        <f t="shared" si="7"/>
        <v>1.2530000000000001E-2</v>
      </c>
      <c r="J742" s="25"/>
      <c r="K742" s="25"/>
      <c r="O742" s="14"/>
      <c r="P742" s="24"/>
    </row>
    <row r="743" spans="1:16">
      <c r="A743" s="223">
        <v>43723</v>
      </c>
      <c r="B743" s="285">
        <v>2.2870000000000001E-2</v>
      </c>
      <c r="C743" s="2" t="s">
        <v>8</v>
      </c>
      <c r="D743" s="2">
        <v>7434</v>
      </c>
      <c r="E743" s="31"/>
      <c r="F743" s="284">
        <v>43721</v>
      </c>
      <c r="G743" s="280">
        <v>2.2870000000000001E-2</v>
      </c>
      <c r="H743" s="291">
        <f t="shared" si="6"/>
        <v>3.2870000000000003E-2</v>
      </c>
      <c r="I743" s="280">
        <f t="shared" si="7"/>
        <v>1.2870000000000001E-2</v>
      </c>
      <c r="J743" s="25"/>
      <c r="K743" s="25"/>
      <c r="O743" s="14"/>
      <c r="P743" s="24"/>
    </row>
    <row r="744" spans="1:16">
      <c r="A744" s="223">
        <v>43724</v>
      </c>
      <c r="B744" s="285">
        <v>2.3009999999999999E-2</v>
      </c>
      <c r="C744" s="2">
        <v>5311</v>
      </c>
      <c r="D744" s="2">
        <v>8901</v>
      </c>
      <c r="E744" s="31"/>
      <c r="F744" s="284">
        <v>43722</v>
      </c>
      <c r="G744" s="280">
        <v>2.2870000000000001E-2</v>
      </c>
      <c r="H744" s="291">
        <f t="shared" si="6"/>
        <v>3.2870000000000003E-2</v>
      </c>
      <c r="I744" s="280">
        <f t="shared" si="7"/>
        <v>1.2870000000000001E-2</v>
      </c>
      <c r="J744" s="25"/>
      <c r="K744" s="25"/>
      <c r="O744" s="14"/>
      <c r="P744" s="24"/>
    </row>
    <row r="745" spans="1:16">
      <c r="A745" s="223">
        <v>43725</v>
      </c>
      <c r="B745" s="285">
        <v>2.273E-2</v>
      </c>
      <c r="C745" s="2">
        <v>3948</v>
      </c>
      <c r="D745" s="2">
        <v>7288</v>
      </c>
      <c r="E745" s="31"/>
      <c r="F745" s="284">
        <v>43723</v>
      </c>
      <c r="G745" s="280">
        <v>2.2870000000000001E-2</v>
      </c>
      <c r="H745" s="291">
        <f t="shared" si="6"/>
        <v>3.2870000000000003E-2</v>
      </c>
      <c r="I745" s="280">
        <f t="shared" si="7"/>
        <v>1.2870000000000001E-2</v>
      </c>
      <c r="J745" s="25"/>
      <c r="K745" s="25"/>
      <c r="O745" s="14"/>
      <c r="P745" s="24"/>
    </row>
    <row r="746" spans="1:16">
      <c r="A746" s="223">
        <v>43726</v>
      </c>
      <c r="B746" s="285">
        <v>2.256E-2</v>
      </c>
      <c r="C746" s="2">
        <v>4483</v>
      </c>
      <c r="D746" s="2">
        <v>8323</v>
      </c>
      <c r="E746" s="31"/>
      <c r="F746" s="284">
        <v>43724</v>
      </c>
      <c r="G746" s="280">
        <v>2.3009999999999999E-2</v>
      </c>
      <c r="H746" s="291">
        <f t="shared" ref="H746:H809" si="8">G746+1%</f>
        <v>3.3009999999999998E-2</v>
      </c>
      <c r="I746" s="280">
        <f t="shared" ref="I746:I809" si="9">G746-1%</f>
        <v>1.3009999999999999E-2</v>
      </c>
      <c r="J746" s="25"/>
      <c r="K746" s="25"/>
      <c r="O746" s="14"/>
      <c r="P746" s="24"/>
    </row>
    <row r="747" spans="1:16">
      <c r="A747" s="223">
        <v>43727</v>
      </c>
      <c r="B747" s="285">
        <v>2.2550000000000001E-2</v>
      </c>
      <c r="C747" s="2">
        <v>2452</v>
      </c>
      <c r="D747" s="2">
        <v>6252</v>
      </c>
      <c r="E747" s="31"/>
      <c r="F747" s="284">
        <v>43725</v>
      </c>
      <c r="G747" s="280">
        <v>2.273E-2</v>
      </c>
      <c r="H747" s="291">
        <f t="shared" si="8"/>
        <v>3.2730000000000002E-2</v>
      </c>
      <c r="I747" s="280">
        <f t="shared" si="9"/>
        <v>1.273E-2</v>
      </c>
      <c r="J747" s="25"/>
      <c r="K747" s="25"/>
      <c r="O747" s="14"/>
      <c r="P747" s="24"/>
    </row>
    <row r="748" spans="1:16">
      <c r="A748" s="223">
        <v>43728</v>
      </c>
      <c r="B748" s="285">
        <v>2.257E-2</v>
      </c>
      <c r="C748" s="2">
        <v>3857</v>
      </c>
      <c r="D748" s="2">
        <v>8927</v>
      </c>
      <c r="E748" s="31"/>
      <c r="F748" s="284">
        <v>43726</v>
      </c>
      <c r="G748" s="280">
        <v>2.256E-2</v>
      </c>
      <c r="H748" s="291">
        <f t="shared" si="8"/>
        <v>3.2559999999999999E-2</v>
      </c>
      <c r="I748" s="280">
        <f t="shared" si="9"/>
        <v>1.256E-2</v>
      </c>
      <c r="J748" s="25"/>
      <c r="K748" s="25"/>
      <c r="O748" s="14"/>
      <c r="P748" s="24"/>
    </row>
    <row r="749" spans="1:16">
      <c r="A749" s="223">
        <v>43729</v>
      </c>
      <c r="B749" s="285">
        <v>2.257E-2</v>
      </c>
      <c r="C749" s="2" t="s">
        <v>8</v>
      </c>
      <c r="D749" s="2">
        <v>8927</v>
      </c>
      <c r="E749" s="31"/>
      <c r="F749" s="284">
        <v>43727</v>
      </c>
      <c r="G749" s="280">
        <v>2.2550000000000001E-2</v>
      </c>
      <c r="H749" s="291">
        <f t="shared" si="8"/>
        <v>3.2550000000000003E-2</v>
      </c>
      <c r="I749" s="280">
        <f t="shared" si="9"/>
        <v>1.255E-2</v>
      </c>
      <c r="J749" s="25"/>
      <c r="K749" s="25"/>
      <c r="O749" s="14"/>
      <c r="P749" s="24"/>
    </row>
    <row r="750" spans="1:16">
      <c r="A750" s="223">
        <v>43730</v>
      </c>
      <c r="B750" s="285">
        <v>2.257E-2</v>
      </c>
      <c r="C750" s="2" t="s">
        <v>8</v>
      </c>
      <c r="D750" s="2">
        <v>8927</v>
      </c>
      <c r="E750" s="31"/>
      <c r="F750" s="284">
        <v>43728</v>
      </c>
      <c r="G750" s="280">
        <v>2.257E-2</v>
      </c>
      <c r="H750" s="291">
        <f t="shared" si="8"/>
        <v>3.2570000000000002E-2</v>
      </c>
      <c r="I750" s="280">
        <f t="shared" si="9"/>
        <v>1.257E-2</v>
      </c>
      <c r="J750" s="25"/>
      <c r="K750" s="25"/>
      <c r="O750" s="14"/>
      <c r="P750" s="24"/>
    </row>
    <row r="751" spans="1:16">
      <c r="A751" s="223">
        <v>43731</v>
      </c>
      <c r="B751" s="285">
        <v>2.2499999999999999E-2</v>
      </c>
      <c r="C751" s="2">
        <v>2202</v>
      </c>
      <c r="D751" s="2">
        <v>7722</v>
      </c>
      <c r="E751" s="31"/>
      <c r="F751" s="284">
        <v>43729</v>
      </c>
      <c r="G751" s="280">
        <v>2.257E-2</v>
      </c>
      <c r="H751" s="291">
        <f t="shared" si="8"/>
        <v>3.2570000000000002E-2</v>
      </c>
      <c r="I751" s="280">
        <f t="shared" si="9"/>
        <v>1.257E-2</v>
      </c>
      <c r="J751" s="25"/>
      <c r="K751" s="25"/>
      <c r="O751" s="14"/>
      <c r="P751" s="24"/>
    </row>
    <row r="752" spans="1:16">
      <c r="A752" s="223">
        <v>43732</v>
      </c>
      <c r="B752" s="285">
        <v>2.2499999999999999E-2</v>
      </c>
      <c r="C752" s="2">
        <v>2555</v>
      </c>
      <c r="D752" s="2">
        <v>8075</v>
      </c>
      <c r="E752" s="31"/>
      <c r="F752" s="284">
        <v>43730</v>
      </c>
      <c r="G752" s="280">
        <v>2.257E-2</v>
      </c>
      <c r="H752" s="291">
        <f t="shared" si="8"/>
        <v>3.2570000000000002E-2</v>
      </c>
      <c r="I752" s="280">
        <f t="shared" si="9"/>
        <v>1.257E-2</v>
      </c>
      <c r="J752" s="25"/>
      <c r="K752" s="25"/>
      <c r="O752" s="14"/>
      <c r="P752" s="24"/>
    </row>
    <row r="753" spans="1:16">
      <c r="A753" s="223">
        <v>43733</v>
      </c>
      <c r="B753" s="285">
        <v>2.2499999999999999E-2</v>
      </c>
      <c r="C753" s="2">
        <v>3413</v>
      </c>
      <c r="D753" s="2">
        <v>9033</v>
      </c>
      <c r="E753" s="31"/>
      <c r="F753" s="284">
        <v>43731</v>
      </c>
      <c r="G753" s="280">
        <v>2.2499999999999999E-2</v>
      </c>
      <c r="H753" s="291">
        <f t="shared" si="8"/>
        <v>3.2500000000000001E-2</v>
      </c>
      <c r="I753" s="280">
        <f t="shared" si="9"/>
        <v>1.2499999999999999E-2</v>
      </c>
      <c r="J753" s="25"/>
      <c r="K753" s="25"/>
      <c r="O753" s="14"/>
      <c r="P753" s="24"/>
    </row>
    <row r="754" spans="1:16">
      <c r="A754" s="223">
        <v>43734</v>
      </c>
      <c r="B754" s="285">
        <v>2.2550000000000001E-2</v>
      </c>
      <c r="C754" s="2">
        <v>3872</v>
      </c>
      <c r="D754" s="2">
        <v>8742</v>
      </c>
      <c r="E754" s="31"/>
      <c r="F754" s="284">
        <v>43732</v>
      </c>
      <c r="G754" s="280">
        <v>2.2499999999999999E-2</v>
      </c>
      <c r="H754" s="291">
        <f t="shared" si="8"/>
        <v>3.2500000000000001E-2</v>
      </c>
      <c r="I754" s="280">
        <f t="shared" si="9"/>
        <v>1.2499999999999999E-2</v>
      </c>
      <c r="J754" s="25"/>
      <c r="K754" s="25"/>
      <c r="O754" s="14"/>
      <c r="P754" s="24"/>
    </row>
    <row r="755" spans="1:16">
      <c r="A755" s="223">
        <v>43735</v>
      </c>
      <c r="B755" s="285">
        <v>2.2679999999999999E-2</v>
      </c>
      <c r="C755" s="2">
        <v>3573</v>
      </c>
      <c r="D755" s="2">
        <v>7743</v>
      </c>
      <c r="E755" s="31"/>
      <c r="F755" s="284">
        <v>43733</v>
      </c>
      <c r="G755" s="280">
        <v>2.2499999999999999E-2</v>
      </c>
      <c r="H755" s="291">
        <f t="shared" si="8"/>
        <v>3.2500000000000001E-2</v>
      </c>
      <c r="I755" s="280">
        <f t="shared" si="9"/>
        <v>1.2499999999999999E-2</v>
      </c>
      <c r="J755" s="25"/>
      <c r="K755" s="25"/>
      <c r="O755" s="14"/>
      <c r="P755" s="24"/>
    </row>
    <row r="756" spans="1:16">
      <c r="A756" s="223">
        <v>43736</v>
      </c>
      <c r="B756" s="285">
        <v>2.2679999999999999E-2</v>
      </c>
      <c r="C756" s="2" t="s">
        <v>8</v>
      </c>
      <c r="D756" s="2">
        <v>7743</v>
      </c>
      <c r="E756" s="31"/>
      <c r="F756" s="284">
        <v>43734</v>
      </c>
      <c r="G756" s="280">
        <v>2.2550000000000001E-2</v>
      </c>
      <c r="H756" s="291">
        <f t="shared" si="8"/>
        <v>3.2550000000000003E-2</v>
      </c>
      <c r="I756" s="280">
        <f t="shared" si="9"/>
        <v>1.255E-2</v>
      </c>
      <c r="J756" s="25"/>
      <c r="K756" s="25"/>
      <c r="O756" s="14"/>
      <c r="P756" s="24"/>
    </row>
    <row r="757" spans="1:16">
      <c r="A757" s="223">
        <v>43737</v>
      </c>
      <c r="B757" s="285">
        <v>2.2679999999999999E-2</v>
      </c>
      <c r="C757" s="2" t="s">
        <v>8</v>
      </c>
      <c r="D757" s="2">
        <v>7743</v>
      </c>
      <c r="E757" s="31"/>
      <c r="F757" s="284">
        <v>43735</v>
      </c>
      <c r="G757" s="280">
        <v>2.2679999999999999E-2</v>
      </c>
      <c r="H757" s="291">
        <f t="shared" si="8"/>
        <v>3.2680000000000001E-2</v>
      </c>
      <c r="I757" s="280">
        <f t="shared" si="9"/>
        <v>1.2679999999999999E-2</v>
      </c>
      <c r="J757" s="25"/>
      <c r="K757" s="25"/>
      <c r="O757" s="14"/>
      <c r="P757" s="24"/>
    </row>
    <row r="758" spans="1:16">
      <c r="A758" s="223">
        <v>43738</v>
      </c>
      <c r="B758" s="285">
        <v>2.298E-2</v>
      </c>
      <c r="C758" s="2">
        <v>3218</v>
      </c>
      <c r="D758" s="2">
        <v>6943</v>
      </c>
      <c r="E758" s="31"/>
      <c r="F758" s="284">
        <v>43736</v>
      </c>
      <c r="G758" s="280">
        <v>2.2679999999999999E-2</v>
      </c>
      <c r="H758" s="291">
        <f t="shared" si="8"/>
        <v>3.2680000000000001E-2</v>
      </c>
      <c r="I758" s="280">
        <f t="shared" si="9"/>
        <v>1.2679999999999999E-2</v>
      </c>
      <c r="J758" s="25"/>
      <c r="K758" s="25"/>
      <c r="O758" s="14"/>
      <c r="P758" s="24"/>
    </row>
    <row r="759" spans="1:16">
      <c r="A759" s="223">
        <v>43739</v>
      </c>
      <c r="B759" s="285">
        <v>2.2499999999999999E-2</v>
      </c>
      <c r="C759" s="2">
        <v>2323</v>
      </c>
      <c r="D759" s="2">
        <v>6478</v>
      </c>
      <c r="E759" s="31"/>
      <c r="F759" s="284">
        <v>43737</v>
      </c>
      <c r="G759" s="280">
        <v>2.2679999999999999E-2</v>
      </c>
      <c r="H759" s="291">
        <f t="shared" si="8"/>
        <v>3.2680000000000001E-2</v>
      </c>
      <c r="I759" s="280">
        <f t="shared" si="9"/>
        <v>1.2679999999999999E-2</v>
      </c>
      <c r="J759" s="25"/>
      <c r="K759" s="25"/>
      <c r="O759" s="14"/>
      <c r="P759" s="24"/>
    </row>
    <row r="760" spans="1:16">
      <c r="A760" s="223">
        <v>43740</v>
      </c>
      <c r="B760" s="285">
        <v>2.2499999999999999E-2</v>
      </c>
      <c r="C760" s="2">
        <v>2514</v>
      </c>
      <c r="D760" s="2">
        <v>5969</v>
      </c>
      <c r="E760" s="31"/>
      <c r="F760" s="284">
        <v>43738</v>
      </c>
      <c r="G760" s="280">
        <v>2.298E-2</v>
      </c>
      <c r="H760" s="291">
        <f t="shared" si="8"/>
        <v>3.2980000000000002E-2</v>
      </c>
      <c r="I760" s="280">
        <f t="shared" si="9"/>
        <v>1.298E-2</v>
      </c>
      <c r="J760" s="25"/>
      <c r="K760" s="25"/>
      <c r="O760" s="14"/>
      <c r="P760" s="24"/>
    </row>
    <row r="761" spans="1:16">
      <c r="A761" s="223">
        <v>43741</v>
      </c>
      <c r="B761" s="285">
        <v>2.2499999999999999E-2</v>
      </c>
      <c r="C761" s="2">
        <v>2548</v>
      </c>
      <c r="D761" s="2">
        <v>6253</v>
      </c>
      <c r="E761" s="31"/>
      <c r="F761" s="284">
        <v>43739</v>
      </c>
      <c r="G761" s="280">
        <v>2.2499999999999999E-2</v>
      </c>
      <c r="H761" s="291">
        <f t="shared" si="8"/>
        <v>3.2500000000000001E-2</v>
      </c>
      <c r="I761" s="280">
        <f t="shared" si="9"/>
        <v>1.2499999999999999E-2</v>
      </c>
      <c r="J761" s="25"/>
      <c r="K761" s="25"/>
      <c r="O761" s="14"/>
      <c r="P761" s="24"/>
    </row>
    <row r="762" spans="1:16">
      <c r="A762" s="223">
        <v>43742</v>
      </c>
      <c r="B762" s="285">
        <v>2.2550000000000001E-2</v>
      </c>
      <c r="C762" s="2">
        <v>3283</v>
      </c>
      <c r="D762" s="2">
        <v>7353</v>
      </c>
      <c r="E762" s="31"/>
      <c r="F762" s="284">
        <v>43740</v>
      </c>
      <c r="G762" s="280">
        <v>2.2499999999999999E-2</v>
      </c>
      <c r="H762" s="291">
        <f t="shared" si="8"/>
        <v>3.2500000000000001E-2</v>
      </c>
      <c r="I762" s="280">
        <f t="shared" si="9"/>
        <v>1.2499999999999999E-2</v>
      </c>
      <c r="J762" s="25"/>
      <c r="K762" s="25"/>
      <c r="O762" s="14"/>
      <c r="P762" s="24"/>
    </row>
    <row r="763" spans="1:16">
      <c r="A763" s="223">
        <v>43743</v>
      </c>
      <c r="B763" s="285">
        <v>2.2550000000000001E-2</v>
      </c>
      <c r="C763" s="2" t="s">
        <v>8</v>
      </c>
      <c r="D763" s="2">
        <v>7353</v>
      </c>
      <c r="E763" s="31"/>
      <c r="F763" s="284">
        <v>43741</v>
      </c>
      <c r="G763" s="280">
        <v>2.2499999999999999E-2</v>
      </c>
      <c r="H763" s="291">
        <f t="shared" si="8"/>
        <v>3.2500000000000001E-2</v>
      </c>
      <c r="I763" s="280">
        <f t="shared" si="9"/>
        <v>1.2499999999999999E-2</v>
      </c>
      <c r="J763" s="25"/>
      <c r="K763" s="25"/>
      <c r="O763" s="14"/>
      <c r="P763" s="24"/>
    </row>
    <row r="764" spans="1:16">
      <c r="A764" s="223">
        <v>43744</v>
      </c>
      <c r="B764" s="285">
        <v>2.2550000000000001E-2</v>
      </c>
      <c r="C764" s="2" t="s">
        <v>8</v>
      </c>
      <c r="D764" s="2">
        <v>7353</v>
      </c>
      <c r="E764" s="31"/>
      <c r="F764" s="284">
        <v>43742</v>
      </c>
      <c r="G764" s="280">
        <v>2.2550000000000001E-2</v>
      </c>
      <c r="H764" s="291">
        <f t="shared" si="8"/>
        <v>3.2550000000000003E-2</v>
      </c>
      <c r="I764" s="280">
        <f t="shared" si="9"/>
        <v>1.255E-2</v>
      </c>
      <c r="J764" s="25"/>
      <c r="K764" s="25"/>
      <c r="O764" s="14"/>
      <c r="P764" s="24"/>
    </row>
    <row r="765" spans="1:16">
      <c r="A765" s="223">
        <v>43745</v>
      </c>
      <c r="B765" s="285">
        <v>2.2579999999999999E-2</v>
      </c>
      <c r="C765" s="2">
        <v>3064</v>
      </c>
      <c r="D765" s="2">
        <v>7234</v>
      </c>
      <c r="E765" s="31"/>
      <c r="F765" s="284">
        <v>43743</v>
      </c>
      <c r="G765" s="280">
        <v>2.2550000000000001E-2</v>
      </c>
      <c r="H765" s="291">
        <f t="shared" si="8"/>
        <v>3.2550000000000003E-2</v>
      </c>
      <c r="I765" s="280">
        <f t="shared" si="9"/>
        <v>1.255E-2</v>
      </c>
      <c r="J765" s="25"/>
      <c r="K765" s="25"/>
      <c r="O765" s="14"/>
      <c r="P765" s="24"/>
    </row>
    <row r="766" spans="1:16">
      <c r="A766" s="223">
        <v>43746</v>
      </c>
      <c r="B766" s="285">
        <v>2.2540000000000001E-2</v>
      </c>
      <c r="C766" s="2">
        <v>3927</v>
      </c>
      <c r="D766" s="2">
        <v>8097</v>
      </c>
      <c r="E766" s="31"/>
      <c r="F766" s="284">
        <v>43744</v>
      </c>
      <c r="G766" s="280">
        <v>2.2550000000000001E-2</v>
      </c>
      <c r="H766" s="291">
        <f t="shared" si="8"/>
        <v>3.2550000000000003E-2</v>
      </c>
      <c r="I766" s="280">
        <f t="shared" si="9"/>
        <v>1.255E-2</v>
      </c>
      <c r="J766" s="25"/>
      <c r="K766" s="25"/>
      <c r="O766" s="14"/>
      <c r="P766" s="24"/>
    </row>
    <row r="767" spans="1:16">
      <c r="A767" s="223">
        <v>43747</v>
      </c>
      <c r="B767" s="285">
        <v>2.2550000000000001E-2</v>
      </c>
      <c r="C767" s="2">
        <v>4774</v>
      </c>
      <c r="D767" s="2">
        <v>8944</v>
      </c>
      <c r="E767" s="31"/>
      <c r="F767" s="284">
        <v>43745</v>
      </c>
      <c r="G767" s="280">
        <v>2.2579999999999999E-2</v>
      </c>
      <c r="H767" s="291">
        <f t="shared" si="8"/>
        <v>3.2579999999999998E-2</v>
      </c>
      <c r="I767" s="280">
        <f t="shared" si="9"/>
        <v>1.2579999999999999E-2</v>
      </c>
      <c r="J767" s="25"/>
      <c r="K767" s="25"/>
      <c r="O767" s="14"/>
      <c r="P767" s="24"/>
    </row>
    <row r="768" spans="1:16">
      <c r="A768" s="223">
        <v>43748</v>
      </c>
      <c r="B768" s="285">
        <v>2.257E-2</v>
      </c>
      <c r="C768" s="2">
        <v>5298</v>
      </c>
      <c r="D768" s="2">
        <v>8968</v>
      </c>
      <c r="E768" s="31"/>
      <c r="F768" s="284">
        <v>43746</v>
      </c>
      <c r="G768" s="280">
        <v>2.2540000000000001E-2</v>
      </c>
      <c r="H768" s="291">
        <f t="shared" si="8"/>
        <v>3.2539999999999999E-2</v>
      </c>
      <c r="I768" s="280">
        <f t="shared" si="9"/>
        <v>1.2540000000000001E-2</v>
      </c>
      <c r="J768" s="25"/>
      <c r="K768" s="25"/>
      <c r="O768" s="14"/>
      <c r="P768" s="24"/>
    </row>
    <row r="769" spans="1:16">
      <c r="A769" s="223">
        <v>43749</v>
      </c>
      <c r="B769" s="285">
        <v>2.2540000000000001E-2</v>
      </c>
      <c r="C769" s="2">
        <v>4538</v>
      </c>
      <c r="D769" s="2">
        <v>8008</v>
      </c>
      <c r="E769" s="31"/>
      <c r="F769" s="284">
        <v>43747</v>
      </c>
      <c r="G769" s="280">
        <v>2.2550000000000001E-2</v>
      </c>
      <c r="H769" s="291">
        <f t="shared" si="8"/>
        <v>3.2550000000000003E-2</v>
      </c>
      <c r="I769" s="280">
        <f t="shared" si="9"/>
        <v>1.255E-2</v>
      </c>
      <c r="J769" s="25"/>
      <c r="K769" s="25"/>
      <c r="O769" s="14"/>
      <c r="P769" s="24"/>
    </row>
    <row r="770" spans="1:16">
      <c r="A770" s="223">
        <v>43750</v>
      </c>
      <c r="B770" s="285">
        <v>2.2540000000000001E-2</v>
      </c>
      <c r="C770" s="2" t="s">
        <v>8</v>
      </c>
      <c r="D770" s="2">
        <v>8008</v>
      </c>
      <c r="E770" s="31"/>
      <c r="F770" s="284">
        <v>43748</v>
      </c>
      <c r="G770" s="280">
        <v>2.257E-2</v>
      </c>
      <c r="H770" s="291">
        <f t="shared" si="8"/>
        <v>3.2570000000000002E-2</v>
      </c>
      <c r="I770" s="280">
        <f t="shared" si="9"/>
        <v>1.257E-2</v>
      </c>
      <c r="J770" s="25"/>
      <c r="K770" s="25"/>
      <c r="O770" s="14"/>
      <c r="P770" s="24"/>
    </row>
    <row r="771" spans="1:16">
      <c r="A771" s="223">
        <v>43751</v>
      </c>
      <c r="B771" s="285">
        <v>2.2540000000000001E-2</v>
      </c>
      <c r="C771" s="2" t="s">
        <v>8</v>
      </c>
      <c r="D771" s="2">
        <v>8008</v>
      </c>
      <c r="E771" s="31"/>
      <c r="F771" s="284">
        <v>43749</v>
      </c>
      <c r="G771" s="280">
        <v>2.2540000000000001E-2</v>
      </c>
      <c r="H771" s="291">
        <f t="shared" si="8"/>
        <v>3.2539999999999999E-2</v>
      </c>
      <c r="I771" s="280">
        <f t="shared" si="9"/>
        <v>1.2540000000000001E-2</v>
      </c>
      <c r="J771" s="25"/>
      <c r="K771" s="25"/>
      <c r="O771" s="14"/>
      <c r="P771" s="24"/>
    </row>
    <row r="772" spans="1:16">
      <c r="A772" s="223">
        <v>43752</v>
      </c>
      <c r="B772" s="285">
        <v>2.2710000000000001E-2</v>
      </c>
      <c r="C772" s="2">
        <v>5308</v>
      </c>
      <c r="D772" s="2">
        <v>8478</v>
      </c>
      <c r="E772" s="31"/>
      <c r="F772" s="284">
        <v>43750</v>
      </c>
      <c r="G772" s="280">
        <v>2.2540000000000001E-2</v>
      </c>
      <c r="H772" s="291">
        <f t="shared" si="8"/>
        <v>3.2539999999999999E-2</v>
      </c>
      <c r="I772" s="280">
        <f t="shared" si="9"/>
        <v>1.2540000000000001E-2</v>
      </c>
      <c r="J772" s="25"/>
      <c r="K772" s="25"/>
      <c r="O772" s="14"/>
      <c r="P772" s="24"/>
    </row>
    <row r="773" spans="1:16">
      <c r="A773" s="223">
        <v>43753</v>
      </c>
      <c r="B773" s="285">
        <v>2.2700000000000001E-2</v>
      </c>
      <c r="C773" s="2">
        <v>4348</v>
      </c>
      <c r="D773" s="2">
        <v>7788</v>
      </c>
      <c r="E773" s="31"/>
      <c r="F773" s="284">
        <v>43751</v>
      </c>
      <c r="G773" s="280">
        <v>2.2540000000000001E-2</v>
      </c>
      <c r="H773" s="291">
        <f t="shared" si="8"/>
        <v>3.2539999999999999E-2</v>
      </c>
      <c r="I773" s="280">
        <f t="shared" si="9"/>
        <v>1.2540000000000001E-2</v>
      </c>
      <c r="J773" s="25"/>
      <c r="K773" s="25"/>
      <c r="O773" s="14"/>
      <c r="P773" s="24"/>
    </row>
    <row r="774" spans="1:16">
      <c r="A774" s="223">
        <v>43754</v>
      </c>
      <c r="B774" s="285">
        <v>2.256E-2</v>
      </c>
      <c r="C774" s="2">
        <v>2799</v>
      </c>
      <c r="D774" s="2">
        <v>6389</v>
      </c>
      <c r="E774" s="31"/>
      <c r="F774" s="284">
        <v>43752</v>
      </c>
      <c r="G774" s="280">
        <v>2.2710000000000001E-2</v>
      </c>
      <c r="H774" s="291">
        <f t="shared" si="8"/>
        <v>3.2710000000000003E-2</v>
      </c>
      <c r="I774" s="280">
        <f t="shared" si="9"/>
        <v>1.2710000000000001E-2</v>
      </c>
      <c r="J774" s="25"/>
      <c r="K774" s="25"/>
      <c r="O774" s="14"/>
      <c r="P774" s="24"/>
    </row>
    <row r="775" spans="1:16">
      <c r="A775" s="223">
        <v>43755</v>
      </c>
      <c r="B775" s="285">
        <v>2.2550000000000001E-2</v>
      </c>
      <c r="C775" s="2">
        <v>3039</v>
      </c>
      <c r="D775" s="2">
        <v>7009</v>
      </c>
      <c r="E775" s="31"/>
      <c r="F775" s="284">
        <v>43753</v>
      </c>
      <c r="G775" s="280">
        <v>2.2700000000000001E-2</v>
      </c>
      <c r="H775" s="291">
        <f t="shared" si="8"/>
        <v>3.27E-2</v>
      </c>
      <c r="I775" s="280">
        <f t="shared" si="9"/>
        <v>1.2700000000000001E-2</v>
      </c>
      <c r="J775" s="25"/>
      <c r="K775" s="25"/>
      <c r="O775" s="14"/>
      <c r="P775" s="24"/>
    </row>
    <row r="776" spans="1:16">
      <c r="A776" s="223">
        <v>43756</v>
      </c>
      <c r="B776" s="285">
        <v>2.2579999999999999E-2</v>
      </c>
      <c r="C776" s="2">
        <v>3660</v>
      </c>
      <c r="D776" s="2">
        <v>7630</v>
      </c>
      <c r="E776" s="31"/>
      <c r="F776" s="284">
        <v>43754</v>
      </c>
      <c r="G776" s="280">
        <v>2.256E-2</v>
      </c>
      <c r="H776" s="291">
        <f t="shared" si="8"/>
        <v>3.2559999999999999E-2</v>
      </c>
      <c r="I776" s="280">
        <f t="shared" si="9"/>
        <v>1.256E-2</v>
      </c>
      <c r="J776" s="25"/>
      <c r="K776" s="25"/>
      <c r="O776" s="14"/>
      <c r="P776" s="24"/>
    </row>
    <row r="777" spans="1:16">
      <c r="A777" s="223">
        <v>43757</v>
      </c>
      <c r="B777" s="285">
        <v>2.2579999999999999E-2</v>
      </c>
      <c r="C777" s="2" t="s">
        <v>8</v>
      </c>
      <c r="D777" s="2">
        <v>7630</v>
      </c>
      <c r="E777" s="31"/>
      <c r="F777" s="284">
        <v>43755</v>
      </c>
      <c r="G777" s="280">
        <v>2.2550000000000001E-2</v>
      </c>
      <c r="H777" s="291">
        <f t="shared" si="8"/>
        <v>3.2550000000000003E-2</v>
      </c>
      <c r="I777" s="280">
        <f t="shared" si="9"/>
        <v>1.255E-2</v>
      </c>
      <c r="J777" s="25"/>
      <c r="K777" s="25"/>
      <c r="O777" s="14"/>
      <c r="P777" s="24"/>
    </row>
    <row r="778" spans="1:16">
      <c r="A778" s="223">
        <v>43758</v>
      </c>
      <c r="B778" s="285">
        <v>2.2579999999999999E-2</v>
      </c>
      <c r="C778" s="2" t="s">
        <v>8</v>
      </c>
      <c r="D778" s="2">
        <v>7630</v>
      </c>
      <c r="E778" s="31"/>
      <c r="F778" s="284">
        <v>43756</v>
      </c>
      <c r="G778" s="280">
        <v>2.2579999999999999E-2</v>
      </c>
      <c r="H778" s="291">
        <f t="shared" si="8"/>
        <v>3.2579999999999998E-2</v>
      </c>
      <c r="I778" s="280">
        <f t="shared" si="9"/>
        <v>1.2579999999999999E-2</v>
      </c>
      <c r="J778" s="25"/>
      <c r="K778" s="25"/>
      <c r="O778" s="14"/>
      <c r="P778" s="24"/>
    </row>
    <row r="779" spans="1:16">
      <c r="A779" s="223">
        <v>43759</v>
      </c>
      <c r="B779" s="285">
        <v>2.2499999999999999E-2</v>
      </c>
      <c r="C779" s="2">
        <v>2738</v>
      </c>
      <c r="D779" s="2">
        <v>7383</v>
      </c>
      <c r="E779" s="31"/>
      <c r="F779" s="284">
        <v>43757</v>
      </c>
      <c r="G779" s="280">
        <v>2.2579999999999999E-2</v>
      </c>
      <c r="H779" s="291">
        <f t="shared" si="8"/>
        <v>3.2579999999999998E-2</v>
      </c>
      <c r="I779" s="280">
        <f t="shared" si="9"/>
        <v>1.2579999999999999E-2</v>
      </c>
      <c r="J779" s="25"/>
      <c r="K779" s="25"/>
      <c r="O779" s="14"/>
      <c r="P779" s="24"/>
    </row>
    <row r="780" spans="1:16">
      <c r="A780" s="223">
        <v>43760</v>
      </c>
      <c r="B780" s="285">
        <v>2.2499999999999999E-2</v>
      </c>
      <c r="C780" s="2">
        <v>2517</v>
      </c>
      <c r="D780" s="2">
        <v>7662</v>
      </c>
      <c r="E780" s="31"/>
      <c r="F780" s="284">
        <v>43758</v>
      </c>
      <c r="G780" s="280">
        <v>2.2579999999999999E-2</v>
      </c>
      <c r="H780" s="291">
        <f t="shared" si="8"/>
        <v>3.2579999999999998E-2</v>
      </c>
      <c r="I780" s="280">
        <f t="shared" si="9"/>
        <v>1.2579999999999999E-2</v>
      </c>
      <c r="J780" s="25"/>
      <c r="K780" s="25"/>
      <c r="O780" s="14"/>
      <c r="P780" s="24"/>
    </row>
    <row r="781" spans="1:16">
      <c r="A781" s="223">
        <v>43761</v>
      </c>
      <c r="B781" s="285">
        <v>2.2499999999999999E-2</v>
      </c>
      <c r="C781" s="2">
        <v>3922</v>
      </c>
      <c r="D781" s="2">
        <v>9067</v>
      </c>
      <c r="E781" s="31"/>
      <c r="F781" s="284">
        <v>43759</v>
      </c>
      <c r="G781" s="280">
        <v>2.2499999999999999E-2</v>
      </c>
      <c r="H781" s="291">
        <f t="shared" si="8"/>
        <v>3.2500000000000001E-2</v>
      </c>
      <c r="I781" s="280">
        <f t="shared" si="9"/>
        <v>1.2499999999999999E-2</v>
      </c>
      <c r="J781" s="25"/>
      <c r="K781" s="25"/>
      <c r="O781" s="14"/>
      <c r="P781" s="24"/>
    </row>
    <row r="782" spans="1:16">
      <c r="A782" s="223">
        <v>43762</v>
      </c>
      <c r="B782" s="285">
        <v>2.2499999999999999E-2</v>
      </c>
      <c r="C782" s="2">
        <v>3797</v>
      </c>
      <c r="D782" s="2">
        <v>8812</v>
      </c>
      <c r="E782" s="31"/>
      <c r="F782" s="284">
        <v>43760</v>
      </c>
      <c r="G782" s="280">
        <v>2.2499999999999999E-2</v>
      </c>
      <c r="H782" s="291">
        <f t="shared" si="8"/>
        <v>3.2500000000000001E-2</v>
      </c>
      <c r="I782" s="280">
        <f t="shared" si="9"/>
        <v>1.2499999999999999E-2</v>
      </c>
      <c r="J782" s="25"/>
      <c r="K782" s="25"/>
      <c r="O782" s="14"/>
      <c r="P782" s="24"/>
    </row>
    <row r="783" spans="1:16">
      <c r="A783" s="223">
        <v>43763</v>
      </c>
      <c r="B783" s="285">
        <v>2.2499999999999999E-2</v>
      </c>
      <c r="C783" s="2">
        <v>2456</v>
      </c>
      <c r="D783" s="2">
        <v>7411</v>
      </c>
      <c r="E783" s="31"/>
      <c r="F783" s="284">
        <v>43761</v>
      </c>
      <c r="G783" s="280">
        <v>2.2499999999999999E-2</v>
      </c>
      <c r="H783" s="291">
        <f t="shared" si="8"/>
        <v>3.2500000000000001E-2</v>
      </c>
      <c r="I783" s="280">
        <f t="shared" si="9"/>
        <v>1.2499999999999999E-2</v>
      </c>
      <c r="J783" s="25"/>
      <c r="K783" s="25"/>
      <c r="O783" s="14"/>
      <c r="P783" s="24"/>
    </row>
    <row r="784" spans="1:16">
      <c r="A784" s="223">
        <v>43764</v>
      </c>
      <c r="B784" s="285">
        <v>2.2499999999999999E-2</v>
      </c>
      <c r="C784" s="2" t="s">
        <v>8</v>
      </c>
      <c r="D784" s="2">
        <v>7411</v>
      </c>
      <c r="E784" s="31"/>
      <c r="F784" s="284">
        <v>43762</v>
      </c>
      <c r="G784" s="280">
        <v>2.2499999999999999E-2</v>
      </c>
      <c r="H784" s="291">
        <f t="shared" si="8"/>
        <v>3.2500000000000001E-2</v>
      </c>
      <c r="I784" s="280">
        <f t="shared" si="9"/>
        <v>1.2499999999999999E-2</v>
      </c>
      <c r="J784" s="25"/>
      <c r="K784" s="25"/>
      <c r="O784" s="14"/>
      <c r="P784" s="24"/>
    </row>
    <row r="785" spans="1:16">
      <c r="A785" s="223">
        <v>43765</v>
      </c>
      <c r="B785" s="285">
        <v>2.2499999999999999E-2</v>
      </c>
      <c r="C785" s="2" t="s">
        <v>8</v>
      </c>
      <c r="D785" s="2">
        <v>7411</v>
      </c>
      <c r="E785" s="31"/>
      <c r="F785" s="284">
        <v>43763</v>
      </c>
      <c r="G785" s="280">
        <v>2.2499999999999999E-2</v>
      </c>
      <c r="H785" s="291">
        <f t="shared" si="8"/>
        <v>3.2500000000000001E-2</v>
      </c>
      <c r="I785" s="280">
        <f t="shared" si="9"/>
        <v>1.2499999999999999E-2</v>
      </c>
      <c r="J785" s="25"/>
      <c r="K785" s="25"/>
      <c r="O785" s="14"/>
      <c r="P785" s="24"/>
    </row>
    <row r="786" spans="1:16">
      <c r="A786" s="223">
        <v>43766</v>
      </c>
      <c r="B786" s="285">
        <v>2.2550000000000001E-2</v>
      </c>
      <c r="C786" s="2">
        <v>2784</v>
      </c>
      <c r="D786" s="2">
        <v>7659</v>
      </c>
      <c r="E786" s="31"/>
      <c r="F786" s="284">
        <v>43764</v>
      </c>
      <c r="G786" s="280">
        <v>2.2499999999999999E-2</v>
      </c>
      <c r="H786" s="291">
        <f t="shared" si="8"/>
        <v>3.2500000000000001E-2</v>
      </c>
      <c r="I786" s="280">
        <f t="shared" si="9"/>
        <v>1.2499999999999999E-2</v>
      </c>
      <c r="J786" s="25"/>
      <c r="K786" s="25"/>
      <c r="O786" s="14"/>
      <c r="P786" s="24"/>
    </row>
    <row r="787" spans="1:16">
      <c r="A787" s="223">
        <v>43767</v>
      </c>
      <c r="B787" s="285">
        <v>2.2599999999999999E-2</v>
      </c>
      <c r="C787" s="2">
        <v>2403</v>
      </c>
      <c r="D787" s="2">
        <v>7628</v>
      </c>
      <c r="E787" s="31"/>
      <c r="F787" s="284">
        <v>43765</v>
      </c>
      <c r="G787" s="280">
        <v>2.2499999999999999E-2</v>
      </c>
      <c r="H787" s="291">
        <f t="shared" si="8"/>
        <v>3.2500000000000001E-2</v>
      </c>
      <c r="I787" s="280">
        <f t="shared" si="9"/>
        <v>1.2499999999999999E-2</v>
      </c>
      <c r="J787" s="25"/>
      <c r="K787" s="25"/>
      <c r="O787" s="14"/>
      <c r="P787" s="24"/>
    </row>
    <row r="788" spans="1:16">
      <c r="A788" s="223">
        <v>43768</v>
      </c>
      <c r="B788" s="285">
        <v>2.2800000000000001E-2</v>
      </c>
      <c r="C788" s="2">
        <v>4380</v>
      </c>
      <c r="D788" s="2">
        <v>9605</v>
      </c>
      <c r="E788" s="31"/>
      <c r="F788" s="284">
        <v>43766</v>
      </c>
      <c r="G788" s="280">
        <v>2.2550000000000001E-2</v>
      </c>
      <c r="H788" s="291">
        <f t="shared" si="8"/>
        <v>3.2550000000000003E-2</v>
      </c>
      <c r="I788" s="280">
        <f t="shared" si="9"/>
        <v>1.255E-2</v>
      </c>
      <c r="J788" s="25"/>
      <c r="K788" s="25"/>
      <c r="O788" s="14"/>
      <c r="P788" s="24"/>
    </row>
    <row r="789" spans="1:16">
      <c r="A789" s="223">
        <v>43769</v>
      </c>
      <c r="B789" s="285">
        <v>2.2939999999999999E-2</v>
      </c>
      <c r="C789" s="2">
        <v>2823</v>
      </c>
      <c r="D789" s="2">
        <v>6728</v>
      </c>
      <c r="E789" s="31"/>
      <c r="F789" s="284">
        <v>43767</v>
      </c>
      <c r="G789" s="280">
        <v>2.2599999999999999E-2</v>
      </c>
      <c r="H789" s="291">
        <f t="shared" si="8"/>
        <v>3.2599999999999997E-2</v>
      </c>
      <c r="I789" s="280">
        <f t="shared" si="9"/>
        <v>1.2599999999999998E-2</v>
      </c>
      <c r="J789" s="25"/>
      <c r="K789" s="25"/>
      <c r="O789" s="14"/>
      <c r="P789" s="24"/>
    </row>
    <row r="790" spans="1:16">
      <c r="A790" s="223">
        <v>43770</v>
      </c>
      <c r="B790" s="285">
        <v>2.2700000000000001E-2</v>
      </c>
      <c r="C790" s="2">
        <v>2892</v>
      </c>
      <c r="D790" s="2">
        <v>7342</v>
      </c>
      <c r="E790" s="31"/>
      <c r="F790" s="284">
        <v>43768</v>
      </c>
      <c r="G790" s="280">
        <v>2.2800000000000001E-2</v>
      </c>
      <c r="H790" s="291">
        <f t="shared" si="8"/>
        <v>3.2800000000000003E-2</v>
      </c>
      <c r="I790" s="280">
        <f t="shared" si="9"/>
        <v>1.2800000000000001E-2</v>
      </c>
      <c r="J790" s="25"/>
      <c r="K790" s="25"/>
      <c r="O790" s="14"/>
      <c r="P790" s="24"/>
    </row>
    <row r="791" spans="1:16">
      <c r="A791" s="223">
        <v>43771</v>
      </c>
      <c r="B791" s="285">
        <v>2.2700000000000001E-2</v>
      </c>
      <c r="C791" s="2" t="s">
        <v>8</v>
      </c>
      <c r="D791" s="2">
        <v>7342</v>
      </c>
      <c r="E791" s="31"/>
      <c r="F791" s="284">
        <v>43769</v>
      </c>
      <c r="G791" s="280">
        <v>2.2939999999999999E-2</v>
      </c>
      <c r="H791" s="291">
        <f t="shared" si="8"/>
        <v>3.2939999999999997E-2</v>
      </c>
      <c r="I791" s="280">
        <f t="shared" si="9"/>
        <v>1.2939999999999998E-2</v>
      </c>
      <c r="J791" s="25"/>
      <c r="K791" s="25"/>
      <c r="O791" s="14"/>
      <c r="P791" s="24"/>
    </row>
    <row r="792" spans="1:16">
      <c r="A792" s="223">
        <v>43772</v>
      </c>
      <c r="B792" s="285">
        <v>2.2700000000000001E-2</v>
      </c>
      <c r="C792" s="2" t="s">
        <v>8</v>
      </c>
      <c r="D792" s="2">
        <v>7342</v>
      </c>
      <c r="E792" s="31"/>
      <c r="F792" s="284">
        <v>43770</v>
      </c>
      <c r="G792" s="280">
        <v>2.2700000000000001E-2</v>
      </c>
      <c r="H792" s="291">
        <f t="shared" si="8"/>
        <v>3.27E-2</v>
      </c>
      <c r="I792" s="280">
        <f t="shared" si="9"/>
        <v>1.2700000000000001E-2</v>
      </c>
      <c r="J792" s="25"/>
      <c r="K792" s="25"/>
      <c r="O792" s="14"/>
      <c r="P792" s="24"/>
    </row>
    <row r="793" spans="1:16">
      <c r="A793" s="223">
        <v>43773</v>
      </c>
      <c r="B793" s="285">
        <v>2.264E-2</v>
      </c>
      <c r="C793" s="2">
        <v>2445</v>
      </c>
      <c r="D793" s="2">
        <v>8295</v>
      </c>
      <c r="E793" s="31"/>
      <c r="F793" s="284">
        <v>43771</v>
      </c>
      <c r="G793" s="280">
        <v>2.2700000000000001E-2</v>
      </c>
      <c r="H793" s="291">
        <f t="shared" si="8"/>
        <v>3.27E-2</v>
      </c>
      <c r="I793" s="280">
        <f t="shared" si="9"/>
        <v>1.2700000000000001E-2</v>
      </c>
      <c r="J793" s="25"/>
      <c r="K793" s="25"/>
      <c r="O793" s="14"/>
      <c r="P793" s="24"/>
    </row>
    <row r="794" spans="1:16">
      <c r="A794" s="223">
        <v>43774</v>
      </c>
      <c r="B794" s="285">
        <v>2.2610000000000002E-2</v>
      </c>
      <c r="C794" s="2">
        <v>3256</v>
      </c>
      <c r="D794" s="2">
        <v>8986</v>
      </c>
      <c r="E794" s="31"/>
      <c r="F794" s="284">
        <v>43772</v>
      </c>
      <c r="G794" s="280">
        <v>2.2700000000000001E-2</v>
      </c>
      <c r="H794" s="291">
        <f t="shared" si="8"/>
        <v>3.27E-2</v>
      </c>
      <c r="I794" s="280">
        <f t="shared" si="9"/>
        <v>1.2700000000000001E-2</v>
      </c>
      <c r="J794" s="25"/>
      <c r="K794" s="25"/>
      <c r="O794" s="14"/>
      <c r="P794" s="24"/>
    </row>
    <row r="795" spans="1:16">
      <c r="A795" s="223">
        <v>43775</v>
      </c>
      <c r="B795" s="285">
        <v>2.2610000000000002E-2</v>
      </c>
      <c r="C795" s="2" t="s">
        <v>8</v>
      </c>
      <c r="D795" s="2">
        <v>8986</v>
      </c>
      <c r="E795" s="31"/>
      <c r="F795" s="284">
        <v>43773</v>
      </c>
      <c r="G795" s="280">
        <v>2.264E-2</v>
      </c>
      <c r="H795" s="291">
        <f t="shared" si="8"/>
        <v>3.2640000000000002E-2</v>
      </c>
      <c r="I795" s="280">
        <f t="shared" si="9"/>
        <v>1.264E-2</v>
      </c>
      <c r="J795" s="25"/>
      <c r="K795" s="25"/>
      <c r="O795" s="14"/>
      <c r="P795" s="24"/>
    </row>
    <row r="796" spans="1:16">
      <c r="A796" s="223">
        <v>43776</v>
      </c>
      <c r="B796" s="285">
        <v>2.3029999999999998E-2</v>
      </c>
      <c r="C796" s="2">
        <v>3569</v>
      </c>
      <c r="D796" s="2">
        <v>8099</v>
      </c>
      <c r="E796" s="31"/>
      <c r="F796" s="284">
        <v>43774</v>
      </c>
      <c r="G796" s="280">
        <v>2.2610000000000002E-2</v>
      </c>
      <c r="H796" s="291">
        <f t="shared" si="8"/>
        <v>3.261E-2</v>
      </c>
      <c r="I796" s="280">
        <f t="shared" si="9"/>
        <v>1.2610000000000001E-2</v>
      </c>
      <c r="J796" s="25"/>
      <c r="K796" s="25"/>
      <c r="O796" s="14"/>
      <c r="P796" s="24"/>
    </row>
    <row r="797" spans="1:16">
      <c r="A797" s="223">
        <v>43777</v>
      </c>
      <c r="B797" s="285">
        <v>2.2630000000000001E-2</v>
      </c>
      <c r="C797" s="2">
        <v>3215</v>
      </c>
      <c r="D797" s="2">
        <v>7715</v>
      </c>
      <c r="E797" s="31"/>
      <c r="F797" s="284">
        <v>43775</v>
      </c>
      <c r="G797" s="280">
        <v>2.2610000000000002E-2</v>
      </c>
      <c r="H797" s="291">
        <f t="shared" si="8"/>
        <v>3.261E-2</v>
      </c>
      <c r="I797" s="280">
        <f t="shared" si="9"/>
        <v>1.2610000000000001E-2</v>
      </c>
      <c r="J797" s="25"/>
      <c r="K797" s="25"/>
      <c r="O797" s="14"/>
      <c r="P797" s="24"/>
    </row>
    <row r="798" spans="1:16">
      <c r="A798" s="223">
        <v>43778</v>
      </c>
      <c r="B798" s="285">
        <v>2.2630000000000001E-2</v>
      </c>
      <c r="C798" s="2" t="s">
        <v>8</v>
      </c>
      <c r="D798" s="2">
        <v>7715</v>
      </c>
      <c r="E798" s="31"/>
      <c r="F798" s="284">
        <v>43776</v>
      </c>
      <c r="G798" s="280">
        <v>2.3029999999999998E-2</v>
      </c>
      <c r="H798" s="291">
        <f t="shared" si="8"/>
        <v>3.3029999999999997E-2</v>
      </c>
      <c r="I798" s="280">
        <f t="shared" si="9"/>
        <v>1.3029999999999998E-2</v>
      </c>
      <c r="J798" s="25"/>
      <c r="K798" s="25"/>
      <c r="O798" s="14"/>
      <c r="P798" s="24"/>
    </row>
    <row r="799" spans="1:16">
      <c r="A799" s="223">
        <v>43779</v>
      </c>
      <c r="B799" s="285">
        <v>2.2630000000000001E-2</v>
      </c>
      <c r="C799" s="2" t="s">
        <v>8</v>
      </c>
      <c r="D799" s="2">
        <v>7715</v>
      </c>
      <c r="E799" s="31"/>
      <c r="F799" s="284">
        <v>43777</v>
      </c>
      <c r="G799" s="280">
        <v>2.2630000000000001E-2</v>
      </c>
      <c r="H799" s="291">
        <f t="shared" si="8"/>
        <v>3.2629999999999999E-2</v>
      </c>
      <c r="I799" s="280">
        <f t="shared" si="9"/>
        <v>1.2630000000000001E-2</v>
      </c>
      <c r="J799" s="25"/>
      <c r="K799" s="25"/>
      <c r="O799" s="14"/>
      <c r="P799" s="24"/>
    </row>
    <row r="800" spans="1:16">
      <c r="A800" s="223">
        <v>43780</v>
      </c>
      <c r="B800" s="285">
        <v>2.2630000000000001E-2</v>
      </c>
      <c r="C800" s="2" t="s">
        <v>8</v>
      </c>
      <c r="D800" s="2">
        <v>7715</v>
      </c>
      <c r="E800" s="31"/>
      <c r="F800" s="284">
        <v>43778</v>
      </c>
      <c r="G800" s="280">
        <v>2.2630000000000001E-2</v>
      </c>
      <c r="H800" s="291">
        <f t="shared" si="8"/>
        <v>3.2629999999999999E-2</v>
      </c>
      <c r="I800" s="280">
        <f t="shared" si="9"/>
        <v>1.2630000000000001E-2</v>
      </c>
      <c r="J800" s="25"/>
      <c r="K800" s="25"/>
      <c r="O800" s="14"/>
      <c r="P800" s="24"/>
    </row>
    <row r="801" spans="1:16">
      <c r="A801" s="223">
        <v>43781</v>
      </c>
      <c r="B801" s="285">
        <v>2.2530000000000001E-2</v>
      </c>
      <c r="C801" s="2">
        <v>2442</v>
      </c>
      <c r="D801" s="2">
        <v>6942</v>
      </c>
      <c r="E801" s="31"/>
      <c r="F801" s="284">
        <v>43779</v>
      </c>
      <c r="G801" s="280">
        <v>2.2630000000000001E-2</v>
      </c>
      <c r="H801" s="291">
        <f t="shared" si="8"/>
        <v>3.2629999999999999E-2</v>
      </c>
      <c r="I801" s="280">
        <f t="shared" si="9"/>
        <v>1.2630000000000001E-2</v>
      </c>
      <c r="J801" s="25"/>
      <c r="K801" s="25"/>
      <c r="O801" s="14"/>
      <c r="P801" s="24"/>
    </row>
    <row r="802" spans="1:16">
      <c r="A802" s="223">
        <v>43782</v>
      </c>
      <c r="B802" s="285">
        <v>2.264E-2</v>
      </c>
      <c r="C802" s="2">
        <v>3215</v>
      </c>
      <c r="D802" s="2">
        <v>7715</v>
      </c>
      <c r="E802" s="31"/>
      <c r="F802" s="284">
        <v>43780</v>
      </c>
      <c r="G802" s="280">
        <v>2.2630000000000001E-2</v>
      </c>
      <c r="H802" s="291">
        <f t="shared" si="8"/>
        <v>3.2629999999999999E-2</v>
      </c>
      <c r="I802" s="280">
        <f t="shared" si="9"/>
        <v>1.2630000000000001E-2</v>
      </c>
      <c r="J802" s="25"/>
      <c r="K802" s="25"/>
      <c r="O802" s="14"/>
      <c r="P802" s="24"/>
    </row>
    <row r="803" spans="1:16">
      <c r="A803" s="223">
        <v>43783</v>
      </c>
      <c r="B803" s="285">
        <v>2.2530000000000001E-2</v>
      </c>
      <c r="C803" s="2">
        <v>2489</v>
      </c>
      <c r="D803" s="2">
        <v>6889</v>
      </c>
      <c r="E803" s="31"/>
      <c r="F803" s="284">
        <v>43781</v>
      </c>
      <c r="G803" s="280">
        <v>2.2530000000000001E-2</v>
      </c>
      <c r="H803" s="291">
        <f t="shared" si="8"/>
        <v>3.2530000000000003E-2</v>
      </c>
      <c r="I803" s="280">
        <f t="shared" si="9"/>
        <v>1.2530000000000001E-2</v>
      </c>
      <c r="J803" s="25"/>
      <c r="K803" s="25"/>
      <c r="O803" s="14"/>
      <c r="P803" s="24"/>
    </row>
    <row r="804" spans="1:16">
      <c r="A804" s="223">
        <v>43784</v>
      </c>
      <c r="B804" s="285">
        <v>2.2720000000000001E-2</v>
      </c>
      <c r="C804" s="2">
        <v>3506</v>
      </c>
      <c r="D804" s="2">
        <v>7896</v>
      </c>
      <c r="E804" s="31"/>
      <c r="F804" s="284">
        <v>43782</v>
      </c>
      <c r="G804" s="280">
        <v>2.264E-2</v>
      </c>
      <c r="H804" s="291">
        <f t="shared" si="8"/>
        <v>3.2640000000000002E-2</v>
      </c>
      <c r="I804" s="280">
        <f t="shared" si="9"/>
        <v>1.264E-2</v>
      </c>
      <c r="J804" s="25"/>
      <c r="K804" s="25"/>
      <c r="O804" s="14"/>
      <c r="P804" s="24"/>
    </row>
    <row r="805" spans="1:16">
      <c r="A805" s="223">
        <v>43785</v>
      </c>
      <c r="B805" s="285">
        <v>2.2720000000000001E-2</v>
      </c>
      <c r="C805" s="2" t="s">
        <v>8</v>
      </c>
      <c r="D805" s="2">
        <v>7896</v>
      </c>
      <c r="E805" s="31"/>
      <c r="F805" s="284">
        <v>43783</v>
      </c>
      <c r="G805" s="280">
        <v>2.2530000000000001E-2</v>
      </c>
      <c r="H805" s="291">
        <f t="shared" si="8"/>
        <v>3.2530000000000003E-2</v>
      </c>
      <c r="I805" s="280">
        <f t="shared" si="9"/>
        <v>1.2530000000000001E-2</v>
      </c>
      <c r="J805" s="25"/>
      <c r="K805" s="25"/>
      <c r="O805" s="14"/>
      <c r="P805" s="24"/>
    </row>
    <row r="806" spans="1:16">
      <c r="A806" s="223">
        <v>43786</v>
      </c>
      <c r="B806" s="285">
        <v>2.2720000000000001E-2</v>
      </c>
      <c r="C806" s="2" t="s">
        <v>8</v>
      </c>
      <c r="D806" s="2">
        <v>7896</v>
      </c>
      <c r="E806" s="31"/>
      <c r="F806" s="284">
        <v>43784</v>
      </c>
      <c r="G806" s="280">
        <v>2.2720000000000001E-2</v>
      </c>
      <c r="H806" s="291">
        <f t="shared" si="8"/>
        <v>3.2719999999999999E-2</v>
      </c>
      <c r="I806" s="280">
        <f t="shared" si="9"/>
        <v>1.272E-2</v>
      </c>
      <c r="J806" s="25"/>
      <c r="K806" s="25"/>
      <c r="O806" s="14"/>
      <c r="P806" s="24"/>
    </row>
    <row r="807" spans="1:16">
      <c r="A807" s="223">
        <v>43787</v>
      </c>
      <c r="B807" s="285">
        <v>2.2720000000000001E-2</v>
      </c>
      <c r="C807" s="2" t="s">
        <v>8</v>
      </c>
      <c r="D807" s="2">
        <v>7896</v>
      </c>
      <c r="E807" s="31"/>
      <c r="F807" s="284">
        <v>43785</v>
      </c>
      <c r="G807" s="280">
        <v>2.2720000000000001E-2</v>
      </c>
      <c r="H807" s="291">
        <f t="shared" si="8"/>
        <v>3.2719999999999999E-2</v>
      </c>
      <c r="I807" s="280">
        <f t="shared" si="9"/>
        <v>1.272E-2</v>
      </c>
      <c r="J807" s="25"/>
      <c r="K807" s="25"/>
      <c r="O807" s="14"/>
      <c r="P807" s="24"/>
    </row>
    <row r="808" spans="1:16">
      <c r="A808" s="223">
        <v>43788</v>
      </c>
      <c r="B808" s="285">
        <v>2.2519999999999998E-2</v>
      </c>
      <c r="C808" s="2">
        <v>2755</v>
      </c>
      <c r="D808" s="2">
        <v>7200</v>
      </c>
      <c r="E808" s="31"/>
      <c r="F808" s="284">
        <v>43786</v>
      </c>
      <c r="G808" s="280">
        <v>2.2720000000000001E-2</v>
      </c>
      <c r="H808" s="291">
        <f t="shared" si="8"/>
        <v>3.2719999999999999E-2</v>
      </c>
      <c r="I808" s="280">
        <f t="shared" si="9"/>
        <v>1.272E-2</v>
      </c>
      <c r="J808" s="25"/>
      <c r="K808" s="25"/>
      <c r="O808" s="14"/>
      <c r="P808" s="24"/>
    </row>
    <row r="809" spans="1:16">
      <c r="A809" s="223">
        <v>43789</v>
      </c>
      <c r="B809" s="285">
        <v>2.2519999999999998E-2</v>
      </c>
      <c r="C809" s="2">
        <v>2722</v>
      </c>
      <c r="D809" s="2">
        <v>7167</v>
      </c>
      <c r="E809" s="31"/>
      <c r="F809" s="284">
        <v>43787</v>
      </c>
      <c r="G809" s="280">
        <v>2.2720000000000001E-2</v>
      </c>
      <c r="H809" s="291">
        <f t="shared" si="8"/>
        <v>3.2719999999999999E-2</v>
      </c>
      <c r="I809" s="280">
        <f t="shared" si="9"/>
        <v>1.272E-2</v>
      </c>
      <c r="J809" s="25"/>
      <c r="K809" s="25"/>
      <c r="O809" s="14"/>
      <c r="P809" s="24"/>
    </row>
    <row r="810" spans="1:16">
      <c r="A810" s="223">
        <v>43790</v>
      </c>
      <c r="B810" s="285">
        <v>2.264E-2</v>
      </c>
      <c r="C810" s="2">
        <v>2672</v>
      </c>
      <c r="D810" s="2">
        <v>7117</v>
      </c>
      <c r="E810" s="31"/>
      <c r="F810" s="284">
        <v>43788</v>
      </c>
      <c r="G810" s="280">
        <v>2.2519999999999998E-2</v>
      </c>
      <c r="H810" s="291">
        <f t="shared" ref="H810:H873" si="10">G810+1%</f>
        <v>3.252E-2</v>
      </c>
      <c r="I810" s="280">
        <f t="shared" ref="I810:I873" si="11">G810-1%</f>
        <v>1.2519999999999998E-2</v>
      </c>
      <c r="J810" s="25"/>
      <c r="K810" s="25"/>
      <c r="O810" s="14"/>
      <c r="P810" s="24"/>
    </row>
    <row r="811" spans="1:16">
      <c r="A811" s="223">
        <v>43791</v>
      </c>
      <c r="B811" s="285">
        <v>2.2679999999999999E-2</v>
      </c>
      <c r="C811" s="2">
        <v>3135</v>
      </c>
      <c r="D811" s="2">
        <v>7470</v>
      </c>
      <c r="E811" s="31"/>
      <c r="F811" s="284">
        <v>43789</v>
      </c>
      <c r="G811" s="280">
        <v>2.2519999999999998E-2</v>
      </c>
      <c r="H811" s="291">
        <f t="shared" si="10"/>
        <v>3.252E-2</v>
      </c>
      <c r="I811" s="280">
        <f t="shared" si="11"/>
        <v>1.2519999999999998E-2</v>
      </c>
      <c r="J811" s="25"/>
      <c r="K811" s="25"/>
      <c r="O811" s="14"/>
      <c r="P811" s="24"/>
    </row>
    <row r="812" spans="1:16">
      <c r="A812" s="223">
        <v>43792</v>
      </c>
      <c r="B812" s="285">
        <v>2.2679999999999999E-2</v>
      </c>
      <c r="C812" s="2" t="s">
        <v>8</v>
      </c>
      <c r="D812" s="2">
        <v>7470</v>
      </c>
      <c r="E812" s="31"/>
      <c r="F812" s="284">
        <v>43790</v>
      </c>
      <c r="G812" s="280">
        <v>2.264E-2</v>
      </c>
      <c r="H812" s="291">
        <f t="shared" si="10"/>
        <v>3.2640000000000002E-2</v>
      </c>
      <c r="I812" s="280">
        <f t="shared" si="11"/>
        <v>1.264E-2</v>
      </c>
      <c r="J812" s="25"/>
      <c r="K812" s="25"/>
      <c r="O812" s="14"/>
      <c r="P812" s="24"/>
    </row>
    <row r="813" spans="1:16">
      <c r="A813" s="223">
        <v>43793</v>
      </c>
      <c r="B813" s="285">
        <v>2.2679999999999999E-2</v>
      </c>
      <c r="C813" s="2" t="s">
        <v>8</v>
      </c>
      <c r="D813" s="2">
        <v>7470</v>
      </c>
      <c r="E813" s="31"/>
      <c r="F813" s="284">
        <v>43791</v>
      </c>
      <c r="G813" s="280">
        <v>2.2679999999999999E-2</v>
      </c>
      <c r="H813" s="291">
        <f t="shared" si="10"/>
        <v>3.2680000000000001E-2</v>
      </c>
      <c r="I813" s="280">
        <f t="shared" si="11"/>
        <v>1.2679999999999999E-2</v>
      </c>
      <c r="J813" s="25"/>
      <c r="K813" s="25"/>
      <c r="O813" s="14"/>
      <c r="P813" s="24"/>
    </row>
    <row r="814" spans="1:16">
      <c r="A814" s="223">
        <v>43794</v>
      </c>
      <c r="B814" s="285">
        <v>2.2679999999999999E-2</v>
      </c>
      <c r="C814" s="2">
        <v>2564</v>
      </c>
      <c r="D814" s="2">
        <v>7619</v>
      </c>
      <c r="E814" s="31"/>
      <c r="F814" s="284">
        <v>43792</v>
      </c>
      <c r="G814" s="280">
        <v>2.2679999999999999E-2</v>
      </c>
      <c r="H814" s="291">
        <f t="shared" si="10"/>
        <v>3.2680000000000001E-2</v>
      </c>
      <c r="I814" s="280">
        <f t="shared" si="11"/>
        <v>1.2679999999999999E-2</v>
      </c>
      <c r="J814" s="25"/>
      <c r="K814" s="25"/>
      <c r="O814" s="14"/>
      <c r="P814" s="24"/>
    </row>
    <row r="815" spans="1:16">
      <c r="A815" s="223">
        <v>43795</v>
      </c>
      <c r="B815" s="285">
        <v>2.2769999999999999E-2</v>
      </c>
      <c r="C815" s="2">
        <v>3167</v>
      </c>
      <c r="D815" s="2">
        <v>8242</v>
      </c>
      <c r="E815" s="31"/>
      <c r="F815" s="284">
        <v>43793</v>
      </c>
      <c r="G815" s="280">
        <v>2.2679999999999999E-2</v>
      </c>
      <c r="H815" s="291">
        <f t="shared" si="10"/>
        <v>3.2680000000000001E-2</v>
      </c>
      <c r="I815" s="280">
        <f t="shared" si="11"/>
        <v>1.2679999999999999E-2</v>
      </c>
      <c r="J815" s="25"/>
      <c r="K815" s="25"/>
      <c r="O815" s="14"/>
      <c r="P815" s="24"/>
    </row>
    <row r="816" spans="1:16">
      <c r="A816" s="223">
        <v>43796</v>
      </c>
      <c r="B816" s="285">
        <v>2.2769999999999999E-2</v>
      </c>
      <c r="C816" s="2">
        <v>3179</v>
      </c>
      <c r="D816" s="2">
        <v>8254</v>
      </c>
      <c r="E816" s="31"/>
      <c r="F816" s="284">
        <v>43794</v>
      </c>
      <c r="G816" s="280">
        <v>2.2679999999999999E-2</v>
      </c>
      <c r="H816" s="291">
        <f t="shared" si="10"/>
        <v>3.2680000000000001E-2</v>
      </c>
      <c r="I816" s="280">
        <f t="shared" si="11"/>
        <v>1.2679999999999999E-2</v>
      </c>
      <c r="J816" s="25"/>
      <c r="K816" s="25"/>
      <c r="O816" s="14"/>
      <c r="P816" s="24"/>
    </row>
    <row r="817" spans="1:16">
      <c r="A817" s="223">
        <v>43797</v>
      </c>
      <c r="B817" s="285">
        <v>2.2530000000000001E-2</v>
      </c>
      <c r="C817" s="2">
        <v>2338</v>
      </c>
      <c r="D817" s="2">
        <v>6513</v>
      </c>
      <c r="E817" s="31"/>
      <c r="F817" s="284">
        <v>43795</v>
      </c>
      <c r="G817" s="280">
        <v>2.2769999999999999E-2</v>
      </c>
      <c r="H817" s="291">
        <f t="shared" si="10"/>
        <v>3.2770000000000001E-2</v>
      </c>
      <c r="I817" s="280">
        <f t="shared" si="11"/>
        <v>1.2769999999999998E-2</v>
      </c>
      <c r="J817" s="25"/>
      <c r="K817" s="25"/>
      <c r="O817" s="14"/>
      <c r="P817" s="24"/>
    </row>
    <row r="818" spans="1:16">
      <c r="A818" s="223">
        <v>43798</v>
      </c>
      <c r="B818" s="285">
        <v>2.2759999999999999E-2</v>
      </c>
      <c r="C818" s="2">
        <v>3780</v>
      </c>
      <c r="D818" s="2">
        <v>7330</v>
      </c>
      <c r="E818" s="31"/>
      <c r="F818" s="284">
        <v>43796</v>
      </c>
      <c r="G818" s="280">
        <v>2.2769999999999999E-2</v>
      </c>
      <c r="H818" s="291">
        <f t="shared" si="10"/>
        <v>3.2770000000000001E-2</v>
      </c>
      <c r="I818" s="280">
        <f t="shared" si="11"/>
        <v>1.2769999999999998E-2</v>
      </c>
      <c r="J818" s="25"/>
      <c r="K818" s="25"/>
      <c r="O818" s="14"/>
      <c r="P818" s="24"/>
    </row>
    <row r="819" spans="1:16">
      <c r="A819" s="223">
        <v>43799</v>
      </c>
      <c r="B819" s="285">
        <v>2.2759999999999999E-2</v>
      </c>
      <c r="C819" s="2" t="s">
        <v>8</v>
      </c>
      <c r="D819" s="2">
        <v>7330</v>
      </c>
      <c r="E819" s="31"/>
      <c r="F819" s="284">
        <v>43797</v>
      </c>
      <c r="G819" s="280">
        <v>2.2530000000000001E-2</v>
      </c>
      <c r="H819" s="291">
        <f t="shared" si="10"/>
        <v>3.2530000000000003E-2</v>
      </c>
      <c r="I819" s="280">
        <f t="shared" si="11"/>
        <v>1.2530000000000001E-2</v>
      </c>
      <c r="J819" s="25"/>
      <c r="K819" s="25"/>
      <c r="O819" s="14"/>
      <c r="P819" s="24"/>
    </row>
    <row r="820" spans="1:16">
      <c r="A820" s="223">
        <v>43800</v>
      </c>
      <c r="B820" s="285">
        <v>2.2759999999999999E-2</v>
      </c>
      <c r="C820" s="2" t="s">
        <v>8</v>
      </c>
      <c r="D820" s="2">
        <v>7330</v>
      </c>
      <c r="E820" s="31"/>
      <c r="F820" s="284">
        <v>43798</v>
      </c>
      <c r="G820" s="280">
        <v>2.2759999999999999E-2</v>
      </c>
      <c r="H820" s="291">
        <f t="shared" si="10"/>
        <v>3.2759999999999997E-2</v>
      </c>
      <c r="I820" s="280">
        <f t="shared" si="11"/>
        <v>1.2759999999999999E-2</v>
      </c>
      <c r="J820" s="25"/>
      <c r="K820" s="25"/>
      <c r="O820" s="14"/>
      <c r="P820" s="24"/>
    </row>
    <row r="821" spans="1:16">
      <c r="A821" s="223">
        <v>43801</v>
      </c>
      <c r="B821" s="285">
        <v>2.2499999999999999E-2</v>
      </c>
      <c r="C821" s="2">
        <v>2364</v>
      </c>
      <c r="D821" s="2">
        <v>5889</v>
      </c>
      <c r="E821" s="31"/>
      <c r="F821" s="284">
        <v>43799</v>
      </c>
      <c r="G821" s="280">
        <v>2.2759999999999999E-2</v>
      </c>
      <c r="H821" s="291">
        <f t="shared" si="10"/>
        <v>3.2759999999999997E-2</v>
      </c>
      <c r="I821" s="280">
        <f t="shared" si="11"/>
        <v>1.2759999999999999E-2</v>
      </c>
      <c r="J821" s="25"/>
      <c r="K821" s="25"/>
      <c r="O821" s="14"/>
      <c r="P821" s="24"/>
    </row>
    <row r="822" spans="1:16">
      <c r="A822" s="223">
        <v>43802</v>
      </c>
      <c r="B822" s="285">
        <v>2.2509999999999999E-2</v>
      </c>
      <c r="C822" s="2">
        <v>2681</v>
      </c>
      <c r="D822" s="2">
        <v>5756</v>
      </c>
      <c r="E822" s="31"/>
      <c r="F822" s="284">
        <v>43800</v>
      </c>
      <c r="G822" s="280">
        <v>2.2759999999999999E-2</v>
      </c>
      <c r="H822" s="291">
        <f t="shared" si="10"/>
        <v>3.2759999999999997E-2</v>
      </c>
      <c r="I822" s="280">
        <f t="shared" si="11"/>
        <v>1.2759999999999999E-2</v>
      </c>
      <c r="J822" s="25"/>
      <c r="K822" s="25"/>
      <c r="O822" s="14"/>
      <c r="P822" s="24"/>
    </row>
    <row r="823" spans="1:16">
      <c r="A823" s="223">
        <v>43803</v>
      </c>
      <c r="B823" s="285">
        <v>2.2499999999999999E-2</v>
      </c>
      <c r="C823" s="2">
        <v>3218</v>
      </c>
      <c r="D823" s="2">
        <v>6748</v>
      </c>
      <c r="E823" s="31"/>
      <c r="F823" s="284">
        <v>43801</v>
      </c>
      <c r="G823" s="280">
        <v>2.2499999999999999E-2</v>
      </c>
      <c r="H823" s="291">
        <f t="shared" si="10"/>
        <v>3.2500000000000001E-2</v>
      </c>
      <c r="I823" s="280">
        <f t="shared" si="11"/>
        <v>1.2499999999999999E-2</v>
      </c>
      <c r="J823" s="25"/>
      <c r="K823" s="25"/>
      <c r="O823" s="14"/>
      <c r="P823" s="24"/>
    </row>
    <row r="824" spans="1:16">
      <c r="A824" s="223">
        <v>43804</v>
      </c>
      <c r="B824" s="285">
        <v>2.2550000000000001E-2</v>
      </c>
      <c r="C824" s="2">
        <v>3924</v>
      </c>
      <c r="D824" s="2">
        <v>7714</v>
      </c>
      <c r="E824" s="31"/>
      <c r="F824" s="284">
        <v>43802</v>
      </c>
      <c r="G824" s="280">
        <v>2.2509999999999999E-2</v>
      </c>
      <c r="H824" s="291">
        <f t="shared" si="10"/>
        <v>3.2509999999999997E-2</v>
      </c>
      <c r="I824" s="280">
        <f t="shared" si="11"/>
        <v>1.2509999999999999E-2</v>
      </c>
      <c r="J824" s="25"/>
      <c r="K824" s="25"/>
      <c r="O824" s="14"/>
      <c r="P824" s="24"/>
    </row>
    <row r="825" spans="1:16">
      <c r="A825" s="223">
        <v>43805</v>
      </c>
      <c r="B825" s="285">
        <v>2.265E-2</v>
      </c>
      <c r="C825" s="2">
        <v>3611</v>
      </c>
      <c r="D825" s="2">
        <v>7486</v>
      </c>
      <c r="E825" s="31"/>
      <c r="F825" s="284">
        <v>43803</v>
      </c>
      <c r="G825" s="280">
        <v>2.2499999999999999E-2</v>
      </c>
      <c r="H825" s="291">
        <f t="shared" si="10"/>
        <v>3.2500000000000001E-2</v>
      </c>
      <c r="I825" s="280">
        <f t="shared" si="11"/>
        <v>1.2499999999999999E-2</v>
      </c>
      <c r="J825" s="25"/>
      <c r="K825" s="25"/>
      <c r="O825" s="14"/>
      <c r="P825" s="24"/>
    </row>
    <row r="826" spans="1:16">
      <c r="A826" s="223">
        <v>43806</v>
      </c>
      <c r="B826" s="285">
        <v>2.265E-2</v>
      </c>
      <c r="C826" s="2" t="s">
        <v>8</v>
      </c>
      <c r="D826" s="2">
        <v>7486</v>
      </c>
      <c r="E826" s="31"/>
      <c r="F826" s="284">
        <v>43804</v>
      </c>
      <c r="G826" s="280">
        <v>2.2550000000000001E-2</v>
      </c>
      <c r="H826" s="291">
        <f t="shared" si="10"/>
        <v>3.2550000000000003E-2</v>
      </c>
      <c r="I826" s="280">
        <f t="shared" si="11"/>
        <v>1.255E-2</v>
      </c>
      <c r="J826" s="25"/>
      <c r="K826" s="25"/>
      <c r="O826" s="14"/>
      <c r="P826" s="24"/>
    </row>
    <row r="827" spans="1:16">
      <c r="A827" s="223">
        <v>43807</v>
      </c>
      <c r="B827" s="285">
        <v>2.265E-2</v>
      </c>
      <c r="C827" s="2" t="s">
        <v>8</v>
      </c>
      <c r="D827" s="2">
        <v>7486</v>
      </c>
      <c r="E827" s="31"/>
      <c r="F827" s="284">
        <v>43805</v>
      </c>
      <c r="G827" s="280">
        <v>2.265E-2</v>
      </c>
      <c r="H827" s="291">
        <f t="shared" si="10"/>
        <v>3.2649999999999998E-2</v>
      </c>
      <c r="I827" s="280">
        <f t="shared" si="11"/>
        <v>1.265E-2</v>
      </c>
      <c r="J827" s="25"/>
      <c r="K827" s="25"/>
      <c r="O827" s="14"/>
      <c r="P827" s="24"/>
    </row>
    <row r="828" spans="1:16">
      <c r="A828" s="223">
        <v>43808</v>
      </c>
      <c r="B828" s="285">
        <v>2.2509999999999999E-2</v>
      </c>
      <c r="C828" s="2">
        <v>2585</v>
      </c>
      <c r="D828" s="2">
        <v>6460</v>
      </c>
      <c r="E828" s="31"/>
      <c r="F828" s="284">
        <v>43806</v>
      </c>
      <c r="G828" s="280">
        <v>2.265E-2</v>
      </c>
      <c r="H828" s="291">
        <f t="shared" si="10"/>
        <v>3.2649999999999998E-2</v>
      </c>
      <c r="I828" s="280">
        <f t="shared" si="11"/>
        <v>1.265E-2</v>
      </c>
      <c r="J828" s="25"/>
      <c r="K828" s="25"/>
      <c r="O828" s="14"/>
      <c r="P828" s="24"/>
    </row>
    <row r="829" spans="1:16">
      <c r="A829" s="223">
        <v>43809</v>
      </c>
      <c r="B829" s="285">
        <v>2.2519999999999998E-2</v>
      </c>
      <c r="C829" s="2">
        <v>2605</v>
      </c>
      <c r="D829" s="2">
        <v>6380</v>
      </c>
      <c r="E829" s="31"/>
      <c r="F829" s="284">
        <v>43807</v>
      </c>
      <c r="G829" s="280">
        <v>2.265E-2</v>
      </c>
      <c r="H829" s="291">
        <f t="shared" si="10"/>
        <v>3.2649999999999998E-2</v>
      </c>
      <c r="I829" s="280">
        <f t="shared" si="11"/>
        <v>1.265E-2</v>
      </c>
      <c r="J829" s="25"/>
      <c r="K829" s="25"/>
      <c r="O829" s="14"/>
      <c r="P829" s="24"/>
    </row>
    <row r="830" spans="1:16">
      <c r="A830" s="223">
        <v>43810</v>
      </c>
      <c r="B830" s="285">
        <v>2.2540000000000001E-2</v>
      </c>
      <c r="C830" s="2">
        <v>2760</v>
      </c>
      <c r="D830" s="2">
        <v>6735</v>
      </c>
      <c r="E830" s="31"/>
      <c r="F830" s="284">
        <v>43808</v>
      </c>
      <c r="G830" s="280">
        <v>2.2509999999999999E-2</v>
      </c>
      <c r="H830" s="291">
        <f t="shared" si="10"/>
        <v>3.2509999999999997E-2</v>
      </c>
      <c r="I830" s="280">
        <f t="shared" si="11"/>
        <v>1.2509999999999999E-2</v>
      </c>
      <c r="J830" s="25"/>
      <c r="K830" s="25"/>
      <c r="O830" s="14"/>
      <c r="P830" s="24"/>
    </row>
    <row r="831" spans="1:16">
      <c r="A831" s="223">
        <v>43811</v>
      </c>
      <c r="B831" s="285">
        <v>2.2579999999999999E-2</v>
      </c>
      <c r="C831" s="2">
        <v>3964</v>
      </c>
      <c r="D831" s="2">
        <v>8639</v>
      </c>
      <c r="E831" s="31"/>
      <c r="F831" s="284">
        <v>43809</v>
      </c>
      <c r="G831" s="280">
        <v>2.2519999999999998E-2</v>
      </c>
      <c r="H831" s="291">
        <f t="shared" si="10"/>
        <v>3.252E-2</v>
      </c>
      <c r="I831" s="280">
        <f t="shared" si="11"/>
        <v>1.2519999999999998E-2</v>
      </c>
      <c r="J831" s="25"/>
      <c r="K831" s="25"/>
      <c r="O831" s="14"/>
      <c r="P831" s="24"/>
    </row>
    <row r="832" spans="1:16">
      <c r="A832" s="223">
        <v>43812</v>
      </c>
      <c r="B832" s="285">
        <v>2.2540000000000001E-2</v>
      </c>
      <c r="C832" s="2">
        <v>4026</v>
      </c>
      <c r="D832" s="2">
        <v>8941</v>
      </c>
      <c r="E832" s="31"/>
      <c r="F832" s="284">
        <v>43810</v>
      </c>
      <c r="G832" s="280">
        <v>2.2540000000000001E-2</v>
      </c>
      <c r="H832" s="291">
        <f t="shared" si="10"/>
        <v>3.2539999999999999E-2</v>
      </c>
      <c r="I832" s="280">
        <f t="shared" si="11"/>
        <v>1.2540000000000001E-2</v>
      </c>
      <c r="J832" s="25"/>
      <c r="K832" s="25"/>
      <c r="O832" s="14"/>
      <c r="P832" s="24"/>
    </row>
    <row r="833" spans="1:16">
      <c r="A833" s="223">
        <v>43813</v>
      </c>
      <c r="B833" s="285">
        <v>2.2540000000000001E-2</v>
      </c>
      <c r="C833" s="2" t="s">
        <v>8</v>
      </c>
      <c r="D833" s="2">
        <v>8941</v>
      </c>
      <c r="E833" s="31"/>
      <c r="F833" s="284">
        <v>43811</v>
      </c>
      <c r="G833" s="280">
        <v>2.2579999999999999E-2</v>
      </c>
      <c r="H833" s="291">
        <f t="shared" si="10"/>
        <v>3.2579999999999998E-2</v>
      </c>
      <c r="I833" s="280">
        <f t="shared" si="11"/>
        <v>1.2579999999999999E-2</v>
      </c>
      <c r="J833" s="25"/>
      <c r="K833" s="25"/>
      <c r="O833" s="14"/>
      <c r="P833" s="24"/>
    </row>
    <row r="834" spans="1:16">
      <c r="A834" s="223">
        <v>43814</v>
      </c>
      <c r="B834" s="285">
        <v>2.2540000000000001E-2</v>
      </c>
      <c r="C834" s="2" t="s">
        <v>8</v>
      </c>
      <c r="D834" s="2">
        <v>8941</v>
      </c>
      <c r="E834" s="31"/>
      <c r="F834" s="284">
        <v>43812</v>
      </c>
      <c r="G834" s="280">
        <v>2.2540000000000001E-2</v>
      </c>
      <c r="H834" s="291">
        <f t="shared" si="10"/>
        <v>3.2539999999999999E-2</v>
      </c>
      <c r="I834" s="280">
        <f t="shared" si="11"/>
        <v>1.2540000000000001E-2</v>
      </c>
      <c r="J834" s="25"/>
      <c r="K834" s="25"/>
      <c r="O834" s="14"/>
      <c r="P834" s="24"/>
    </row>
    <row r="835" spans="1:16">
      <c r="A835" s="223">
        <v>43815</v>
      </c>
      <c r="B835" s="285">
        <v>2.2509999999999999E-2</v>
      </c>
      <c r="C835" s="2">
        <v>2546</v>
      </c>
      <c r="D835" s="2">
        <v>7611</v>
      </c>
      <c r="E835" s="31"/>
      <c r="F835" s="284">
        <v>43813</v>
      </c>
      <c r="G835" s="280">
        <v>2.2540000000000001E-2</v>
      </c>
      <c r="H835" s="291">
        <f t="shared" si="10"/>
        <v>3.2539999999999999E-2</v>
      </c>
      <c r="I835" s="280">
        <f t="shared" si="11"/>
        <v>1.2540000000000001E-2</v>
      </c>
      <c r="J835" s="25"/>
      <c r="K835" s="25"/>
      <c r="O835" s="14"/>
      <c r="P835" s="24"/>
    </row>
    <row r="836" spans="1:16">
      <c r="A836" s="223">
        <v>43816</v>
      </c>
      <c r="B836" s="285">
        <v>2.2499999999999999E-2</v>
      </c>
      <c r="C836" s="2">
        <v>3619</v>
      </c>
      <c r="D836" s="2">
        <v>8684</v>
      </c>
      <c r="E836" s="31"/>
      <c r="F836" s="284">
        <v>43814</v>
      </c>
      <c r="G836" s="280">
        <v>2.2540000000000001E-2</v>
      </c>
      <c r="H836" s="291">
        <f t="shared" si="10"/>
        <v>3.2539999999999999E-2</v>
      </c>
      <c r="I836" s="280">
        <f t="shared" si="11"/>
        <v>1.2540000000000001E-2</v>
      </c>
      <c r="J836" s="25"/>
      <c r="K836" s="25"/>
      <c r="O836" s="14"/>
      <c r="P836" s="24"/>
    </row>
    <row r="837" spans="1:16">
      <c r="A837" s="223">
        <v>43817</v>
      </c>
      <c r="B837" s="285">
        <v>2.2620000000000001E-2</v>
      </c>
      <c r="C837" s="2">
        <v>3843</v>
      </c>
      <c r="D837" s="2">
        <v>8978</v>
      </c>
      <c r="E837" s="31"/>
      <c r="F837" s="284">
        <v>43815</v>
      </c>
      <c r="G837" s="280">
        <v>2.2509999999999999E-2</v>
      </c>
      <c r="H837" s="291">
        <f t="shared" si="10"/>
        <v>3.2509999999999997E-2</v>
      </c>
      <c r="I837" s="280">
        <f t="shared" si="11"/>
        <v>1.2509999999999999E-2</v>
      </c>
      <c r="J837" s="25"/>
      <c r="K837" s="25"/>
      <c r="O837" s="14"/>
      <c r="P837" s="24"/>
    </row>
    <row r="838" spans="1:16">
      <c r="A838" s="223">
        <v>43818</v>
      </c>
      <c r="B838" s="285">
        <v>2.2839999999999999E-2</v>
      </c>
      <c r="C838" s="2">
        <v>5480</v>
      </c>
      <c r="D838" s="2">
        <v>9655</v>
      </c>
      <c r="E838" s="31"/>
      <c r="F838" s="284">
        <v>43816</v>
      </c>
      <c r="G838" s="280">
        <v>2.2499999999999999E-2</v>
      </c>
      <c r="H838" s="291">
        <f t="shared" si="10"/>
        <v>3.2500000000000001E-2</v>
      </c>
      <c r="I838" s="280">
        <f t="shared" si="11"/>
        <v>1.2499999999999999E-2</v>
      </c>
      <c r="J838" s="25"/>
      <c r="K838" s="25"/>
      <c r="O838" s="14"/>
      <c r="P838" s="24"/>
    </row>
    <row r="839" spans="1:16">
      <c r="A839" s="223">
        <v>43819</v>
      </c>
      <c r="B839" s="285">
        <v>2.3099999999999999E-2</v>
      </c>
      <c r="C839" s="2">
        <v>5716</v>
      </c>
      <c r="D839" s="2">
        <v>9671</v>
      </c>
      <c r="E839" s="31"/>
      <c r="F839" s="284">
        <v>43817</v>
      </c>
      <c r="G839" s="280">
        <v>2.2620000000000001E-2</v>
      </c>
      <c r="H839" s="291">
        <f t="shared" si="10"/>
        <v>3.2620000000000003E-2</v>
      </c>
      <c r="I839" s="280">
        <f t="shared" si="11"/>
        <v>1.2620000000000001E-2</v>
      </c>
      <c r="J839" s="25"/>
      <c r="K839" s="25"/>
      <c r="O839" s="14"/>
      <c r="P839" s="24"/>
    </row>
    <row r="840" spans="1:16">
      <c r="A840" s="223">
        <v>43820</v>
      </c>
      <c r="B840" s="285">
        <v>2.3099999999999999E-2</v>
      </c>
      <c r="C840" s="2" t="s">
        <v>8</v>
      </c>
      <c r="D840" s="2">
        <v>9671</v>
      </c>
      <c r="E840" s="31"/>
      <c r="F840" s="284">
        <v>43818</v>
      </c>
      <c r="G840" s="280">
        <v>2.2839999999999999E-2</v>
      </c>
      <c r="H840" s="291">
        <f t="shared" si="10"/>
        <v>3.2840000000000001E-2</v>
      </c>
      <c r="I840" s="280">
        <f t="shared" si="11"/>
        <v>1.2839999999999999E-2</v>
      </c>
      <c r="J840" s="25"/>
      <c r="K840" s="25"/>
      <c r="O840" s="14"/>
      <c r="P840" s="24"/>
    </row>
    <row r="841" spans="1:16">
      <c r="A841" s="223">
        <v>43821</v>
      </c>
      <c r="B841" s="285">
        <v>2.3099999999999999E-2</v>
      </c>
      <c r="C841" s="2" t="s">
        <v>8</v>
      </c>
      <c r="D841" s="2">
        <v>9671</v>
      </c>
      <c r="E841" s="31"/>
      <c r="F841" s="284">
        <v>43819</v>
      </c>
      <c r="G841" s="280">
        <v>2.3099999999999999E-2</v>
      </c>
      <c r="H841" s="291">
        <f t="shared" si="10"/>
        <v>3.3099999999999997E-2</v>
      </c>
      <c r="I841" s="280">
        <f t="shared" si="11"/>
        <v>1.3099999999999999E-2</v>
      </c>
      <c r="J841" s="25"/>
      <c r="K841" s="25"/>
      <c r="O841" s="14"/>
      <c r="P841" s="24"/>
    </row>
    <row r="842" spans="1:16">
      <c r="A842" s="223">
        <v>43822</v>
      </c>
      <c r="B842" s="285">
        <v>2.299E-2</v>
      </c>
      <c r="C842" s="2">
        <v>4325</v>
      </c>
      <c r="D842" s="2">
        <v>7880</v>
      </c>
      <c r="E842" s="31"/>
      <c r="F842" s="284">
        <v>43820</v>
      </c>
      <c r="G842" s="280">
        <v>2.3099999999999999E-2</v>
      </c>
      <c r="H842" s="291">
        <f t="shared" si="10"/>
        <v>3.3099999999999997E-2</v>
      </c>
      <c r="I842" s="280">
        <f t="shared" si="11"/>
        <v>1.3099999999999999E-2</v>
      </c>
      <c r="J842" s="25"/>
      <c r="K842" s="25"/>
      <c r="O842" s="14"/>
      <c r="P842" s="24"/>
    </row>
    <row r="843" spans="1:16">
      <c r="A843" s="223">
        <v>43823</v>
      </c>
      <c r="B843" s="285">
        <v>2.3460000000000002E-2</v>
      </c>
      <c r="C843" s="2">
        <v>4765</v>
      </c>
      <c r="D843" s="2">
        <v>8570</v>
      </c>
      <c r="E843" s="31"/>
      <c r="F843" s="284">
        <v>43821</v>
      </c>
      <c r="G843" s="280">
        <v>2.3099999999999999E-2</v>
      </c>
      <c r="H843" s="291">
        <f t="shared" si="10"/>
        <v>3.3099999999999997E-2</v>
      </c>
      <c r="I843" s="280">
        <f t="shared" si="11"/>
        <v>1.3099999999999999E-2</v>
      </c>
      <c r="J843" s="25"/>
      <c r="K843" s="25"/>
      <c r="O843" s="14"/>
      <c r="P843" s="24"/>
    </row>
    <row r="844" spans="1:16">
      <c r="A844" s="223">
        <v>43824</v>
      </c>
      <c r="B844" s="285">
        <v>2.2950000000000002E-2</v>
      </c>
      <c r="C844" s="2">
        <v>3489</v>
      </c>
      <c r="D844" s="2">
        <v>7344</v>
      </c>
      <c r="E844" s="31"/>
      <c r="F844" s="284">
        <v>43822</v>
      </c>
      <c r="G844" s="280">
        <v>2.299E-2</v>
      </c>
      <c r="H844" s="291">
        <f t="shared" si="10"/>
        <v>3.2989999999999998E-2</v>
      </c>
      <c r="I844" s="280">
        <f t="shared" si="11"/>
        <v>1.299E-2</v>
      </c>
      <c r="J844" s="25"/>
      <c r="K844" s="25"/>
      <c r="O844" s="14"/>
      <c r="P844" s="24"/>
    </row>
    <row r="845" spans="1:16">
      <c r="A845" s="223">
        <v>43825</v>
      </c>
      <c r="B845" s="285">
        <v>2.2519999999999998E-2</v>
      </c>
      <c r="C845" s="2">
        <v>4074</v>
      </c>
      <c r="D845" s="2">
        <v>7929</v>
      </c>
      <c r="E845" s="31"/>
      <c r="F845" s="284">
        <v>43823</v>
      </c>
      <c r="G845" s="280">
        <v>2.3460000000000002E-2</v>
      </c>
      <c r="H845" s="291">
        <f t="shared" si="10"/>
        <v>3.3460000000000004E-2</v>
      </c>
      <c r="I845" s="280">
        <f t="shared" si="11"/>
        <v>1.3460000000000001E-2</v>
      </c>
      <c r="J845" s="25"/>
      <c r="K845" s="25"/>
      <c r="O845" s="14"/>
      <c r="P845" s="24"/>
    </row>
    <row r="846" spans="1:16">
      <c r="A846" s="223">
        <v>43826</v>
      </c>
      <c r="B846" s="285">
        <v>2.2540000000000001E-2</v>
      </c>
      <c r="C846" s="2">
        <v>5310</v>
      </c>
      <c r="D846" s="2">
        <v>8695</v>
      </c>
      <c r="E846" s="31"/>
      <c r="F846" s="284">
        <v>43824</v>
      </c>
      <c r="G846" s="280">
        <v>2.2950000000000002E-2</v>
      </c>
      <c r="H846" s="291">
        <f t="shared" si="10"/>
        <v>3.295E-2</v>
      </c>
      <c r="I846" s="280">
        <f t="shared" si="11"/>
        <v>1.2950000000000001E-2</v>
      </c>
      <c r="J846" s="25"/>
      <c r="K846" s="25"/>
      <c r="O846" s="14"/>
      <c r="P846" s="24"/>
    </row>
    <row r="847" spans="1:16">
      <c r="A847" s="223">
        <v>43827</v>
      </c>
      <c r="B847" s="285">
        <v>2.2540000000000001E-2</v>
      </c>
      <c r="C847" s="2" t="s">
        <v>8</v>
      </c>
      <c r="D847" s="2">
        <v>8695</v>
      </c>
      <c r="E847" s="31"/>
      <c r="F847" s="284">
        <v>43825</v>
      </c>
      <c r="G847" s="280">
        <v>2.2519999999999998E-2</v>
      </c>
      <c r="H847" s="291">
        <f t="shared" si="10"/>
        <v>3.252E-2</v>
      </c>
      <c r="I847" s="280">
        <f t="shared" si="11"/>
        <v>1.2519999999999998E-2</v>
      </c>
      <c r="J847" s="25"/>
      <c r="K847" s="25"/>
      <c r="O847" s="14"/>
      <c r="P847" s="24"/>
    </row>
    <row r="848" spans="1:16">
      <c r="A848" s="223">
        <v>43828</v>
      </c>
      <c r="B848" s="285">
        <v>2.2540000000000001E-2</v>
      </c>
      <c r="C848" s="2" t="s">
        <v>8</v>
      </c>
      <c r="D848" s="2">
        <v>8695</v>
      </c>
      <c r="E848" s="31"/>
      <c r="F848" s="284">
        <v>43826</v>
      </c>
      <c r="G848" s="280">
        <v>2.2540000000000001E-2</v>
      </c>
      <c r="H848" s="291">
        <f t="shared" si="10"/>
        <v>3.2539999999999999E-2</v>
      </c>
      <c r="I848" s="280">
        <f t="shared" si="11"/>
        <v>1.2540000000000001E-2</v>
      </c>
      <c r="J848" s="25"/>
      <c r="K848" s="25"/>
      <c r="O848" s="14"/>
      <c r="P848" s="24"/>
    </row>
    <row r="849" spans="1:16">
      <c r="A849" s="223">
        <v>43829</v>
      </c>
      <c r="B849" s="285">
        <v>2.2540000000000001E-2</v>
      </c>
      <c r="C849" s="2">
        <v>6314</v>
      </c>
      <c r="D849" s="2">
        <v>9699</v>
      </c>
      <c r="E849" s="31"/>
      <c r="F849" s="284">
        <v>43827</v>
      </c>
      <c r="G849" s="280">
        <v>2.2540000000000001E-2</v>
      </c>
      <c r="H849" s="291">
        <f t="shared" si="10"/>
        <v>3.2539999999999999E-2</v>
      </c>
      <c r="I849" s="280">
        <f t="shared" si="11"/>
        <v>1.2540000000000001E-2</v>
      </c>
      <c r="J849" s="25"/>
      <c r="K849" s="25"/>
      <c r="O849" s="14"/>
      <c r="P849" s="24"/>
    </row>
    <row r="850" spans="1:16">
      <c r="A850" s="223">
        <v>43830</v>
      </c>
      <c r="B850" s="285">
        <v>2.2620000000000001E-2</v>
      </c>
      <c r="C850" s="2">
        <v>4242</v>
      </c>
      <c r="D850" s="2">
        <v>6727</v>
      </c>
      <c r="E850" s="31"/>
      <c r="F850" s="284">
        <v>43828</v>
      </c>
      <c r="G850" s="280">
        <v>2.2540000000000001E-2</v>
      </c>
      <c r="H850" s="291">
        <f t="shared" si="10"/>
        <v>3.2539999999999999E-2</v>
      </c>
      <c r="I850" s="280">
        <f t="shared" si="11"/>
        <v>1.2540000000000001E-2</v>
      </c>
      <c r="J850" s="25"/>
      <c r="K850" s="25"/>
      <c r="O850" s="14"/>
      <c r="P850" s="24"/>
    </row>
    <row r="851" spans="1:16">
      <c r="A851" s="223">
        <v>43831</v>
      </c>
      <c r="B851" s="285">
        <v>2.2620000000000001E-2</v>
      </c>
      <c r="C851" s="2" t="s">
        <v>8</v>
      </c>
      <c r="D851" s="2">
        <v>6727</v>
      </c>
      <c r="E851" s="31"/>
      <c r="F851" s="284">
        <v>43829</v>
      </c>
      <c r="G851" s="280">
        <v>2.2540000000000001E-2</v>
      </c>
      <c r="H851" s="291">
        <f t="shared" si="10"/>
        <v>3.2539999999999999E-2</v>
      </c>
      <c r="I851" s="280">
        <f t="shared" si="11"/>
        <v>1.2540000000000001E-2</v>
      </c>
      <c r="J851" s="25"/>
      <c r="K851" s="25"/>
      <c r="O851" s="14"/>
      <c r="P851" s="24"/>
    </row>
    <row r="852" spans="1:16">
      <c r="A852" s="223">
        <v>43832</v>
      </c>
      <c r="B852" s="285">
        <v>2.2499999999999999E-2</v>
      </c>
      <c r="C852" s="2">
        <v>3774</v>
      </c>
      <c r="D852" s="2">
        <v>6689</v>
      </c>
      <c r="E852" s="31"/>
      <c r="F852" s="284">
        <v>43830</v>
      </c>
      <c r="G852" s="280">
        <v>2.2620000000000001E-2</v>
      </c>
      <c r="H852" s="291">
        <f t="shared" si="10"/>
        <v>3.2620000000000003E-2</v>
      </c>
      <c r="I852" s="280">
        <f t="shared" si="11"/>
        <v>1.2620000000000001E-2</v>
      </c>
      <c r="J852" s="25"/>
      <c r="K852" s="25"/>
      <c r="O852" s="14"/>
      <c r="P852" s="24"/>
    </row>
    <row r="853" spans="1:16">
      <c r="A853" s="223">
        <v>43833</v>
      </c>
      <c r="B853" s="285">
        <v>2.2509999999999999E-2</v>
      </c>
      <c r="C853" s="2">
        <v>3580</v>
      </c>
      <c r="D853" s="2">
        <v>6495</v>
      </c>
      <c r="E853" s="31"/>
      <c r="F853" s="284">
        <v>43831</v>
      </c>
      <c r="G853" s="280">
        <v>2.2620000000000001E-2</v>
      </c>
      <c r="H853" s="291">
        <f t="shared" si="10"/>
        <v>3.2620000000000003E-2</v>
      </c>
      <c r="I853" s="280">
        <f t="shared" si="11"/>
        <v>1.2620000000000001E-2</v>
      </c>
      <c r="J853" s="25"/>
      <c r="K853" s="25"/>
      <c r="O853" s="14"/>
      <c r="P853" s="24"/>
    </row>
    <row r="854" spans="1:16">
      <c r="A854" s="223">
        <v>43834</v>
      </c>
      <c r="B854" s="285">
        <v>2.2509999999999999E-2</v>
      </c>
      <c r="C854" s="2" t="s">
        <v>8</v>
      </c>
      <c r="D854" s="2">
        <v>6495</v>
      </c>
      <c r="E854" s="31"/>
      <c r="F854" s="284">
        <v>43832</v>
      </c>
      <c r="G854" s="280">
        <v>2.2499999999999999E-2</v>
      </c>
      <c r="H854" s="291">
        <f t="shared" si="10"/>
        <v>3.2500000000000001E-2</v>
      </c>
      <c r="I854" s="280">
        <f t="shared" si="11"/>
        <v>1.2499999999999999E-2</v>
      </c>
      <c r="J854" s="25"/>
      <c r="K854" s="25"/>
      <c r="O854" s="14"/>
      <c r="P854" s="24"/>
    </row>
    <row r="855" spans="1:16">
      <c r="A855" s="223">
        <v>43835</v>
      </c>
      <c r="B855" s="285">
        <v>2.2509999999999999E-2</v>
      </c>
      <c r="C855" s="2" t="s">
        <v>8</v>
      </c>
      <c r="D855" s="2">
        <v>6495</v>
      </c>
      <c r="E855" s="31"/>
      <c r="F855" s="284">
        <v>43833</v>
      </c>
      <c r="G855" s="280">
        <v>2.2509999999999999E-2</v>
      </c>
      <c r="H855" s="291">
        <f t="shared" si="10"/>
        <v>3.2509999999999997E-2</v>
      </c>
      <c r="I855" s="280">
        <f t="shared" si="11"/>
        <v>1.2509999999999999E-2</v>
      </c>
      <c r="J855" s="25"/>
      <c r="K855" s="25"/>
      <c r="O855" s="14"/>
      <c r="P855" s="24"/>
    </row>
    <row r="856" spans="1:16">
      <c r="A856" s="223">
        <v>43836</v>
      </c>
      <c r="B856" s="285">
        <v>2.2499999999999999E-2</v>
      </c>
      <c r="C856" s="2">
        <v>2928</v>
      </c>
      <c r="D856" s="2">
        <v>5843</v>
      </c>
      <c r="E856" s="31"/>
      <c r="F856" s="284">
        <v>43834</v>
      </c>
      <c r="G856" s="280">
        <v>2.2509999999999999E-2</v>
      </c>
      <c r="H856" s="291">
        <f t="shared" si="10"/>
        <v>3.2509999999999997E-2</v>
      </c>
      <c r="I856" s="280">
        <f t="shared" si="11"/>
        <v>1.2509999999999999E-2</v>
      </c>
      <c r="J856" s="25"/>
      <c r="K856" s="25"/>
      <c r="O856" s="14"/>
      <c r="P856" s="24"/>
    </row>
    <row r="857" spans="1:16">
      <c r="A857" s="223">
        <v>43837</v>
      </c>
      <c r="B857" s="285">
        <v>2.2499999999999999E-2</v>
      </c>
      <c r="C857" s="2">
        <v>2950</v>
      </c>
      <c r="D857" s="2">
        <v>5715</v>
      </c>
      <c r="E857" s="31"/>
      <c r="F857" s="284">
        <v>43835</v>
      </c>
      <c r="G857" s="280">
        <v>2.2509999999999999E-2</v>
      </c>
      <c r="H857" s="291">
        <f t="shared" si="10"/>
        <v>3.2509999999999997E-2</v>
      </c>
      <c r="I857" s="280">
        <f t="shared" si="11"/>
        <v>1.2509999999999999E-2</v>
      </c>
      <c r="J857" s="25"/>
      <c r="K857" s="25"/>
      <c r="O857" s="14"/>
      <c r="P857" s="24"/>
    </row>
    <row r="858" spans="1:16">
      <c r="A858" s="223">
        <v>43838</v>
      </c>
      <c r="B858" s="285">
        <v>2.2499999999999999E-2</v>
      </c>
      <c r="C858" s="2">
        <v>2464</v>
      </c>
      <c r="D858" s="2">
        <v>5229</v>
      </c>
      <c r="E858" s="31"/>
      <c r="F858" s="284">
        <v>43836</v>
      </c>
      <c r="G858" s="280">
        <v>2.2499999999999999E-2</v>
      </c>
      <c r="H858" s="291">
        <f t="shared" si="10"/>
        <v>3.2500000000000001E-2</v>
      </c>
      <c r="I858" s="280">
        <f t="shared" si="11"/>
        <v>1.2499999999999999E-2</v>
      </c>
      <c r="J858" s="25"/>
      <c r="K858" s="25"/>
      <c r="O858" s="14"/>
      <c r="P858" s="24"/>
    </row>
    <row r="859" spans="1:16">
      <c r="A859" s="223">
        <v>43839</v>
      </c>
      <c r="B859" s="285">
        <v>2.2499999999999999E-2</v>
      </c>
      <c r="C859" s="2">
        <v>2756</v>
      </c>
      <c r="D859" s="2">
        <v>5521</v>
      </c>
      <c r="E859" s="31"/>
      <c r="F859" s="284">
        <v>43837</v>
      </c>
      <c r="G859" s="280">
        <v>2.2499999999999999E-2</v>
      </c>
      <c r="H859" s="291">
        <f t="shared" si="10"/>
        <v>3.2500000000000001E-2</v>
      </c>
      <c r="I859" s="280">
        <f t="shared" si="11"/>
        <v>1.2499999999999999E-2</v>
      </c>
      <c r="J859" s="25"/>
      <c r="K859" s="25"/>
      <c r="O859" s="14"/>
      <c r="P859" s="24"/>
    </row>
    <row r="860" spans="1:16">
      <c r="A860" s="223">
        <v>43840</v>
      </c>
      <c r="B860" s="285">
        <v>2.2499999999999999E-2</v>
      </c>
      <c r="C860" s="2">
        <v>2727</v>
      </c>
      <c r="D860" s="2">
        <v>5532</v>
      </c>
      <c r="E860" s="31"/>
      <c r="F860" s="284">
        <v>43838</v>
      </c>
      <c r="G860" s="280">
        <v>2.2499999999999999E-2</v>
      </c>
      <c r="H860" s="291">
        <f t="shared" si="10"/>
        <v>3.2500000000000001E-2</v>
      </c>
      <c r="I860" s="280">
        <f t="shared" si="11"/>
        <v>1.2499999999999999E-2</v>
      </c>
      <c r="J860" s="25"/>
      <c r="K860" s="25"/>
      <c r="O860" s="14"/>
      <c r="P860" s="24"/>
    </row>
    <row r="861" spans="1:16">
      <c r="A861" s="223">
        <v>43841</v>
      </c>
      <c r="B861" s="285">
        <v>2.2499999999999999E-2</v>
      </c>
      <c r="C861" s="2" t="s">
        <v>8</v>
      </c>
      <c r="D861" s="2">
        <v>5532</v>
      </c>
      <c r="E861" s="31"/>
      <c r="F861" s="284">
        <v>43839</v>
      </c>
      <c r="G861" s="280">
        <v>2.2499999999999999E-2</v>
      </c>
      <c r="H861" s="291">
        <f t="shared" si="10"/>
        <v>3.2500000000000001E-2</v>
      </c>
      <c r="I861" s="280">
        <f t="shared" si="11"/>
        <v>1.2499999999999999E-2</v>
      </c>
      <c r="J861" s="25"/>
      <c r="K861" s="25"/>
      <c r="O861" s="14"/>
      <c r="P861" s="24"/>
    </row>
    <row r="862" spans="1:16">
      <c r="A862" s="223">
        <v>43842</v>
      </c>
      <c r="B862" s="285">
        <v>2.2499999999999999E-2</v>
      </c>
      <c r="C862" s="2" t="s">
        <v>8</v>
      </c>
      <c r="D862" s="2">
        <v>5532</v>
      </c>
      <c r="E862" s="31"/>
      <c r="F862" s="284">
        <v>43840</v>
      </c>
      <c r="G862" s="280">
        <v>2.2499999999999999E-2</v>
      </c>
      <c r="H862" s="291">
        <f t="shared" si="10"/>
        <v>3.2500000000000001E-2</v>
      </c>
      <c r="I862" s="280">
        <f t="shared" si="11"/>
        <v>1.2499999999999999E-2</v>
      </c>
      <c r="J862" s="25"/>
      <c r="K862" s="25"/>
      <c r="O862" s="14"/>
      <c r="P862" s="24"/>
    </row>
    <row r="863" spans="1:16">
      <c r="A863" s="223">
        <v>43843</v>
      </c>
      <c r="B863" s="285">
        <v>2.2499999999999999E-2</v>
      </c>
      <c r="C863" s="2">
        <v>1615</v>
      </c>
      <c r="D863" s="2">
        <v>4420</v>
      </c>
      <c r="E863" s="31"/>
      <c r="F863" s="284">
        <v>43841</v>
      </c>
      <c r="G863" s="280">
        <v>2.2499999999999999E-2</v>
      </c>
      <c r="H863" s="291">
        <f t="shared" si="10"/>
        <v>3.2500000000000001E-2</v>
      </c>
      <c r="I863" s="280">
        <f t="shared" si="11"/>
        <v>1.2499999999999999E-2</v>
      </c>
      <c r="J863" s="25"/>
      <c r="K863" s="25"/>
      <c r="O863" s="14"/>
      <c r="P863" s="24"/>
    </row>
    <row r="864" spans="1:16">
      <c r="A864" s="223">
        <v>43844</v>
      </c>
      <c r="B864" s="285">
        <v>2.2499999999999999E-2</v>
      </c>
      <c r="C864" s="2">
        <v>2183</v>
      </c>
      <c r="D864" s="2">
        <v>5058</v>
      </c>
      <c r="E864" s="31"/>
      <c r="F864" s="284">
        <v>43842</v>
      </c>
      <c r="G864" s="280">
        <v>2.2499999999999999E-2</v>
      </c>
      <c r="H864" s="291">
        <f t="shared" si="10"/>
        <v>3.2500000000000001E-2</v>
      </c>
      <c r="I864" s="280">
        <f t="shared" si="11"/>
        <v>1.2499999999999999E-2</v>
      </c>
      <c r="J864" s="25"/>
      <c r="K864" s="25"/>
      <c r="O864" s="14"/>
      <c r="P864" s="24"/>
    </row>
    <row r="865" spans="1:16">
      <c r="A865" s="223">
        <v>43845</v>
      </c>
      <c r="B865" s="285">
        <v>2.2499999999999999E-2</v>
      </c>
      <c r="C865" s="2">
        <v>2048</v>
      </c>
      <c r="D865" s="2">
        <v>5223</v>
      </c>
      <c r="E865" s="31"/>
      <c r="F865" s="284">
        <v>43843</v>
      </c>
      <c r="G865" s="280">
        <v>2.2499999999999999E-2</v>
      </c>
      <c r="H865" s="291">
        <f t="shared" si="10"/>
        <v>3.2500000000000001E-2</v>
      </c>
      <c r="I865" s="280">
        <f t="shared" si="11"/>
        <v>1.2499999999999999E-2</v>
      </c>
      <c r="J865" s="25"/>
      <c r="K865" s="25"/>
      <c r="O865" s="14"/>
      <c r="P865" s="24"/>
    </row>
    <row r="866" spans="1:16">
      <c r="A866" s="223">
        <v>43846</v>
      </c>
      <c r="B866" s="285">
        <v>2.2499999999999999E-2</v>
      </c>
      <c r="C866" s="2">
        <v>3538</v>
      </c>
      <c r="D866" s="2">
        <v>6413</v>
      </c>
      <c r="E866" s="31"/>
      <c r="F866" s="284">
        <v>43844</v>
      </c>
      <c r="G866" s="280">
        <v>2.2499999999999999E-2</v>
      </c>
      <c r="H866" s="291">
        <f t="shared" si="10"/>
        <v>3.2500000000000001E-2</v>
      </c>
      <c r="I866" s="280">
        <f t="shared" si="11"/>
        <v>1.2499999999999999E-2</v>
      </c>
      <c r="J866" s="25"/>
      <c r="K866" s="25"/>
      <c r="O866" s="14"/>
      <c r="P866" s="24"/>
    </row>
    <row r="867" spans="1:16">
      <c r="A867" s="223">
        <v>43847</v>
      </c>
      <c r="B867" s="285">
        <v>2.2550000000000001E-2</v>
      </c>
      <c r="C867" s="2">
        <v>5610</v>
      </c>
      <c r="D867" s="2">
        <v>8465</v>
      </c>
      <c r="E867" s="31"/>
      <c r="F867" s="284">
        <v>43845</v>
      </c>
      <c r="G867" s="280">
        <v>2.2499999999999999E-2</v>
      </c>
      <c r="H867" s="291">
        <f t="shared" si="10"/>
        <v>3.2500000000000001E-2</v>
      </c>
      <c r="I867" s="280">
        <f t="shared" si="11"/>
        <v>1.2499999999999999E-2</v>
      </c>
      <c r="J867" s="25"/>
      <c r="K867" s="25"/>
      <c r="O867" s="14"/>
      <c r="P867" s="24"/>
    </row>
    <row r="868" spans="1:16">
      <c r="A868" s="223">
        <v>43848</v>
      </c>
      <c r="B868" s="285">
        <v>2.2550000000000001E-2</v>
      </c>
      <c r="C868" s="2" t="s">
        <v>8</v>
      </c>
      <c r="D868" s="2">
        <v>8465</v>
      </c>
      <c r="E868" s="31"/>
      <c r="F868" s="284">
        <v>43846</v>
      </c>
      <c r="G868" s="280">
        <v>2.2499999999999999E-2</v>
      </c>
      <c r="H868" s="291">
        <f t="shared" si="10"/>
        <v>3.2500000000000001E-2</v>
      </c>
      <c r="I868" s="280">
        <f t="shared" si="11"/>
        <v>1.2499999999999999E-2</v>
      </c>
      <c r="J868" s="25"/>
      <c r="K868" s="25"/>
      <c r="O868" s="14"/>
      <c r="P868" s="24"/>
    </row>
    <row r="869" spans="1:16">
      <c r="A869" s="223">
        <v>43849</v>
      </c>
      <c r="B869" s="285">
        <v>2.2550000000000001E-2</v>
      </c>
      <c r="C869" s="2" t="s">
        <v>8</v>
      </c>
      <c r="D869" s="2">
        <v>8465</v>
      </c>
      <c r="E869" s="31"/>
      <c r="F869" s="284">
        <v>43847</v>
      </c>
      <c r="G869" s="280">
        <v>2.2550000000000001E-2</v>
      </c>
      <c r="H869" s="291">
        <f t="shared" si="10"/>
        <v>3.2550000000000003E-2</v>
      </c>
      <c r="I869" s="280">
        <f t="shared" si="11"/>
        <v>1.255E-2</v>
      </c>
      <c r="J869" s="25"/>
      <c r="K869" s="25"/>
      <c r="O869" s="14"/>
      <c r="P869" s="24"/>
    </row>
    <row r="870" spans="1:16">
      <c r="A870" s="223">
        <v>43850</v>
      </c>
      <c r="B870" s="285">
        <v>2.2499999999999999E-2</v>
      </c>
      <c r="C870" s="2">
        <v>4490</v>
      </c>
      <c r="D870" s="2">
        <v>7345</v>
      </c>
      <c r="E870" s="31"/>
      <c r="F870" s="284">
        <v>43848</v>
      </c>
      <c r="G870" s="280">
        <v>2.2550000000000001E-2</v>
      </c>
      <c r="H870" s="291">
        <f t="shared" si="10"/>
        <v>3.2550000000000003E-2</v>
      </c>
      <c r="I870" s="280">
        <f t="shared" si="11"/>
        <v>1.255E-2</v>
      </c>
      <c r="J870" s="25"/>
      <c r="K870" s="25"/>
      <c r="O870" s="14"/>
      <c r="P870" s="24"/>
    </row>
    <row r="871" spans="1:16">
      <c r="A871" s="223">
        <v>43851</v>
      </c>
      <c r="B871" s="285">
        <v>2.2499999999999999E-2</v>
      </c>
      <c r="C871" s="2">
        <v>3033</v>
      </c>
      <c r="D871" s="2">
        <v>5888</v>
      </c>
      <c r="E871" s="31"/>
      <c r="F871" s="284">
        <v>43849</v>
      </c>
      <c r="G871" s="280">
        <v>2.2550000000000001E-2</v>
      </c>
      <c r="H871" s="291">
        <f t="shared" si="10"/>
        <v>3.2550000000000003E-2</v>
      </c>
      <c r="I871" s="280">
        <f t="shared" si="11"/>
        <v>1.255E-2</v>
      </c>
      <c r="J871" s="25"/>
      <c r="K871" s="25"/>
      <c r="O871" s="14"/>
      <c r="P871" s="24"/>
    </row>
    <row r="872" spans="1:16">
      <c r="A872" s="223">
        <v>43852</v>
      </c>
      <c r="B872" s="285">
        <v>2.2589999999999999E-2</v>
      </c>
      <c r="C872" s="2">
        <v>3401</v>
      </c>
      <c r="D872" s="2">
        <v>6256</v>
      </c>
      <c r="E872" s="31"/>
      <c r="F872" s="284">
        <v>43850</v>
      </c>
      <c r="G872" s="280">
        <v>2.2499999999999999E-2</v>
      </c>
      <c r="H872" s="291">
        <f t="shared" si="10"/>
        <v>3.2500000000000001E-2</v>
      </c>
      <c r="I872" s="280">
        <f t="shared" si="11"/>
        <v>1.2499999999999999E-2</v>
      </c>
      <c r="J872" s="25"/>
      <c r="K872" s="25"/>
      <c r="O872" s="14"/>
      <c r="P872" s="24"/>
    </row>
    <row r="873" spans="1:16">
      <c r="A873" s="223">
        <v>43853</v>
      </c>
      <c r="B873" s="285">
        <v>2.2579999999999999E-2</v>
      </c>
      <c r="C873" s="2">
        <v>3040</v>
      </c>
      <c r="D873" s="2">
        <v>5525</v>
      </c>
      <c r="E873" s="31"/>
      <c r="F873" s="284">
        <v>43851</v>
      </c>
      <c r="G873" s="280">
        <v>2.2499999999999999E-2</v>
      </c>
      <c r="H873" s="291">
        <f t="shared" si="10"/>
        <v>3.2500000000000001E-2</v>
      </c>
      <c r="I873" s="280">
        <f t="shared" si="11"/>
        <v>1.2499999999999999E-2</v>
      </c>
      <c r="J873" s="25"/>
      <c r="K873" s="25"/>
      <c r="O873" s="14"/>
      <c r="P873" s="24"/>
    </row>
    <row r="874" spans="1:16">
      <c r="A874" s="223">
        <v>43854</v>
      </c>
      <c r="B874" s="285">
        <v>2.3019999999999999E-2</v>
      </c>
      <c r="C874" s="2">
        <v>4214</v>
      </c>
      <c r="D874" s="2">
        <v>6509</v>
      </c>
      <c r="E874" s="31"/>
      <c r="F874" s="284">
        <v>43852</v>
      </c>
      <c r="G874" s="280">
        <v>2.2589999999999999E-2</v>
      </c>
      <c r="H874" s="291">
        <f t="shared" ref="H874:H937" si="12">G874+1%</f>
        <v>3.2590000000000001E-2</v>
      </c>
      <c r="I874" s="280">
        <f t="shared" ref="I874:I937" si="13">G874-1%</f>
        <v>1.2589999999999999E-2</v>
      </c>
      <c r="J874" s="25"/>
      <c r="K874" s="25"/>
      <c r="O874" s="14"/>
      <c r="P874" s="24"/>
    </row>
    <row r="875" spans="1:16">
      <c r="A875" s="223">
        <v>43855</v>
      </c>
      <c r="B875" s="285">
        <v>2.3019999999999999E-2</v>
      </c>
      <c r="C875" s="2" t="s">
        <v>8</v>
      </c>
      <c r="D875" s="2">
        <v>6509</v>
      </c>
      <c r="E875" s="31"/>
      <c r="F875" s="284">
        <v>43853</v>
      </c>
      <c r="G875" s="280">
        <v>2.2579999999999999E-2</v>
      </c>
      <c r="H875" s="291">
        <f t="shared" si="12"/>
        <v>3.2579999999999998E-2</v>
      </c>
      <c r="I875" s="280">
        <f t="shared" si="13"/>
        <v>1.2579999999999999E-2</v>
      </c>
      <c r="J875" s="25"/>
      <c r="K875" s="25"/>
      <c r="O875" s="14"/>
      <c r="P875" s="24"/>
    </row>
    <row r="876" spans="1:16">
      <c r="A876" s="223">
        <v>43856</v>
      </c>
      <c r="B876" s="285">
        <v>2.3019999999999999E-2</v>
      </c>
      <c r="C876" s="2" t="s">
        <v>8</v>
      </c>
      <c r="D876" s="2">
        <v>6509</v>
      </c>
      <c r="E876" s="31"/>
      <c r="F876" s="284">
        <v>43854</v>
      </c>
      <c r="G876" s="280">
        <v>2.3019999999999999E-2</v>
      </c>
      <c r="H876" s="291">
        <f t="shared" si="12"/>
        <v>3.3020000000000001E-2</v>
      </c>
      <c r="I876" s="280">
        <f t="shared" si="13"/>
        <v>1.3019999999999999E-2</v>
      </c>
      <c r="J876" s="25"/>
      <c r="K876" s="25"/>
      <c r="O876" s="14"/>
      <c r="P876" s="24"/>
    </row>
    <row r="877" spans="1:16">
      <c r="A877" s="223">
        <v>43857</v>
      </c>
      <c r="B877" s="285">
        <v>2.2780000000000002E-2</v>
      </c>
      <c r="C877" s="2">
        <v>2575</v>
      </c>
      <c r="D877" s="2">
        <v>4870</v>
      </c>
      <c r="E877" s="31"/>
      <c r="F877" s="284">
        <v>43855</v>
      </c>
      <c r="G877" s="280">
        <v>2.3019999999999999E-2</v>
      </c>
      <c r="H877" s="291">
        <f t="shared" si="12"/>
        <v>3.3020000000000001E-2</v>
      </c>
      <c r="I877" s="280">
        <f t="shared" si="13"/>
        <v>1.3019999999999999E-2</v>
      </c>
      <c r="J877" s="25"/>
      <c r="K877" s="25"/>
      <c r="O877" s="14"/>
      <c r="P877" s="24"/>
    </row>
    <row r="878" spans="1:16">
      <c r="A878" s="223">
        <v>43858</v>
      </c>
      <c r="B878" s="285">
        <v>2.2800000000000001E-2</v>
      </c>
      <c r="C878" s="2">
        <v>2702</v>
      </c>
      <c r="D878" s="2">
        <v>4997</v>
      </c>
      <c r="E878" s="31"/>
      <c r="F878" s="284">
        <v>43856</v>
      </c>
      <c r="G878" s="280">
        <v>2.3019999999999999E-2</v>
      </c>
      <c r="H878" s="291">
        <f t="shared" si="12"/>
        <v>3.3020000000000001E-2</v>
      </c>
      <c r="I878" s="280">
        <f t="shared" si="13"/>
        <v>1.3019999999999999E-2</v>
      </c>
      <c r="J878" s="25"/>
      <c r="K878" s="25"/>
      <c r="O878" s="14"/>
      <c r="P878" s="24"/>
    </row>
    <row r="879" spans="1:16">
      <c r="A879" s="223">
        <v>43859</v>
      </c>
      <c r="B879" s="285">
        <v>2.2919999999999999E-2</v>
      </c>
      <c r="C879" s="2">
        <v>3086</v>
      </c>
      <c r="D879" s="2">
        <v>5381</v>
      </c>
      <c r="E879" s="31"/>
      <c r="F879" s="284">
        <v>43857</v>
      </c>
      <c r="G879" s="280">
        <v>2.2780000000000002E-2</v>
      </c>
      <c r="H879" s="291">
        <f t="shared" si="12"/>
        <v>3.2780000000000004E-2</v>
      </c>
      <c r="I879" s="280">
        <f t="shared" si="13"/>
        <v>1.2780000000000001E-2</v>
      </c>
      <c r="J879" s="25"/>
      <c r="K879" s="25"/>
      <c r="O879" s="14"/>
      <c r="P879" s="24"/>
    </row>
    <row r="880" spans="1:16">
      <c r="A880" s="223">
        <v>43860</v>
      </c>
      <c r="B880" s="285">
        <v>2.2509999999999999E-2</v>
      </c>
      <c r="C880" s="2">
        <v>3945</v>
      </c>
      <c r="D880" s="2">
        <v>6950</v>
      </c>
      <c r="E880" s="31"/>
      <c r="F880" s="284">
        <v>43858</v>
      </c>
      <c r="G880" s="280">
        <v>2.2800000000000001E-2</v>
      </c>
      <c r="H880" s="291">
        <f t="shared" si="12"/>
        <v>3.2800000000000003E-2</v>
      </c>
      <c r="I880" s="280">
        <f t="shared" si="13"/>
        <v>1.2800000000000001E-2</v>
      </c>
      <c r="J880" s="25"/>
      <c r="K880" s="25"/>
      <c r="O880" s="14"/>
      <c r="P880" s="24"/>
    </row>
    <row r="881" spans="1:16">
      <c r="A881" s="223">
        <v>43861</v>
      </c>
      <c r="B881" s="285">
        <v>2.2499999999999999E-2</v>
      </c>
      <c r="C881" s="2">
        <v>2399</v>
      </c>
      <c r="D881" s="2">
        <v>5524</v>
      </c>
      <c r="E881" s="31"/>
      <c r="F881" s="284">
        <v>43859</v>
      </c>
      <c r="G881" s="280">
        <v>2.2919999999999999E-2</v>
      </c>
      <c r="H881" s="291">
        <f t="shared" si="12"/>
        <v>3.2919999999999998E-2</v>
      </c>
      <c r="I881" s="280">
        <f t="shared" si="13"/>
        <v>1.2919999999999999E-2</v>
      </c>
      <c r="J881" s="25"/>
      <c r="K881" s="25"/>
      <c r="O881" s="14"/>
      <c r="P881" s="24"/>
    </row>
    <row r="882" spans="1:16">
      <c r="A882" s="223">
        <v>43862</v>
      </c>
      <c r="B882" s="285">
        <v>2.2499999999999999E-2</v>
      </c>
      <c r="C882" s="2" t="s">
        <v>8</v>
      </c>
      <c r="D882" s="2">
        <v>5524</v>
      </c>
      <c r="E882" s="31"/>
      <c r="F882" s="284">
        <v>43860</v>
      </c>
      <c r="G882" s="280">
        <v>2.2509999999999999E-2</v>
      </c>
      <c r="H882" s="291">
        <f t="shared" si="12"/>
        <v>3.2509999999999997E-2</v>
      </c>
      <c r="I882" s="280">
        <f t="shared" si="13"/>
        <v>1.2509999999999999E-2</v>
      </c>
      <c r="J882" s="25"/>
      <c r="K882" s="25"/>
      <c r="O882" s="14"/>
      <c r="P882" s="24"/>
    </row>
    <row r="883" spans="1:16">
      <c r="A883" s="223">
        <v>43863</v>
      </c>
      <c r="B883" s="285">
        <v>2.2499999999999999E-2</v>
      </c>
      <c r="C883" s="2" t="s">
        <v>8</v>
      </c>
      <c r="D883" s="2">
        <v>5524</v>
      </c>
      <c r="E883" s="31"/>
      <c r="F883" s="284">
        <v>43861</v>
      </c>
      <c r="G883" s="280">
        <v>2.2499999999999999E-2</v>
      </c>
      <c r="H883" s="291">
        <f t="shared" si="12"/>
        <v>3.2500000000000001E-2</v>
      </c>
      <c r="I883" s="280">
        <f t="shared" si="13"/>
        <v>1.2499999999999999E-2</v>
      </c>
      <c r="J883" s="25"/>
      <c r="K883" s="25"/>
      <c r="O883" s="14"/>
      <c r="P883" s="24"/>
    </row>
    <row r="884" spans="1:16">
      <c r="A884" s="223">
        <v>43864</v>
      </c>
      <c r="B884" s="285">
        <v>2.2499999999999999E-2</v>
      </c>
      <c r="C884" s="2">
        <v>3187</v>
      </c>
      <c r="D884" s="2">
        <v>5102</v>
      </c>
      <c r="E884" s="31"/>
      <c r="F884" s="284">
        <v>43862</v>
      </c>
      <c r="G884" s="280">
        <v>2.2499999999999999E-2</v>
      </c>
      <c r="H884" s="291">
        <f t="shared" si="12"/>
        <v>3.2500000000000001E-2</v>
      </c>
      <c r="I884" s="280">
        <f t="shared" si="13"/>
        <v>1.2499999999999999E-2</v>
      </c>
      <c r="J884" s="25"/>
      <c r="K884" s="25"/>
      <c r="O884" s="14"/>
      <c r="P884" s="24"/>
    </row>
    <row r="885" spans="1:16">
      <c r="A885" s="223">
        <v>43865</v>
      </c>
      <c r="B885" s="285">
        <v>2.2499999999999999E-2</v>
      </c>
      <c r="C885" s="2">
        <v>2900</v>
      </c>
      <c r="D885" s="2">
        <v>4815</v>
      </c>
      <c r="E885" s="31"/>
      <c r="F885" s="284">
        <v>43863</v>
      </c>
      <c r="G885" s="280">
        <v>2.2499999999999999E-2</v>
      </c>
      <c r="H885" s="291">
        <f t="shared" si="12"/>
        <v>3.2500000000000001E-2</v>
      </c>
      <c r="I885" s="280">
        <f t="shared" si="13"/>
        <v>1.2499999999999999E-2</v>
      </c>
      <c r="J885" s="25"/>
      <c r="K885" s="25"/>
      <c r="O885" s="14"/>
      <c r="P885" s="24"/>
    </row>
    <row r="886" spans="1:16">
      <c r="A886" s="223">
        <v>43866</v>
      </c>
      <c r="B886" s="285">
        <v>2.2499999999999999E-2</v>
      </c>
      <c r="C886" s="2">
        <v>3890</v>
      </c>
      <c r="D886" s="2">
        <v>6005</v>
      </c>
      <c r="E886" s="31"/>
      <c r="F886" s="284">
        <v>43864</v>
      </c>
      <c r="G886" s="280">
        <v>2.2499999999999999E-2</v>
      </c>
      <c r="H886" s="291">
        <f t="shared" si="12"/>
        <v>3.2500000000000001E-2</v>
      </c>
      <c r="I886" s="280">
        <f t="shared" si="13"/>
        <v>1.2499999999999999E-2</v>
      </c>
      <c r="J886" s="25"/>
      <c r="K886" s="25"/>
      <c r="O886" s="14"/>
      <c r="P886" s="24"/>
    </row>
    <row r="887" spans="1:16">
      <c r="A887" s="223">
        <v>43867</v>
      </c>
      <c r="B887" s="285">
        <v>2.2499999999999999E-2</v>
      </c>
      <c r="C887" s="2">
        <v>1856</v>
      </c>
      <c r="D887" s="2">
        <v>4021</v>
      </c>
      <c r="E887" s="31"/>
      <c r="F887" s="284">
        <v>43865</v>
      </c>
      <c r="G887" s="280">
        <v>2.2499999999999999E-2</v>
      </c>
      <c r="H887" s="291">
        <f t="shared" si="12"/>
        <v>3.2500000000000001E-2</v>
      </c>
      <c r="I887" s="280">
        <f t="shared" si="13"/>
        <v>1.2499999999999999E-2</v>
      </c>
      <c r="J887" s="25"/>
      <c r="K887" s="25"/>
      <c r="O887" s="14"/>
      <c r="P887" s="24"/>
    </row>
    <row r="888" spans="1:16">
      <c r="A888" s="223">
        <v>43868</v>
      </c>
      <c r="B888" s="285">
        <v>2.2499999999999999E-2</v>
      </c>
      <c r="C888" s="2">
        <v>1342</v>
      </c>
      <c r="D888" s="2">
        <v>3507</v>
      </c>
      <c r="E888" s="31"/>
      <c r="F888" s="284">
        <v>43866</v>
      </c>
      <c r="G888" s="280">
        <v>2.2499999999999999E-2</v>
      </c>
      <c r="H888" s="291">
        <f t="shared" si="12"/>
        <v>3.2500000000000001E-2</v>
      </c>
      <c r="I888" s="280">
        <f t="shared" si="13"/>
        <v>1.2499999999999999E-2</v>
      </c>
      <c r="J888" s="25"/>
      <c r="K888" s="25"/>
      <c r="O888" s="14"/>
      <c r="P888" s="24"/>
    </row>
    <row r="889" spans="1:16">
      <c r="A889" s="223">
        <v>43869</v>
      </c>
      <c r="B889" s="285">
        <v>2.2499999999999999E-2</v>
      </c>
      <c r="C889" s="2" t="s">
        <v>8</v>
      </c>
      <c r="D889" s="2">
        <v>3507</v>
      </c>
      <c r="E889" s="31"/>
      <c r="F889" s="284">
        <v>43867</v>
      </c>
      <c r="G889" s="280">
        <v>2.2499999999999999E-2</v>
      </c>
      <c r="H889" s="291">
        <f t="shared" si="12"/>
        <v>3.2500000000000001E-2</v>
      </c>
      <c r="I889" s="280">
        <f t="shared" si="13"/>
        <v>1.2499999999999999E-2</v>
      </c>
      <c r="J889" s="25"/>
      <c r="K889" s="25"/>
      <c r="O889" s="14"/>
      <c r="P889" s="24"/>
    </row>
    <row r="890" spans="1:16">
      <c r="A890" s="223">
        <v>43870</v>
      </c>
      <c r="B890" s="285">
        <v>2.2499999999999999E-2</v>
      </c>
      <c r="C890" s="2" t="s">
        <v>8</v>
      </c>
      <c r="D890" s="2">
        <v>3507</v>
      </c>
      <c r="E890" s="31"/>
      <c r="F890" s="284">
        <v>43868</v>
      </c>
      <c r="G890" s="280">
        <v>2.2499999999999999E-2</v>
      </c>
      <c r="H890" s="291">
        <f t="shared" si="12"/>
        <v>3.2500000000000001E-2</v>
      </c>
      <c r="I890" s="280">
        <f t="shared" si="13"/>
        <v>1.2499999999999999E-2</v>
      </c>
      <c r="J890" s="25"/>
      <c r="K890" s="25"/>
      <c r="O890" s="14"/>
      <c r="P890" s="24"/>
    </row>
    <row r="891" spans="1:16">
      <c r="A891" s="223">
        <v>43871</v>
      </c>
      <c r="B891" s="285">
        <v>2.2499999999999999E-2</v>
      </c>
      <c r="C891" s="2">
        <v>1339</v>
      </c>
      <c r="D891" s="2">
        <v>3504</v>
      </c>
      <c r="E891" s="31"/>
      <c r="F891" s="284">
        <v>43869</v>
      </c>
      <c r="G891" s="280">
        <v>2.2499999999999999E-2</v>
      </c>
      <c r="H891" s="291">
        <f t="shared" si="12"/>
        <v>3.2500000000000001E-2</v>
      </c>
      <c r="I891" s="280">
        <f t="shared" si="13"/>
        <v>1.2499999999999999E-2</v>
      </c>
      <c r="J891" s="25"/>
      <c r="K891" s="25"/>
      <c r="O891" s="14"/>
      <c r="P891" s="24"/>
    </row>
    <row r="892" spans="1:16">
      <c r="A892" s="223">
        <v>43872</v>
      </c>
      <c r="B892" s="285">
        <v>2.2499999999999999E-2</v>
      </c>
      <c r="C892" s="2">
        <v>1783</v>
      </c>
      <c r="D892" s="2">
        <v>3948</v>
      </c>
      <c r="E892" s="60"/>
      <c r="F892" s="284">
        <v>43870</v>
      </c>
      <c r="G892" s="280">
        <v>2.2499999999999999E-2</v>
      </c>
      <c r="H892" s="291">
        <f t="shared" si="12"/>
        <v>3.2500000000000001E-2</v>
      </c>
      <c r="I892" s="280">
        <f t="shared" si="13"/>
        <v>1.2499999999999999E-2</v>
      </c>
      <c r="J892" s="25"/>
      <c r="K892" s="25"/>
      <c r="O892" s="14"/>
      <c r="P892" s="24"/>
    </row>
    <row r="893" spans="1:16">
      <c r="A893" s="223">
        <v>43873</v>
      </c>
      <c r="B893" s="285">
        <v>2.2530000000000001E-2</v>
      </c>
      <c r="C893" s="2">
        <v>1845</v>
      </c>
      <c r="D893" s="2">
        <v>4310</v>
      </c>
      <c r="E893" s="60"/>
      <c r="F893" s="284">
        <v>43871</v>
      </c>
      <c r="G893" s="280">
        <v>2.2499999999999999E-2</v>
      </c>
      <c r="H893" s="291">
        <f t="shared" si="12"/>
        <v>3.2500000000000001E-2</v>
      </c>
      <c r="I893" s="280">
        <f t="shared" si="13"/>
        <v>1.2499999999999999E-2</v>
      </c>
      <c r="J893" s="25"/>
      <c r="K893" s="25"/>
      <c r="O893" s="14"/>
      <c r="P893" s="24"/>
    </row>
    <row r="894" spans="1:16">
      <c r="A894" s="223">
        <v>43874</v>
      </c>
      <c r="B894" s="285">
        <v>2.2499999999999999E-2</v>
      </c>
      <c r="C894" s="2">
        <v>1434</v>
      </c>
      <c r="D894" s="2">
        <v>3899</v>
      </c>
      <c r="E894" s="60"/>
      <c r="F894" s="284">
        <v>43872</v>
      </c>
      <c r="G894" s="280">
        <v>2.2499999999999999E-2</v>
      </c>
      <c r="H894" s="291">
        <f t="shared" si="12"/>
        <v>3.2500000000000001E-2</v>
      </c>
      <c r="I894" s="280">
        <f t="shared" si="13"/>
        <v>1.2499999999999999E-2</v>
      </c>
      <c r="J894" s="25"/>
      <c r="K894" s="25"/>
      <c r="O894" s="14"/>
      <c r="P894" s="24"/>
    </row>
    <row r="895" spans="1:16">
      <c r="A895" s="223">
        <v>43875</v>
      </c>
      <c r="B895" s="285">
        <v>2.2499999999999999E-2</v>
      </c>
      <c r="C895" s="2">
        <v>3182</v>
      </c>
      <c r="D895" s="2">
        <v>5447</v>
      </c>
      <c r="E895" s="60"/>
      <c r="F895" s="284">
        <v>43873</v>
      </c>
      <c r="G895" s="280">
        <v>2.2530000000000001E-2</v>
      </c>
      <c r="H895" s="291">
        <f t="shared" si="12"/>
        <v>3.2530000000000003E-2</v>
      </c>
      <c r="I895" s="280">
        <f t="shared" si="13"/>
        <v>1.2530000000000001E-2</v>
      </c>
      <c r="J895" s="25"/>
      <c r="K895" s="25"/>
      <c r="O895" s="14"/>
      <c r="P895" s="24"/>
    </row>
    <row r="896" spans="1:16">
      <c r="A896" s="223">
        <v>43876</v>
      </c>
      <c r="B896" s="285">
        <v>2.2499999999999999E-2</v>
      </c>
      <c r="C896" s="2">
        <v>0</v>
      </c>
      <c r="D896" s="2">
        <v>5447</v>
      </c>
      <c r="E896" s="60"/>
      <c r="F896" s="284">
        <v>43874</v>
      </c>
      <c r="G896" s="280">
        <v>2.2499999999999999E-2</v>
      </c>
      <c r="H896" s="291">
        <f t="shared" si="12"/>
        <v>3.2500000000000001E-2</v>
      </c>
      <c r="I896" s="280">
        <f t="shared" si="13"/>
        <v>1.2499999999999999E-2</v>
      </c>
      <c r="J896" s="25"/>
      <c r="K896" s="25"/>
      <c r="O896" s="14"/>
      <c r="P896" s="24"/>
    </row>
    <row r="897" spans="1:16">
      <c r="A897" s="223">
        <v>43877</v>
      </c>
      <c r="B897" s="285">
        <v>2.2499999999999999E-2</v>
      </c>
      <c r="C897" s="2">
        <v>0</v>
      </c>
      <c r="D897" s="2">
        <v>5447</v>
      </c>
      <c r="E897" s="60"/>
      <c r="F897" s="284">
        <v>43875</v>
      </c>
      <c r="G897" s="280">
        <v>2.2499999999999999E-2</v>
      </c>
      <c r="H897" s="291">
        <f t="shared" si="12"/>
        <v>3.2500000000000001E-2</v>
      </c>
      <c r="I897" s="280">
        <f t="shared" si="13"/>
        <v>1.2499999999999999E-2</v>
      </c>
      <c r="J897" s="25"/>
      <c r="K897" s="25"/>
      <c r="O897" s="14"/>
      <c r="P897" s="24"/>
    </row>
    <row r="898" spans="1:16">
      <c r="A898" s="223">
        <v>43878</v>
      </c>
      <c r="B898" s="285">
        <v>2.257E-2</v>
      </c>
      <c r="C898" s="2">
        <v>2359</v>
      </c>
      <c r="D898" s="2">
        <v>4624</v>
      </c>
      <c r="E898" s="60"/>
      <c r="F898" s="284">
        <v>43876</v>
      </c>
      <c r="G898" s="280">
        <v>2.2499999999999999E-2</v>
      </c>
      <c r="H898" s="291">
        <f t="shared" si="12"/>
        <v>3.2500000000000001E-2</v>
      </c>
      <c r="I898" s="280">
        <f t="shared" si="13"/>
        <v>1.2499999999999999E-2</v>
      </c>
      <c r="J898" s="25"/>
      <c r="K898" s="25"/>
      <c r="O898" s="14"/>
      <c r="P898" s="24"/>
    </row>
    <row r="899" spans="1:16">
      <c r="A899" s="223">
        <v>43879</v>
      </c>
      <c r="B899" s="285">
        <v>2.2499999999999999E-2</v>
      </c>
      <c r="C899" s="2">
        <v>2762</v>
      </c>
      <c r="D899" s="2">
        <v>5027</v>
      </c>
      <c r="E899" s="60"/>
      <c r="F899" s="284">
        <v>43877</v>
      </c>
      <c r="G899" s="280">
        <v>2.2499999999999999E-2</v>
      </c>
      <c r="H899" s="291">
        <f t="shared" si="12"/>
        <v>3.2500000000000001E-2</v>
      </c>
      <c r="I899" s="280">
        <f t="shared" si="13"/>
        <v>1.2499999999999999E-2</v>
      </c>
      <c r="J899" s="25"/>
      <c r="K899" s="25"/>
      <c r="O899" s="14"/>
      <c r="P899" s="24"/>
    </row>
    <row r="900" spans="1:16">
      <c r="A900" s="223">
        <v>43880</v>
      </c>
      <c r="B900" s="285">
        <v>2.2499999999999999E-2</v>
      </c>
      <c r="C900" s="2">
        <v>3377</v>
      </c>
      <c r="D900" s="2">
        <v>5692</v>
      </c>
      <c r="E900" s="43"/>
      <c r="F900" s="284">
        <v>43878</v>
      </c>
      <c r="G900" s="280">
        <v>2.257E-2</v>
      </c>
      <c r="H900" s="291">
        <f t="shared" si="12"/>
        <v>3.2570000000000002E-2</v>
      </c>
      <c r="I900" s="280">
        <f t="shared" si="13"/>
        <v>1.257E-2</v>
      </c>
      <c r="J900" s="25"/>
      <c r="K900" s="25"/>
      <c r="O900" s="14"/>
      <c r="P900" s="24"/>
    </row>
    <row r="901" spans="1:16">
      <c r="A901" s="223">
        <v>43881</v>
      </c>
      <c r="B901" s="285">
        <v>2.2499999999999999E-2</v>
      </c>
      <c r="C901" s="2">
        <v>3085</v>
      </c>
      <c r="D901" s="2">
        <v>5550</v>
      </c>
      <c r="E901" s="43"/>
      <c r="F901" s="284">
        <v>43879</v>
      </c>
      <c r="G901" s="280">
        <v>2.2499999999999999E-2</v>
      </c>
      <c r="H901" s="291">
        <f t="shared" si="12"/>
        <v>3.2500000000000001E-2</v>
      </c>
      <c r="I901" s="280">
        <f t="shared" si="13"/>
        <v>1.2499999999999999E-2</v>
      </c>
      <c r="J901" s="25"/>
      <c r="K901" s="25"/>
      <c r="O901" s="14"/>
      <c r="P901" s="24"/>
    </row>
    <row r="902" spans="1:16">
      <c r="A902" s="223">
        <v>43882</v>
      </c>
      <c r="B902" s="285">
        <v>2.2540000000000001E-2</v>
      </c>
      <c r="C902" s="2">
        <v>2527</v>
      </c>
      <c r="D902" s="2">
        <v>5092</v>
      </c>
      <c r="E902" s="43"/>
      <c r="F902" s="284">
        <v>43880</v>
      </c>
      <c r="G902" s="280">
        <v>2.2499999999999999E-2</v>
      </c>
      <c r="H902" s="291">
        <f t="shared" si="12"/>
        <v>3.2500000000000001E-2</v>
      </c>
      <c r="I902" s="280">
        <f t="shared" si="13"/>
        <v>1.2499999999999999E-2</v>
      </c>
      <c r="J902" s="25"/>
      <c r="K902" s="25"/>
      <c r="O902" s="14"/>
      <c r="P902" s="24"/>
    </row>
    <row r="903" spans="1:16">
      <c r="A903" s="223">
        <v>43883</v>
      </c>
      <c r="B903" s="285">
        <v>2.2540000000000001E-2</v>
      </c>
      <c r="C903" s="2" t="s">
        <v>8</v>
      </c>
      <c r="D903" s="2">
        <v>5092</v>
      </c>
      <c r="E903" s="43"/>
      <c r="F903" s="284">
        <v>43881</v>
      </c>
      <c r="G903" s="280">
        <v>2.2499999999999999E-2</v>
      </c>
      <c r="H903" s="291">
        <f t="shared" si="12"/>
        <v>3.2500000000000001E-2</v>
      </c>
      <c r="I903" s="280">
        <f t="shared" si="13"/>
        <v>1.2499999999999999E-2</v>
      </c>
      <c r="J903" s="25"/>
      <c r="K903" s="25"/>
      <c r="O903" s="14"/>
      <c r="P903" s="24"/>
    </row>
    <row r="904" spans="1:16">
      <c r="A904" s="223">
        <v>43884</v>
      </c>
      <c r="B904" s="285">
        <v>2.2540000000000001E-2</v>
      </c>
      <c r="C904" s="2" t="s">
        <v>8</v>
      </c>
      <c r="D904" s="2">
        <v>5092</v>
      </c>
      <c r="E904" s="43"/>
      <c r="F904" s="284">
        <v>43882</v>
      </c>
      <c r="G904" s="280">
        <v>2.2540000000000001E-2</v>
      </c>
      <c r="H904" s="291">
        <f t="shared" si="12"/>
        <v>3.2539999999999999E-2</v>
      </c>
      <c r="I904" s="280">
        <f t="shared" si="13"/>
        <v>1.2540000000000001E-2</v>
      </c>
      <c r="J904" s="25"/>
      <c r="K904" s="25"/>
      <c r="O904" s="14"/>
      <c r="P904" s="24"/>
    </row>
    <row r="905" spans="1:16">
      <c r="A905" s="223">
        <v>43885</v>
      </c>
      <c r="B905" s="285">
        <v>2.2499999999999999E-2</v>
      </c>
      <c r="C905" s="2">
        <v>3338</v>
      </c>
      <c r="D905" s="2">
        <v>5903</v>
      </c>
      <c r="E905" s="43"/>
      <c r="F905" s="284">
        <v>43883</v>
      </c>
      <c r="G905" s="280">
        <v>2.2540000000000001E-2</v>
      </c>
      <c r="H905" s="291">
        <f t="shared" si="12"/>
        <v>3.2539999999999999E-2</v>
      </c>
      <c r="I905" s="280">
        <f t="shared" si="13"/>
        <v>1.2540000000000001E-2</v>
      </c>
      <c r="J905" s="25"/>
      <c r="K905" s="25"/>
      <c r="O905" s="14"/>
      <c r="P905" s="24"/>
    </row>
    <row r="906" spans="1:16">
      <c r="A906" s="223">
        <v>43886</v>
      </c>
      <c r="B906" s="285">
        <v>2.2499999999999999E-2</v>
      </c>
      <c r="C906" s="2">
        <v>2105</v>
      </c>
      <c r="D906" s="2">
        <v>4670</v>
      </c>
      <c r="E906" s="43"/>
      <c r="F906" s="284">
        <v>43884</v>
      </c>
      <c r="G906" s="280">
        <v>2.2540000000000001E-2</v>
      </c>
      <c r="H906" s="291">
        <f t="shared" si="12"/>
        <v>3.2539999999999999E-2</v>
      </c>
      <c r="I906" s="280">
        <f t="shared" si="13"/>
        <v>1.2540000000000001E-2</v>
      </c>
      <c r="J906" s="25"/>
      <c r="K906" s="25"/>
      <c r="O906" s="14"/>
      <c r="P906" s="24"/>
    </row>
    <row r="907" spans="1:16">
      <c r="A907" s="223">
        <v>43887</v>
      </c>
      <c r="B907" s="285">
        <v>2.2499999999999999E-2</v>
      </c>
      <c r="C907" s="2">
        <v>2257</v>
      </c>
      <c r="D907" s="2">
        <v>4822</v>
      </c>
      <c r="E907" s="43"/>
      <c r="F907" s="284">
        <v>43885</v>
      </c>
      <c r="G907" s="280">
        <v>2.2499999999999999E-2</v>
      </c>
      <c r="H907" s="291">
        <f t="shared" si="12"/>
        <v>3.2500000000000001E-2</v>
      </c>
      <c r="I907" s="280">
        <f t="shared" si="13"/>
        <v>1.2499999999999999E-2</v>
      </c>
      <c r="J907" s="25"/>
      <c r="K907" s="25"/>
      <c r="O907" s="14"/>
      <c r="P907" s="24"/>
    </row>
    <row r="908" spans="1:16">
      <c r="A908" s="223">
        <v>43888</v>
      </c>
      <c r="B908" s="285">
        <v>2.2499999999999999E-2</v>
      </c>
      <c r="C908" s="2">
        <v>2402</v>
      </c>
      <c r="D908" s="2">
        <v>5367</v>
      </c>
      <c r="E908" s="43"/>
      <c r="F908" s="284">
        <v>43886</v>
      </c>
      <c r="G908" s="280">
        <v>2.2499999999999999E-2</v>
      </c>
      <c r="H908" s="291">
        <f t="shared" si="12"/>
        <v>3.2500000000000001E-2</v>
      </c>
      <c r="I908" s="280">
        <f t="shared" si="13"/>
        <v>1.2499999999999999E-2</v>
      </c>
      <c r="J908" s="25"/>
      <c r="K908" s="25"/>
      <c r="O908" s="14"/>
      <c r="P908" s="24"/>
    </row>
    <row r="909" spans="1:16">
      <c r="A909" s="223">
        <v>43889</v>
      </c>
      <c r="B909" s="285">
        <v>2.2499999999999999E-2</v>
      </c>
      <c r="C909" s="2">
        <v>2187</v>
      </c>
      <c r="D909" s="2">
        <v>5302</v>
      </c>
      <c r="E909" s="43"/>
      <c r="F909" s="284">
        <v>43887</v>
      </c>
      <c r="G909" s="280">
        <v>2.2499999999999999E-2</v>
      </c>
      <c r="H909" s="291">
        <f t="shared" si="12"/>
        <v>3.2500000000000001E-2</v>
      </c>
      <c r="I909" s="280">
        <f t="shared" si="13"/>
        <v>1.2499999999999999E-2</v>
      </c>
      <c r="J909" s="25"/>
      <c r="K909" s="25"/>
      <c r="O909" s="14"/>
      <c r="P909" s="24"/>
    </row>
    <row r="910" spans="1:16">
      <c r="A910" s="223">
        <v>43890</v>
      </c>
      <c r="B910" s="285">
        <v>2.2499999999999999E-2</v>
      </c>
      <c r="C910" s="2" t="s">
        <v>8</v>
      </c>
      <c r="D910" s="2">
        <v>5302</v>
      </c>
      <c r="E910" s="43"/>
      <c r="F910" s="284">
        <v>43888</v>
      </c>
      <c r="G910" s="280">
        <v>2.2499999999999999E-2</v>
      </c>
      <c r="H910" s="291">
        <f t="shared" si="12"/>
        <v>3.2500000000000001E-2</v>
      </c>
      <c r="I910" s="280">
        <f t="shared" si="13"/>
        <v>1.2499999999999999E-2</v>
      </c>
      <c r="J910" s="25"/>
      <c r="K910" s="25"/>
      <c r="O910" s="14"/>
      <c r="P910" s="24"/>
    </row>
    <row r="911" spans="1:16">
      <c r="A911" s="223">
        <v>43891</v>
      </c>
      <c r="B911" s="285">
        <v>2.2499999999999999E-2</v>
      </c>
      <c r="C911" s="2" t="s">
        <v>8</v>
      </c>
      <c r="D911" s="2">
        <v>5302</v>
      </c>
      <c r="E911" s="43"/>
      <c r="F911" s="284">
        <v>43889</v>
      </c>
      <c r="G911" s="280">
        <v>2.2499999999999999E-2</v>
      </c>
      <c r="H911" s="291">
        <f t="shared" si="12"/>
        <v>3.2500000000000001E-2</v>
      </c>
      <c r="I911" s="280">
        <f t="shared" si="13"/>
        <v>1.2499999999999999E-2</v>
      </c>
      <c r="J911" s="25"/>
      <c r="K911" s="25"/>
      <c r="O911" s="14"/>
      <c r="P911" s="24"/>
    </row>
    <row r="912" spans="1:16">
      <c r="A912" s="223">
        <v>43892</v>
      </c>
      <c r="B912" s="285">
        <v>2.2499999999999999E-2</v>
      </c>
      <c r="C912" s="2">
        <v>2351</v>
      </c>
      <c r="D912" s="2">
        <v>4516</v>
      </c>
      <c r="E912" s="43"/>
      <c r="F912" s="284">
        <v>43890</v>
      </c>
      <c r="G912" s="280">
        <v>2.2499999999999999E-2</v>
      </c>
      <c r="H912" s="291">
        <f t="shared" si="12"/>
        <v>3.2500000000000001E-2</v>
      </c>
      <c r="I912" s="280">
        <f t="shared" si="13"/>
        <v>1.2499999999999999E-2</v>
      </c>
      <c r="J912" s="25"/>
      <c r="K912" s="25"/>
      <c r="O912" s="14"/>
      <c r="P912" s="24"/>
    </row>
    <row r="913" spans="1:16">
      <c r="A913" s="223">
        <v>43893</v>
      </c>
      <c r="B913" s="285">
        <v>2.2499999999999999E-2</v>
      </c>
      <c r="C913" s="2">
        <v>2905</v>
      </c>
      <c r="D913" s="2">
        <v>5370</v>
      </c>
      <c r="E913" s="43"/>
      <c r="F913" s="284">
        <v>43891</v>
      </c>
      <c r="G913" s="280">
        <v>2.2499999999999999E-2</v>
      </c>
      <c r="H913" s="291">
        <f t="shared" si="12"/>
        <v>3.2500000000000001E-2</v>
      </c>
      <c r="I913" s="280">
        <f t="shared" si="13"/>
        <v>1.2499999999999999E-2</v>
      </c>
      <c r="J913" s="25"/>
      <c r="K913" s="25"/>
      <c r="O913" s="14"/>
      <c r="P913" s="24"/>
    </row>
    <row r="914" spans="1:16">
      <c r="A914" s="223">
        <v>43894</v>
      </c>
      <c r="B914" s="285">
        <v>2.2589999999999999E-2</v>
      </c>
      <c r="C914" s="2">
        <v>4416</v>
      </c>
      <c r="D914" s="2">
        <v>6681</v>
      </c>
      <c r="E914" s="43"/>
      <c r="F914" s="284">
        <v>43892</v>
      </c>
      <c r="G914" s="280">
        <v>2.2499999999999999E-2</v>
      </c>
      <c r="H914" s="291">
        <f t="shared" si="12"/>
        <v>3.2500000000000001E-2</v>
      </c>
      <c r="I914" s="280">
        <f t="shared" si="13"/>
        <v>1.2499999999999999E-2</v>
      </c>
      <c r="J914" s="25"/>
      <c r="K914" s="25"/>
      <c r="O914" s="14"/>
      <c r="P914" s="24"/>
    </row>
    <row r="915" spans="1:16">
      <c r="A915" s="223">
        <v>43895</v>
      </c>
      <c r="B915" s="285">
        <v>2.2610000000000002E-2</v>
      </c>
      <c r="C915" s="2">
        <v>4229</v>
      </c>
      <c r="D915" s="2">
        <v>6194</v>
      </c>
      <c r="E915" s="43"/>
      <c r="F915" s="284">
        <v>43893</v>
      </c>
      <c r="G915" s="280">
        <v>2.2499999999999999E-2</v>
      </c>
      <c r="H915" s="291">
        <f t="shared" si="12"/>
        <v>3.2500000000000001E-2</v>
      </c>
      <c r="I915" s="280">
        <f t="shared" si="13"/>
        <v>1.2499999999999999E-2</v>
      </c>
      <c r="J915" s="25"/>
      <c r="K915" s="25"/>
      <c r="O915" s="14"/>
      <c r="P915" s="24"/>
    </row>
    <row r="916" spans="1:16">
      <c r="A916" s="223">
        <v>43896</v>
      </c>
      <c r="B916" s="285">
        <v>2.2579999999999999E-2</v>
      </c>
      <c r="C916" s="2">
        <v>4712</v>
      </c>
      <c r="D916" s="2">
        <v>6477</v>
      </c>
      <c r="E916" s="43"/>
      <c r="F916" s="284">
        <v>43894</v>
      </c>
      <c r="G916" s="280">
        <v>2.2589999999999999E-2</v>
      </c>
      <c r="H916" s="291">
        <f t="shared" si="12"/>
        <v>3.2590000000000001E-2</v>
      </c>
      <c r="I916" s="280">
        <f t="shared" si="13"/>
        <v>1.2589999999999999E-2</v>
      </c>
      <c r="J916" s="25"/>
      <c r="K916" s="25"/>
      <c r="O916" s="14"/>
      <c r="P916" s="24"/>
    </row>
    <row r="917" spans="1:16">
      <c r="A917" s="223">
        <v>43897</v>
      </c>
      <c r="B917" s="285">
        <v>2.2579999999999999E-2</v>
      </c>
      <c r="C917" s="2" t="s">
        <v>8</v>
      </c>
      <c r="D917" s="2">
        <v>6477</v>
      </c>
      <c r="E917" s="43"/>
      <c r="F917" s="284">
        <v>43895</v>
      </c>
      <c r="G917" s="280">
        <v>2.2610000000000002E-2</v>
      </c>
      <c r="H917" s="291">
        <f t="shared" si="12"/>
        <v>3.261E-2</v>
      </c>
      <c r="I917" s="280">
        <f t="shared" si="13"/>
        <v>1.2610000000000001E-2</v>
      </c>
      <c r="J917" s="25"/>
      <c r="K917" s="25"/>
      <c r="O917" s="14"/>
      <c r="P917" s="24"/>
    </row>
    <row r="918" spans="1:16">
      <c r="A918" s="223">
        <v>43898</v>
      </c>
      <c r="B918" s="285">
        <v>2.2579999999999999E-2</v>
      </c>
      <c r="C918" s="2" t="s">
        <v>8</v>
      </c>
      <c r="D918" s="2">
        <v>6477</v>
      </c>
      <c r="E918" s="43"/>
      <c r="F918" s="284">
        <v>43896</v>
      </c>
      <c r="G918" s="280">
        <v>2.2579999999999999E-2</v>
      </c>
      <c r="H918" s="291">
        <f t="shared" si="12"/>
        <v>3.2579999999999998E-2</v>
      </c>
      <c r="I918" s="280">
        <f t="shared" si="13"/>
        <v>1.2579999999999999E-2</v>
      </c>
      <c r="J918" s="25"/>
      <c r="K918" s="25"/>
      <c r="O918" s="14"/>
      <c r="P918" s="24"/>
    </row>
    <row r="919" spans="1:16">
      <c r="A919" s="223">
        <v>43899</v>
      </c>
      <c r="B919" s="285">
        <v>2.2499999999999999E-2</v>
      </c>
      <c r="C919" s="2">
        <v>4008</v>
      </c>
      <c r="D919" s="2">
        <v>5773</v>
      </c>
      <c r="E919" s="43"/>
      <c r="F919" s="284">
        <v>43897</v>
      </c>
      <c r="G919" s="280">
        <v>2.2579999999999999E-2</v>
      </c>
      <c r="H919" s="291">
        <f t="shared" si="12"/>
        <v>3.2579999999999998E-2</v>
      </c>
      <c r="I919" s="280">
        <f t="shared" si="13"/>
        <v>1.2579999999999999E-2</v>
      </c>
      <c r="J919" s="25"/>
      <c r="K919" s="25"/>
      <c r="O919" s="14"/>
      <c r="P919" s="24"/>
    </row>
    <row r="920" spans="1:16">
      <c r="A920" s="223">
        <v>43900</v>
      </c>
      <c r="B920" s="285">
        <v>2.2530000000000001E-2</v>
      </c>
      <c r="C920" s="2">
        <v>3067</v>
      </c>
      <c r="D920" s="2">
        <v>4832</v>
      </c>
      <c r="E920" s="43"/>
      <c r="F920" s="284">
        <v>43898</v>
      </c>
      <c r="G920" s="280">
        <v>2.2579999999999999E-2</v>
      </c>
      <c r="H920" s="291">
        <f t="shared" si="12"/>
        <v>3.2579999999999998E-2</v>
      </c>
      <c r="I920" s="280">
        <f t="shared" si="13"/>
        <v>1.2579999999999999E-2</v>
      </c>
      <c r="J920" s="25"/>
      <c r="K920" s="25"/>
      <c r="O920" s="14"/>
      <c r="P920" s="24"/>
    </row>
    <row r="921" spans="1:16">
      <c r="A921" s="223">
        <v>43901</v>
      </c>
      <c r="B921" s="285">
        <v>2.2499999999999999E-2</v>
      </c>
      <c r="C921" s="2">
        <v>2441</v>
      </c>
      <c r="D921" s="2">
        <v>4336</v>
      </c>
      <c r="E921" s="43"/>
      <c r="F921" s="284">
        <v>43899</v>
      </c>
      <c r="G921" s="280">
        <v>2.2499999999999999E-2</v>
      </c>
      <c r="H921" s="291">
        <f t="shared" si="12"/>
        <v>3.2500000000000001E-2</v>
      </c>
      <c r="I921" s="280">
        <f t="shared" si="13"/>
        <v>1.2499999999999999E-2</v>
      </c>
      <c r="J921" s="25"/>
      <c r="K921" s="25"/>
      <c r="O921" s="14"/>
      <c r="P921" s="24"/>
    </row>
    <row r="922" spans="1:16">
      <c r="A922" s="223">
        <v>43902</v>
      </c>
      <c r="B922" s="285">
        <v>2.2530000000000001E-2</v>
      </c>
      <c r="C922" s="2">
        <v>4172</v>
      </c>
      <c r="D922" s="2">
        <v>5717</v>
      </c>
      <c r="E922" s="43"/>
      <c r="F922" s="284">
        <v>43900</v>
      </c>
      <c r="G922" s="280">
        <v>2.2530000000000001E-2</v>
      </c>
      <c r="H922" s="291">
        <f t="shared" si="12"/>
        <v>3.2530000000000003E-2</v>
      </c>
      <c r="I922" s="280">
        <f t="shared" si="13"/>
        <v>1.2530000000000001E-2</v>
      </c>
      <c r="J922" s="25"/>
      <c r="K922" s="25"/>
      <c r="O922" s="14"/>
      <c r="P922" s="24"/>
    </row>
    <row r="923" spans="1:16">
      <c r="A923" s="223">
        <v>43903</v>
      </c>
      <c r="B923" s="285">
        <v>2.264E-2</v>
      </c>
      <c r="C923" s="2">
        <v>3586</v>
      </c>
      <c r="D923" s="2">
        <v>5131</v>
      </c>
      <c r="E923" s="43"/>
      <c r="F923" s="284">
        <v>43901</v>
      </c>
      <c r="G923" s="280">
        <v>2.2499999999999999E-2</v>
      </c>
      <c r="H923" s="291">
        <f t="shared" si="12"/>
        <v>3.2500000000000001E-2</v>
      </c>
      <c r="I923" s="280">
        <f t="shared" si="13"/>
        <v>1.2499999999999999E-2</v>
      </c>
      <c r="J923" s="25"/>
      <c r="K923" s="25"/>
      <c r="O923" s="14"/>
      <c r="P923" s="24"/>
    </row>
    <row r="924" spans="1:16">
      <c r="A924" s="223">
        <v>43904</v>
      </c>
      <c r="B924" s="285">
        <v>2.264E-2</v>
      </c>
      <c r="C924" s="2" t="s">
        <v>8</v>
      </c>
      <c r="D924" s="2">
        <v>5131</v>
      </c>
      <c r="E924" s="43"/>
      <c r="F924" s="284">
        <v>43902</v>
      </c>
      <c r="G924" s="280">
        <v>2.2530000000000001E-2</v>
      </c>
      <c r="H924" s="291">
        <f t="shared" si="12"/>
        <v>3.2530000000000003E-2</v>
      </c>
      <c r="I924" s="280">
        <f t="shared" si="13"/>
        <v>1.2530000000000001E-2</v>
      </c>
      <c r="J924" s="25"/>
      <c r="K924" s="25"/>
      <c r="O924" s="14"/>
      <c r="P924" s="24"/>
    </row>
    <row r="925" spans="1:16">
      <c r="A925" s="223">
        <v>43905</v>
      </c>
      <c r="B925" s="285">
        <v>2.264E-2</v>
      </c>
      <c r="C925" s="2" t="s">
        <v>8</v>
      </c>
      <c r="D925" s="2">
        <v>5131</v>
      </c>
      <c r="E925" s="43"/>
      <c r="F925" s="284">
        <v>43903</v>
      </c>
      <c r="G925" s="280">
        <v>2.264E-2</v>
      </c>
      <c r="H925" s="291">
        <f t="shared" si="12"/>
        <v>3.2640000000000002E-2</v>
      </c>
      <c r="I925" s="280">
        <f t="shared" si="13"/>
        <v>1.264E-2</v>
      </c>
      <c r="J925" s="25"/>
      <c r="K925" s="25"/>
      <c r="O925" s="14"/>
      <c r="P925" s="24"/>
    </row>
    <row r="926" spans="1:16">
      <c r="A926" s="223">
        <v>43906</v>
      </c>
      <c r="B926" s="285">
        <v>2.2790000000000001E-2</v>
      </c>
      <c r="C926" s="2">
        <v>5109</v>
      </c>
      <c r="D926" s="2">
        <v>6924</v>
      </c>
      <c r="E926" s="43"/>
      <c r="F926" s="284">
        <v>43904</v>
      </c>
      <c r="G926" s="280">
        <v>2.264E-2</v>
      </c>
      <c r="H926" s="291">
        <f t="shared" si="12"/>
        <v>3.2640000000000002E-2</v>
      </c>
      <c r="I926" s="280">
        <f t="shared" si="13"/>
        <v>1.264E-2</v>
      </c>
      <c r="J926" s="25"/>
      <c r="K926" s="25"/>
      <c r="O926" s="14"/>
      <c r="P926" s="24"/>
    </row>
    <row r="927" spans="1:16">
      <c r="A927" s="223">
        <v>43907</v>
      </c>
      <c r="B927" s="285">
        <v>2.2599999999999999E-2</v>
      </c>
      <c r="C927" s="2">
        <v>2366</v>
      </c>
      <c r="D927" s="2">
        <v>5181</v>
      </c>
      <c r="E927" s="43"/>
      <c r="F927" s="284">
        <v>43905</v>
      </c>
      <c r="G927" s="280">
        <v>2.264E-2</v>
      </c>
      <c r="H927" s="291">
        <f t="shared" si="12"/>
        <v>3.2640000000000002E-2</v>
      </c>
      <c r="I927" s="280">
        <f t="shared" si="13"/>
        <v>1.264E-2</v>
      </c>
      <c r="J927" s="25"/>
      <c r="K927" s="25"/>
      <c r="O927" s="14"/>
      <c r="P927" s="24"/>
    </row>
    <row r="928" spans="1:16">
      <c r="A928" s="223">
        <v>43908</v>
      </c>
      <c r="B928" s="285">
        <v>2.027E-2</v>
      </c>
      <c r="C928" s="2">
        <v>2947</v>
      </c>
      <c r="D928" s="2">
        <v>5762</v>
      </c>
      <c r="E928" s="43"/>
      <c r="F928" s="284">
        <v>43906</v>
      </c>
      <c r="G928" s="280">
        <v>2.2790000000000001E-2</v>
      </c>
      <c r="H928" s="291">
        <f t="shared" si="12"/>
        <v>3.279E-2</v>
      </c>
      <c r="I928" s="280">
        <f t="shared" si="13"/>
        <v>1.2790000000000001E-2</v>
      </c>
      <c r="J928" s="25"/>
      <c r="K928" s="25"/>
      <c r="O928" s="14"/>
      <c r="P928" s="24"/>
    </row>
    <row r="929" spans="1:16">
      <c r="A929" s="223">
        <v>43909</v>
      </c>
      <c r="B929" s="285">
        <v>2.0039999999999999E-2</v>
      </c>
      <c r="C929" s="2">
        <v>4155</v>
      </c>
      <c r="D929" s="2">
        <v>6270</v>
      </c>
      <c r="E929" s="43"/>
      <c r="F929" s="284">
        <v>43907</v>
      </c>
      <c r="G929" s="280">
        <v>2.2599999999999999E-2</v>
      </c>
      <c r="H929" s="291">
        <f t="shared" si="12"/>
        <v>3.2599999999999997E-2</v>
      </c>
      <c r="I929" s="280">
        <f t="shared" si="13"/>
        <v>1.2599999999999998E-2</v>
      </c>
      <c r="J929" s="25"/>
      <c r="K929" s="25"/>
      <c r="O929" s="14"/>
      <c r="P929" s="24"/>
    </row>
    <row r="930" spans="1:16">
      <c r="A930" s="223">
        <v>43910</v>
      </c>
      <c r="B930" s="285">
        <v>2.0039999999999999E-2</v>
      </c>
      <c r="C930" s="2">
        <v>6051</v>
      </c>
      <c r="D930" s="2">
        <v>8166</v>
      </c>
      <c r="E930" s="43"/>
      <c r="F930" s="284">
        <v>43908</v>
      </c>
      <c r="G930" s="280">
        <v>2.027E-2</v>
      </c>
      <c r="H930" s="291">
        <f t="shared" si="12"/>
        <v>3.0269999999999998E-2</v>
      </c>
      <c r="I930" s="280">
        <f t="shared" si="13"/>
        <v>1.027E-2</v>
      </c>
      <c r="J930" s="25"/>
      <c r="K930" s="25"/>
      <c r="O930" s="14"/>
      <c r="P930" s="24"/>
    </row>
    <row r="931" spans="1:16">
      <c r="A931" s="223">
        <v>43911</v>
      </c>
      <c r="B931" s="285">
        <v>2.0039999999999999E-2</v>
      </c>
      <c r="C931" s="2" t="s">
        <v>8</v>
      </c>
      <c r="D931" s="2">
        <v>8166</v>
      </c>
      <c r="E931" s="43"/>
      <c r="F931" s="284">
        <v>43909</v>
      </c>
      <c r="G931" s="280">
        <v>2.0039999999999999E-2</v>
      </c>
      <c r="H931" s="291">
        <f t="shared" si="12"/>
        <v>3.0039999999999997E-2</v>
      </c>
      <c r="I931" s="280">
        <f t="shared" si="13"/>
        <v>1.0039999999999999E-2</v>
      </c>
      <c r="J931" s="25"/>
      <c r="K931" s="25"/>
      <c r="O931" s="14"/>
      <c r="P931" s="24"/>
    </row>
    <row r="932" spans="1:16">
      <c r="A932" s="223">
        <v>43912</v>
      </c>
      <c r="B932" s="285">
        <v>2.0039999999999999E-2</v>
      </c>
      <c r="C932" s="2" t="s">
        <v>8</v>
      </c>
      <c r="D932" s="2">
        <v>8166</v>
      </c>
      <c r="E932" s="43"/>
      <c r="F932" s="284">
        <v>43910</v>
      </c>
      <c r="G932" s="280">
        <v>2.0039999999999999E-2</v>
      </c>
      <c r="H932" s="291">
        <f t="shared" si="12"/>
        <v>3.0039999999999997E-2</v>
      </c>
      <c r="I932" s="280">
        <f t="shared" si="13"/>
        <v>1.0039999999999999E-2</v>
      </c>
      <c r="J932" s="25"/>
      <c r="K932" s="25"/>
      <c r="O932" s="14"/>
      <c r="P932" s="24"/>
    </row>
    <row r="933" spans="1:16">
      <c r="A933" s="223">
        <v>43913</v>
      </c>
      <c r="B933" s="285">
        <v>0.02</v>
      </c>
      <c r="C933" s="2">
        <v>5919</v>
      </c>
      <c r="D933" s="2">
        <v>7884</v>
      </c>
      <c r="E933" s="43"/>
      <c r="F933" s="284">
        <v>43911</v>
      </c>
      <c r="G933" s="280">
        <v>2.0039999999999999E-2</v>
      </c>
      <c r="H933" s="291">
        <f t="shared" si="12"/>
        <v>3.0039999999999997E-2</v>
      </c>
      <c r="I933" s="280">
        <f t="shared" si="13"/>
        <v>1.0039999999999999E-2</v>
      </c>
      <c r="J933" s="25"/>
      <c r="K933" s="25"/>
      <c r="O933" s="14"/>
      <c r="P933" s="24"/>
    </row>
    <row r="934" spans="1:16">
      <c r="A934" s="223">
        <v>43914</v>
      </c>
      <c r="B934" s="285">
        <v>0.02</v>
      </c>
      <c r="C934" s="2">
        <v>5739</v>
      </c>
      <c r="D934" s="2">
        <v>7704</v>
      </c>
      <c r="E934" s="43"/>
      <c r="F934" s="284">
        <v>43912</v>
      </c>
      <c r="G934" s="280">
        <v>2.0039999999999999E-2</v>
      </c>
      <c r="H934" s="291">
        <f t="shared" si="12"/>
        <v>3.0039999999999997E-2</v>
      </c>
      <c r="I934" s="280">
        <f t="shared" si="13"/>
        <v>1.0039999999999999E-2</v>
      </c>
      <c r="J934" s="25"/>
      <c r="K934" s="25"/>
      <c r="O934" s="14"/>
      <c r="P934" s="24"/>
    </row>
    <row r="935" spans="1:16">
      <c r="A935" s="223">
        <v>43915</v>
      </c>
      <c r="B935" s="285">
        <v>0.02</v>
      </c>
      <c r="C935" s="2">
        <v>5693</v>
      </c>
      <c r="D935" s="2">
        <v>7658</v>
      </c>
      <c r="E935" s="43"/>
      <c r="F935" s="284">
        <v>43913</v>
      </c>
      <c r="G935" s="280">
        <v>0.02</v>
      </c>
      <c r="H935" s="291">
        <f t="shared" si="12"/>
        <v>0.03</v>
      </c>
      <c r="I935" s="280">
        <f t="shared" si="13"/>
        <v>0.01</v>
      </c>
      <c r="J935" s="25"/>
      <c r="K935" s="25"/>
      <c r="O935" s="14"/>
      <c r="P935" s="24"/>
    </row>
    <row r="936" spans="1:16">
      <c r="A936" s="223">
        <v>43916</v>
      </c>
      <c r="B936" s="285">
        <v>0.02</v>
      </c>
      <c r="C936" s="2">
        <v>6099</v>
      </c>
      <c r="D936" s="2">
        <v>6854</v>
      </c>
      <c r="E936" s="43"/>
      <c r="F936" s="284">
        <v>43914</v>
      </c>
      <c r="G936" s="280">
        <v>0.02</v>
      </c>
      <c r="H936" s="291">
        <f t="shared" si="12"/>
        <v>0.03</v>
      </c>
      <c r="I936" s="280">
        <f t="shared" si="13"/>
        <v>0.01</v>
      </c>
      <c r="J936" s="25"/>
      <c r="K936" s="25"/>
      <c r="O936" s="14"/>
      <c r="P936" s="24"/>
    </row>
    <row r="937" spans="1:16">
      <c r="A937" s="223">
        <v>43917</v>
      </c>
      <c r="B937" s="285">
        <v>0.02</v>
      </c>
      <c r="C937" s="2">
        <v>3971</v>
      </c>
      <c r="D937" s="2">
        <v>4726</v>
      </c>
      <c r="E937" s="43"/>
      <c r="F937" s="284">
        <v>43915</v>
      </c>
      <c r="G937" s="280">
        <v>0.02</v>
      </c>
      <c r="H937" s="291">
        <f t="shared" si="12"/>
        <v>0.03</v>
      </c>
      <c r="I937" s="280">
        <f t="shared" si="13"/>
        <v>0.01</v>
      </c>
      <c r="J937" s="25"/>
      <c r="K937" s="25"/>
      <c r="O937" s="14"/>
      <c r="P937" s="24"/>
    </row>
    <row r="938" spans="1:16">
      <c r="A938" s="223">
        <v>43918</v>
      </c>
      <c r="B938" s="285">
        <v>0.02</v>
      </c>
      <c r="C938" s="2" t="s">
        <v>8</v>
      </c>
      <c r="D938" s="2">
        <v>4726</v>
      </c>
      <c r="E938" s="43"/>
      <c r="F938" s="284">
        <v>43916</v>
      </c>
      <c r="G938" s="280">
        <v>0.02</v>
      </c>
      <c r="H938" s="291">
        <f t="shared" ref="H938:H1001" si="14">G938+1%</f>
        <v>0.03</v>
      </c>
      <c r="I938" s="280">
        <f t="shared" ref="I938:I1001" si="15">G938-1%</f>
        <v>0.01</v>
      </c>
      <c r="J938" s="25"/>
      <c r="K938" s="25"/>
      <c r="O938" s="14"/>
      <c r="P938" s="24"/>
    </row>
    <row r="939" spans="1:16">
      <c r="A939" s="223">
        <v>43919</v>
      </c>
      <c r="B939" s="285">
        <v>0.02</v>
      </c>
      <c r="C939" s="2" t="s">
        <v>8</v>
      </c>
      <c r="D939" s="2">
        <v>4726</v>
      </c>
      <c r="E939" s="43"/>
      <c r="F939" s="284">
        <v>43917</v>
      </c>
      <c r="G939" s="280">
        <v>0.02</v>
      </c>
      <c r="H939" s="291">
        <f t="shared" si="14"/>
        <v>0.03</v>
      </c>
      <c r="I939" s="280">
        <f t="shared" si="15"/>
        <v>0.01</v>
      </c>
      <c r="J939" s="25"/>
      <c r="K939" s="25"/>
      <c r="O939" s="14"/>
      <c r="P939" s="24"/>
    </row>
    <row r="940" spans="1:16">
      <c r="A940" s="223">
        <v>43920</v>
      </c>
      <c r="B940" s="285">
        <v>0.02</v>
      </c>
      <c r="C940" s="2">
        <v>3937</v>
      </c>
      <c r="D940" s="2">
        <v>4692</v>
      </c>
      <c r="E940" s="43"/>
      <c r="F940" s="284">
        <v>43918</v>
      </c>
      <c r="G940" s="280">
        <v>0.02</v>
      </c>
      <c r="H940" s="291">
        <f t="shared" si="14"/>
        <v>0.03</v>
      </c>
      <c r="I940" s="280">
        <f t="shared" si="15"/>
        <v>0.01</v>
      </c>
      <c r="J940" s="25"/>
      <c r="K940" s="25"/>
      <c r="O940" s="14"/>
      <c r="P940" s="24"/>
    </row>
    <row r="941" spans="1:16">
      <c r="A941" s="223">
        <v>43921</v>
      </c>
      <c r="B941" s="285">
        <v>0.02</v>
      </c>
      <c r="C941" s="2">
        <v>2776</v>
      </c>
      <c r="D941" s="2">
        <v>3826</v>
      </c>
      <c r="E941" s="43"/>
      <c r="F941" s="284">
        <v>43919</v>
      </c>
      <c r="G941" s="280">
        <v>0.02</v>
      </c>
      <c r="H941" s="291">
        <f t="shared" si="14"/>
        <v>0.03</v>
      </c>
      <c r="I941" s="280">
        <f t="shared" si="15"/>
        <v>0.01</v>
      </c>
      <c r="J941" s="25"/>
      <c r="K941" s="25"/>
      <c r="O941" s="14"/>
      <c r="P941" s="24"/>
    </row>
    <row r="942" spans="1:16">
      <c r="A942" s="223">
        <v>43922</v>
      </c>
      <c r="B942" s="285">
        <v>0.02</v>
      </c>
      <c r="C942" s="2">
        <v>3887</v>
      </c>
      <c r="D942" s="2">
        <v>4537</v>
      </c>
      <c r="E942" s="43"/>
      <c r="F942" s="284">
        <v>43920</v>
      </c>
      <c r="G942" s="280">
        <v>0.02</v>
      </c>
      <c r="H942" s="291">
        <f t="shared" si="14"/>
        <v>0.03</v>
      </c>
      <c r="I942" s="280">
        <f t="shared" si="15"/>
        <v>0.01</v>
      </c>
      <c r="J942" s="25"/>
      <c r="K942" s="25"/>
      <c r="O942" s="14"/>
      <c r="P942" s="24"/>
    </row>
    <row r="943" spans="1:16">
      <c r="A943" s="223">
        <v>43923</v>
      </c>
      <c r="B943" s="285">
        <v>0.02</v>
      </c>
      <c r="C943" s="2">
        <v>3687</v>
      </c>
      <c r="D943" s="2">
        <v>4337</v>
      </c>
      <c r="E943" s="43"/>
      <c r="F943" s="284">
        <v>43921</v>
      </c>
      <c r="G943" s="280">
        <v>0.02</v>
      </c>
      <c r="H943" s="291">
        <f t="shared" si="14"/>
        <v>0.03</v>
      </c>
      <c r="I943" s="280">
        <f t="shared" si="15"/>
        <v>0.01</v>
      </c>
      <c r="J943" s="25"/>
      <c r="K943" s="25"/>
      <c r="O943" s="14"/>
      <c r="P943" s="24"/>
    </row>
    <row r="944" spans="1:16">
      <c r="A944" s="223">
        <v>43924</v>
      </c>
      <c r="B944" s="285">
        <v>2.0060000000000001E-2</v>
      </c>
      <c r="C944" s="2">
        <v>3958</v>
      </c>
      <c r="D944" s="2">
        <v>4608</v>
      </c>
      <c r="E944" s="43"/>
      <c r="F944" s="284">
        <v>43922</v>
      </c>
      <c r="G944" s="280">
        <v>0.02</v>
      </c>
      <c r="H944" s="291">
        <f t="shared" si="14"/>
        <v>0.03</v>
      </c>
      <c r="I944" s="280">
        <f t="shared" si="15"/>
        <v>0.01</v>
      </c>
      <c r="J944" s="25"/>
      <c r="K944" s="25"/>
      <c r="O944" s="14"/>
      <c r="P944" s="24"/>
    </row>
    <row r="945" spans="1:16">
      <c r="A945" s="223">
        <v>43925</v>
      </c>
      <c r="B945" s="285">
        <v>2.0060000000000001E-2</v>
      </c>
      <c r="C945" s="2" t="s">
        <v>8</v>
      </c>
      <c r="D945" s="2">
        <v>4608</v>
      </c>
      <c r="E945" s="43"/>
      <c r="F945" s="284">
        <v>43923</v>
      </c>
      <c r="G945" s="280">
        <v>0.02</v>
      </c>
      <c r="H945" s="291">
        <f t="shared" si="14"/>
        <v>0.03</v>
      </c>
      <c r="I945" s="280">
        <f t="shared" si="15"/>
        <v>0.01</v>
      </c>
      <c r="J945" s="25"/>
      <c r="K945" s="25"/>
      <c r="O945" s="14"/>
      <c r="P945" s="24"/>
    </row>
    <row r="946" spans="1:16">
      <c r="A946" s="223">
        <v>43926</v>
      </c>
      <c r="B946" s="285">
        <v>2.0060000000000001E-2</v>
      </c>
      <c r="C946" s="2" t="s">
        <v>8</v>
      </c>
      <c r="D946" s="2">
        <v>4608</v>
      </c>
      <c r="E946" s="43"/>
      <c r="F946" s="284">
        <v>43924</v>
      </c>
      <c r="G946" s="280">
        <v>2.0060000000000001E-2</v>
      </c>
      <c r="H946" s="291">
        <f t="shared" si="14"/>
        <v>3.0060000000000003E-2</v>
      </c>
      <c r="I946" s="280">
        <f t="shared" si="15"/>
        <v>1.0060000000000001E-2</v>
      </c>
      <c r="J946" s="25"/>
      <c r="K946" s="25"/>
      <c r="O946" s="14"/>
      <c r="P946" s="24"/>
    </row>
    <row r="947" spans="1:16">
      <c r="A947" s="223">
        <v>43927</v>
      </c>
      <c r="B947" s="285">
        <v>0.02</v>
      </c>
      <c r="C947" s="2">
        <v>3093</v>
      </c>
      <c r="D947" s="2">
        <v>3743</v>
      </c>
      <c r="E947" s="43"/>
      <c r="F947" s="284">
        <v>43925</v>
      </c>
      <c r="G947" s="280">
        <v>2.0060000000000001E-2</v>
      </c>
      <c r="H947" s="291">
        <f t="shared" si="14"/>
        <v>3.0060000000000003E-2</v>
      </c>
      <c r="I947" s="280">
        <f t="shared" si="15"/>
        <v>1.0060000000000001E-2</v>
      </c>
      <c r="J947" s="25"/>
      <c r="K947" s="25"/>
      <c r="O947" s="14"/>
      <c r="P947" s="24"/>
    </row>
    <row r="948" spans="1:16">
      <c r="A948" s="223">
        <v>43928</v>
      </c>
      <c r="B948" s="285">
        <v>0.02</v>
      </c>
      <c r="C948" s="2">
        <v>3454</v>
      </c>
      <c r="D948" s="2">
        <v>4204</v>
      </c>
      <c r="E948" s="43"/>
      <c r="F948" s="284">
        <v>43926</v>
      </c>
      <c r="G948" s="280">
        <v>2.0060000000000001E-2</v>
      </c>
      <c r="H948" s="291">
        <f t="shared" si="14"/>
        <v>3.0060000000000003E-2</v>
      </c>
      <c r="I948" s="280">
        <f t="shared" si="15"/>
        <v>1.0060000000000001E-2</v>
      </c>
      <c r="J948" s="25"/>
      <c r="K948" s="25"/>
      <c r="O948" s="14"/>
      <c r="P948" s="24"/>
    </row>
    <row r="949" spans="1:16">
      <c r="A949" s="223">
        <v>43929</v>
      </c>
      <c r="B949" s="285">
        <v>0.02</v>
      </c>
      <c r="C949" s="2">
        <v>3501</v>
      </c>
      <c r="D949" s="2">
        <v>4251</v>
      </c>
      <c r="E949" s="43"/>
      <c r="F949" s="284">
        <v>43927</v>
      </c>
      <c r="G949" s="280">
        <v>0.02</v>
      </c>
      <c r="H949" s="291">
        <f t="shared" si="14"/>
        <v>0.03</v>
      </c>
      <c r="I949" s="280">
        <f t="shared" si="15"/>
        <v>0.01</v>
      </c>
      <c r="J949" s="25"/>
      <c r="K949" s="25"/>
      <c r="O949" s="14"/>
      <c r="P949" s="24"/>
    </row>
    <row r="950" spans="1:16">
      <c r="A950" s="223">
        <v>43930</v>
      </c>
      <c r="B950" s="285">
        <v>2.0070000000000001E-2</v>
      </c>
      <c r="C950" s="2">
        <v>3443</v>
      </c>
      <c r="D950" s="2">
        <v>4193</v>
      </c>
      <c r="E950" s="43"/>
      <c r="F950" s="284">
        <v>43928</v>
      </c>
      <c r="G950" s="280">
        <v>0.02</v>
      </c>
      <c r="H950" s="291">
        <f t="shared" si="14"/>
        <v>0.03</v>
      </c>
      <c r="I950" s="280">
        <f t="shared" si="15"/>
        <v>0.01</v>
      </c>
      <c r="J950" s="25"/>
      <c r="K950" s="25"/>
      <c r="O950" s="14"/>
      <c r="P950" s="24"/>
    </row>
    <row r="951" spans="1:16">
      <c r="A951" s="223">
        <v>43931</v>
      </c>
      <c r="B951" s="285">
        <v>2.0060000000000001E-2</v>
      </c>
      <c r="C951" s="2">
        <v>3957</v>
      </c>
      <c r="D951" s="2">
        <v>4807</v>
      </c>
      <c r="E951" s="43"/>
      <c r="F951" s="284">
        <v>43929</v>
      </c>
      <c r="G951" s="280">
        <v>0.02</v>
      </c>
      <c r="H951" s="291">
        <f t="shared" si="14"/>
        <v>0.03</v>
      </c>
      <c r="I951" s="280">
        <f t="shared" si="15"/>
        <v>0.01</v>
      </c>
      <c r="J951" s="25"/>
      <c r="K951" s="25"/>
      <c r="O951" s="14"/>
      <c r="P951" s="24"/>
    </row>
    <row r="952" spans="1:16">
      <c r="A952" s="223">
        <v>43932</v>
      </c>
      <c r="B952" s="285">
        <v>2.0060000000000001E-2</v>
      </c>
      <c r="C952" s="2" t="s">
        <v>8</v>
      </c>
      <c r="D952" s="2">
        <v>4807</v>
      </c>
      <c r="E952" s="43"/>
      <c r="F952" s="284">
        <v>43930</v>
      </c>
      <c r="G952" s="280">
        <v>2.0070000000000001E-2</v>
      </c>
      <c r="H952" s="291">
        <f t="shared" si="14"/>
        <v>3.007E-2</v>
      </c>
      <c r="I952" s="280">
        <f t="shared" si="15"/>
        <v>1.0070000000000001E-2</v>
      </c>
      <c r="J952" s="25"/>
      <c r="K952" s="25"/>
      <c r="O952" s="14"/>
      <c r="P952" s="24"/>
    </row>
    <row r="953" spans="1:16">
      <c r="A953" s="223">
        <v>43933</v>
      </c>
      <c r="B953" s="285">
        <v>2.0060000000000001E-2</v>
      </c>
      <c r="C953" s="2" t="s">
        <v>8</v>
      </c>
      <c r="D953" s="2">
        <v>4807</v>
      </c>
      <c r="E953" s="43"/>
      <c r="F953" s="284">
        <v>43931</v>
      </c>
      <c r="G953" s="280">
        <v>2.0060000000000001E-2</v>
      </c>
      <c r="H953" s="291">
        <f t="shared" si="14"/>
        <v>3.0060000000000003E-2</v>
      </c>
      <c r="I953" s="280">
        <f t="shared" si="15"/>
        <v>1.0060000000000001E-2</v>
      </c>
      <c r="J953" s="25"/>
      <c r="K953" s="25"/>
      <c r="O953" s="14"/>
      <c r="P953" s="24"/>
    </row>
    <row r="954" spans="1:16">
      <c r="A954" s="223">
        <v>43934</v>
      </c>
      <c r="B954" s="285">
        <v>2.0209999999999999E-2</v>
      </c>
      <c r="C954" s="2">
        <v>5186</v>
      </c>
      <c r="D954" s="2">
        <v>6036</v>
      </c>
      <c r="E954" s="43"/>
      <c r="F954" s="284">
        <v>43932</v>
      </c>
      <c r="G954" s="280">
        <v>2.0060000000000001E-2</v>
      </c>
      <c r="H954" s="291">
        <f t="shared" si="14"/>
        <v>3.0060000000000003E-2</v>
      </c>
      <c r="I954" s="280">
        <f t="shared" si="15"/>
        <v>1.0060000000000001E-2</v>
      </c>
      <c r="J954" s="25"/>
      <c r="K954" s="25"/>
      <c r="O954" s="14"/>
      <c r="P954" s="24"/>
    </row>
    <row r="955" spans="1:16">
      <c r="A955" s="223">
        <v>43935</v>
      </c>
      <c r="B955" s="285">
        <v>2.0160000000000001E-2</v>
      </c>
      <c r="C955" s="2">
        <v>4884</v>
      </c>
      <c r="D955" s="2">
        <v>5954</v>
      </c>
      <c r="E955" s="43"/>
      <c r="F955" s="284">
        <v>43933</v>
      </c>
      <c r="G955" s="280">
        <v>2.0060000000000001E-2</v>
      </c>
      <c r="H955" s="291">
        <f t="shared" si="14"/>
        <v>3.0060000000000003E-2</v>
      </c>
      <c r="I955" s="280">
        <f t="shared" si="15"/>
        <v>1.0060000000000001E-2</v>
      </c>
      <c r="J955" s="25"/>
      <c r="K955" s="25"/>
      <c r="O955" s="14"/>
      <c r="P955" s="24"/>
    </row>
    <row r="956" spans="1:16">
      <c r="A956" s="223">
        <v>43936</v>
      </c>
      <c r="B956" s="285">
        <v>2.0330000000000001E-2</v>
      </c>
      <c r="C956" s="2">
        <v>5538</v>
      </c>
      <c r="D956" s="2">
        <v>6958</v>
      </c>
      <c r="E956" s="43"/>
      <c r="F956" s="284">
        <v>43934</v>
      </c>
      <c r="G956" s="280">
        <v>2.0209999999999999E-2</v>
      </c>
      <c r="H956" s="291">
        <f t="shared" si="14"/>
        <v>3.0210000000000001E-2</v>
      </c>
      <c r="I956" s="280">
        <f t="shared" si="15"/>
        <v>1.0209999999999999E-2</v>
      </c>
      <c r="J956" s="25"/>
      <c r="K956" s="25"/>
      <c r="O956" s="14"/>
      <c r="P956" s="24"/>
    </row>
    <row r="957" spans="1:16">
      <c r="A957" s="223">
        <v>43937</v>
      </c>
      <c r="B957" s="285">
        <v>2.0199999999999999E-2</v>
      </c>
      <c r="C957" s="2">
        <v>4683</v>
      </c>
      <c r="D957" s="2">
        <v>6103</v>
      </c>
      <c r="E957" s="43"/>
      <c r="F957" s="284">
        <v>43935</v>
      </c>
      <c r="G957" s="280">
        <v>2.0160000000000001E-2</v>
      </c>
      <c r="H957" s="291">
        <f t="shared" si="14"/>
        <v>3.0159999999999999E-2</v>
      </c>
      <c r="I957" s="280">
        <f t="shared" si="15"/>
        <v>1.0160000000000001E-2</v>
      </c>
      <c r="J957" s="25"/>
      <c r="K957" s="25"/>
      <c r="O957" s="14"/>
      <c r="P957" s="24"/>
    </row>
    <row r="958" spans="1:16">
      <c r="A958" s="223">
        <v>43938</v>
      </c>
      <c r="B958" s="285">
        <v>2.019E-2</v>
      </c>
      <c r="C958" s="2">
        <v>4583</v>
      </c>
      <c r="D958" s="2">
        <v>5923</v>
      </c>
      <c r="E958" s="43"/>
      <c r="F958" s="284">
        <v>43936</v>
      </c>
      <c r="G958" s="280">
        <v>2.0330000000000001E-2</v>
      </c>
      <c r="H958" s="291">
        <f t="shared" si="14"/>
        <v>3.0330000000000003E-2</v>
      </c>
      <c r="I958" s="280">
        <f t="shared" si="15"/>
        <v>1.0330000000000001E-2</v>
      </c>
      <c r="J958" s="25"/>
      <c r="K958" s="25"/>
      <c r="O958" s="14"/>
      <c r="P958" s="24"/>
    </row>
    <row r="959" spans="1:16">
      <c r="A959" s="223">
        <v>43939</v>
      </c>
      <c r="B959" s="285">
        <v>2.019E-2</v>
      </c>
      <c r="C959" s="2" t="s">
        <v>8</v>
      </c>
      <c r="D959" s="2">
        <v>5923</v>
      </c>
      <c r="E959" s="43"/>
      <c r="F959" s="284">
        <v>43937</v>
      </c>
      <c r="G959" s="280">
        <v>2.0199999999999999E-2</v>
      </c>
      <c r="H959" s="291">
        <f t="shared" si="14"/>
        <v>3.0199999999999998E-2</v>
      </c>
      <c r="I959" s="280">
        <f t="shared" si="15"/>
        <v>1.0199999999999999E-2</v>
      </c>
      <c r="J959" s="25"/>
      <c r="K959" s="25"/>
      <c r="O959" s="14"/>
      <c r="P959" s="24"/>
    </row>
    <row r="960" spans="1:16">
      <c r="A960" s="223">
        <v>43940</v>
      </c>
      <c r="B960" s="285">
        <v>2.019E-2</v>
      </c>
      <c r="C960" s="2" t="s">
        <v>8</v>
      </c>
      <c r="D960" s="2">
        <v>5923</v>
      </c>
      <c r="E960" s="43"/>
      <c r="F960" s="284">
        <v>43938</v>
      </c>
      <c r="G960" s="280">
        <v>2.019E-2</v>
      </c>
      <c r="H960" s="291">
        <f t="shared" si="14"/>
        <v>3.0190000000000002E-2</v>
      </c>
      <c r="I960" s="280">
        <f t="shared" si="15"/>
        <v>1.0189999999999999E-2</v>
      </c>
      <c r="J960" s="25"/>
      <c r="K960" s="25"/>
      <c r="O960" s="14"/>
      <c r="P960" s="24"/>
    </row>
    <row r="961" spans="1:16">
      <c r="A961" s="223">
        <v>43941</v>
      </c>
      <c r="B961" s="285">
        <v>2.0209999999999999E-2</v>
      </c>
      <c r="C961" s="2">
        <v>5337</v>
      </c>
      <c r="D961" s="2">
        <v>6677</v>
      </c>
      <c r="E961" s="43"/>
      <c r="F961" s="284">
        <v>43939</v>
      </c>
      <c r="G961" s="280">
        <v>2.019E-2</v>
      </c>
      <c r="H961" s="291">
        <f t="shared" si="14"/>
        <v>3.0190000000000002E-2</v>
      </c>
      <c r="I961" s="280">
        <f t="shared" si="15"/>
        <v>1.0189999999999999E-2</v>
      </c>
      <c r="J961" s="25"/>
      <c r="K961" s="25"/>
      <c r="O961" s="14"/>
      <c r="P961" s="24"/>
    </row>
    <row r="962" spans="1:16">
      <c r="A962" s="223">
        <v>43942</v>
      </c>
      <c r="B962" s="285">
        <v>2.0310000000000002E-2</v>
      </c>
      <c r="C962" s="2">
        <v>4170</v>
      </c>
      <c r="D962" s="2">
        <v>5510</v>
      </c>
      <c r="E962" s="43"/>
      <c r="F962" s="284">
        <v>43940</v>
      </c>
      <c r="G962" s="280">
        <v>2.019E-2</v>
      </c>
      <c r="H962" s="291">
        <f t="shared" si="14"/>
        <v>3.0190000000000002E-2</v>
      </c>
      <c r="I962" s="280">
        <f t="shared" si="15"/>
        <v>1.0189999999999999E-2</v>
      </c>
      <c r="J962" s="25"/>
      <c r="K962" s="25"/>
      <c r="O962" s="14"/>
      <c r="P962" s="24"/>
    </row>
    <row r="963" spans="1:16">
      <c r="A963" s="223">
        <v>43943</v>
      </c>
      <c r="B963" s="285">
        <v>2.0289999999999999E-2</v>
      </c>
      <c r="C963" s="2">
        <v>3470</v>
      </c>
      <c r="D963" s="2">
        <v>5385</v>
      </c>
      <c r="E963" s="43"/>
      <c r="F963" s="284">
        <v>43941</v>
      </c>
      <c r="G963" s="280">
        <v>2.0209999999999999E-2</v>
      </c>
      <c r="H963" s="291">
        <f t="shared" si="14"/>
        <v>3.0210000000000001E-2</v>
      </c>
      <c r="I963" s="280">
        <f t="shared" si="15"/>
        <v>1.0209999999999999E-2</v>
      </c>
      <c r="J963" s="25"/>
      <c r="K963" s="25"/>
      <c r="O963" s="14"/>
      <c r="P963" s="24"/>
    </row>
    <row r="964" spans="1:16">
      <c r="A964" s="223">
        <v>43944</v>
      </c>
      <c r="B964" s="285">
        <v>0.02</v>
      </c>
      <c r="C964" s="2">
        <v>2320</v>
      </c>
      <c r="D964" s="2">
        <v>4235</v>
      </c>
      <c r="E964" s="43"/>
      <c r="F964" s="284">
        <v>43942</v>
      </c>
      <c r="G964" s="280">
        <v>2.0310000000000002E-2</v>
      </c>
      <c r="H964" s="291">
        <f t="shared" si="14"/>
        <v>3.0310000000000004E-2</v>
      </c>
      <c r="I964" s="280">
        <f t="shared" si="15"/>
        <v>1.0310000000000001E-2</v>
      </c>
      <c r="J964" s="25"/>
      <c r="K964" s="25"/>
      <c r="O964" s="14"/>
      <c r="P964" s="24"/>
    </row>
    <row r="965" spans="1:16">
      <c r="A965" s="223">
        <v>43945</v>
      </c>
      <c r="B965" s="285">
        <v>0.02</v>
      </c>
      <c r="C965" s="2">
        <v>2670</v>
      </c>
      <c r="D965" s="2">
        <v>4165</v>
      </c>
      <c r="E965" s="43"/>
      <c r="F965" s="284">
        <v>43943</v>
      </c>
      <c r="G965" s="280">
        <v>2.0289999999999999E-2</v>
      </c>
      <c r="H965" s="291">
        <f t="shared" si="14"/>
        <v>3.0289999999999997E-2</v>
      </c>
      <c r="I965" s="280">
        <f t="shared" si="15"/>
        <v>1.0289999999999999E-2</v>
      </c>
      <c r="J965" s="25"/>
      <c r="K965" s="25"/>
      <c r="O965" s="14"/>
      <c r="P965" s="24"/>
    </row>
    <row r="966" spans="1:16">
      <c r="A966" s="223">
        <v>43946</v>
      </c>
      <c r="B966" s="285">
        <v>0.02</v>
      </c>
      <c r="C966" s="2" t="s">
        <v>8</v>
      </c>
      <c r="D966" s="2">
        <v>4165</v>
      </c>
      <c r="E966" s="43"/>
      <c r="F966" s="284">
        <v>43944</v>
      </c>
      <c r="G966" s="280">
        <v>0.02</v>
      </c>
      <c r="H966" s="291">
        <f t="shared" si="14"/>
        <v>0.03</v>
      </c>
      <c r="I966" s="280">
        <f t="shared" si="15"/>
        <v>0.01</v>
      </c>
      <c r="J966" s="25"/>
      <c r="K966" s="25"/>
      <c r="O966" s="14"/>
      <c r="P966" s="24"/>
    </row>
    <row r="967" spans="1:16">
      <c r="A967" s="223">
        <v>43947</v>
      </c>
      <c r="B967" s="285">
        <v>0.02</v>
      </c>
      <c r="C967" s="2" t="s">
        <v>8</v>
      </c>
      <c r="D967" s="2">
        <v>4165</v>
      </c>
      <c r="E967" s="43"/>
      <c r="F967" s="284">
        <v>43945</v>
      </c>
      <c r="G967" s="280">
        <v>0.02</v>
      </c>
      <c r="H967" s="291">
        <f t="shared" si="14"/>
        <v>0.03</v>
      </c>
      <c r="I967" s="280">
        <f t="shared" si="15"/>
        <v>0.01</v>
      </c>
      <c r="J967" s="25"/>
      <c r="K967" s="25"/>
      <c r="O967" s="14"/>
      <c r="P967" s="24"/>
    </row>
    <row r="968" spans="1:16">
      <c r="A968" s="223">
        <v>43948</v>
      </c>
      <c r="B968" s="285">
        <v>0.02</v>
      </c>
      <c r="C968" s="2">
        <v>2314</v>
      </c>
      <c r="D968" s="2">
        <v>3689</v>
      </c>
      <c r="E968" s="43"/>
      <c r="F968" s="284">
        <v>43946</v>
      </c>
      <c r="G968" s="280">
        <v>0.02</v>
      </c>
      <c r="H968" s="291">
        <f t="shared" si="14"/>
        <v>0.03</v>
      </c>
      <c r="I968" s="280">
        <f t="shared" si="15"/>
        <v>0.01</v>
      </c>
      <c r="J968" s="25"/>
      <c r="K968" s="25"/>
      <c r="O968" s="14"/>
      <c r="P968" s="24"/>
    </row>
    <row r="969" spans="1:16">
      <c r="A969" s="223">
        <v>43949</v>
      </c>
      <c r="B969" s="285">
        <v>2.001E-2</v>
      </c>
      <c r="C969" s="2">
        <v>2210</v>
      </c>
      <c r="D969" s="2">
        <v>3685</v>
      </c>
      <c r="E969" s="43"/>
      <c r="F969" s="284">
        <v>43947</v>
      </c>
      <c r="G969" s="280">
        <v>0.02</v>
      </c>
      <c r="H969" s="291">
        <f t="shared" si="14"/>
        <v>0.03</v>
      </c>
      <c r="I969" s="280">
        <f t="shared" si="15"/>
        <v>0.01</v>
      </c>
      <c r="J969" s="25"/>
      <c r="K969" s="25"/>
      <c r="O969" s="14"/>
      <c r="P969" s="24"/>
    </row>
    <row r="970" spans="1:16">
      <c r="A970" s="223">
        <v>43950</v>
      </c>
      <c r="B970" s="285">
        <v>0.02</v>
      </c>
      <c r="C970" s="2">
        <v>2895</v>
      </c>
      <c r="D970" s="2">
        <v>4470</v>
      </c>
      <c r="E970" s="43"/>
      <c r="F970" s="284">
        <v>43948</v>
      </c>
      <c r="G970" s="280">
        <v>0.02</v>
      </c>
      <c r="H970" s="291">
        <f t="shared" si="14"/>
        <v>0.03</v>
      </c>
      <c r="I970" s="280">
        <f t="shared" si="15"/>
        <v>0.01</v>
      </c>
      <c r="J970" s="25"/>
      <c r="K970" s="25"/>
      <c r="O970" s="14"/>
      <c r="P970" s="24"/>
    </row>
    <row r="971" spans="1:16">
      <c r="A971" s="223">
        <v>43951</v>
      </c>
      <c r="B971" s="285">
        <v>2.001E-2</v>
      </c>
      <c r="C971" s="2">
        <v>3424</v>
      </c>
      <c r="D971" s="2">
        <v>4899</v>
      </c>
      <c r="E971" s="43"/>
      <c r="F971" s="284">
        <v>43949</v>
      </c>
      <c r="G971" s="280">
        <v>2.001E-2</v>
      </c>
      <c r="H971" s="291">
        <f t="shared" si="14"/>
        <v>3.0010000000000002E-2</v>
      </c>
      <c r="I971" s="280">
        <f t="shared" si="15"/>
        <v>1.001E-2</v>
      </c>
      <c r="J971" s="25"/>
      <c r="K971" s="25"/>
      <c r="O971" s="14"/>
      <c r="P971" s="24"/>
    </row>
    <row r="972" spans="1:16">
      <c r="A972" s="223">
        <v>43952</v>
      </c>
      <c r="B972" s="285">
        <v>2.001E-2</v>
      </c>
      <c r="C972" s="2" t="s">
        <v>8</v>
      </c>
      <c r="D972" s="2">
        <v>4899</v>
      </c>
      <c r="E972" s="43"/>
      <c r="F972" s="284">
        <v>43950</v>
      </c>
      <c r="G972" s="280">
        <v>0.02</v>
      </c>
      <c r="H972" s="291">
        <f t="shared" si="14"/>
        <v>0.03</v>
      </c>
      <c r="I972" s="280">
        <f t="shared" si="15"/>
        <v>0.01</v>
      </c>
      <c r="J972" s="25"/>
      <c r="K972" s="25"/>
      <c r="O972" s="14"/>
      <c r="P972" s="24"/>
    </row>
    <row r="973" spans="1:16">
      <c r="A973" s="223">
        <v>43953</v>
      </c>
      <c r="B973" s="285">
        <v>2.001E-2</v>
      </c>
      <c r="C973" s="2" t="s">
        <v>8</v>
      </c>
      <c r="D973" s="2">
        <v>4899</v>
      </c>
      <c r="E973" s="43"/>
      <c r="F973" s="284">
        <v>43951</v>
      </c>
      <c r="G973" s="280">
        <v>2.001E-2</v>
      </c>
      <c r="H973" s="291">
        <f t="shared" si="14"/>
        <v>3.0010000000000002E-2</v>
      </c>
      <c r="I973" s="280">
        <f t="shared" si="15"/>
        <v>1.001E-2</v>
      </c>
      <c r="J973" s="25"/>
      <c r="K973" s="25"/>
      <c r="O973" s="14"/>
      <c r="P973" s="24"/>
    </row>
    <row r="974" spans="1:16">
      <c r="A974" s="223">
        <v>43954</v>
      </c>
      <c r="B974" s="285">
        <v>2.001E-2</v>
      </c>
      <c r="C974" s="2" t="s">
        <v>8</v>
      </c>
      <c r="D974" s="2">
        <v>4899</v>
      </c>
      <c r="E974" s="43"/>
      <c r="F974" s="284">
        <v>43952</v>
      </c>
      <c r="G974" s="280">
        <v>2.001E-2</v>
      </c>
      <c r="H974" s="291">
        <f t="shared" si="14"/>
        <v>3.0010000000000002E-2</v>
      </c>
      <c r="I974" s="280">
        <f t="shared" si="15"/>
        <v>1.001E-2</v>
      </c>
      <c r="J974" s="25"/>
      <c r="K974" s="25"/>
      <c r="O974" s="14"/>
      <c r="P974" s="24"/>
    </row>
    <row r="975" spans="1:16">
      <c r="A975" s="223">
        <v>43955</v>
      </c>
      <c r="B975" s="285">
        <v>0.02</v>
      </c>
      <c r="C975" s="2">
        <v>3354</v>
      </c>
      <c r="D975" s="2">
        <v>4129</v>
      </c>
      <c r="E975" s="43"/>
      <c r="F975" s="284">
        <v>43953</v>
      </c>
      <c r="G975" s="280">
        <v>2.001E-2</v>
      </c>
      <c r="H975" s="291">
        <f t="shared" si="14"/>
        <v>3.0010000000000002E-2</v>
      </c>
      <c r="I975" s="280">
        <f t="shared" si="15"/>
        <v>1.001E-2</v>
      </c>
      <c r="J975" s="25"/>
      <c r="K975" s="25"/>
      <c r="O975" s="14"/>
      <c r="P975" s="24"/>
    </row>
    <row r="976" spans="1:16">
      <c r="A976" s="223">
        <v>43956</v>
      </c>
      <c r="B976" s="285">
        <v>0.02</v>
      </c>
      <c r="C976" s="2">
        <v>3596</v>
      </c>
      <c r="D976" s="2">
        <v>4371</v>
      </c>
      <c r="E976" s="43"/>
      <c r="F976" s="284">
        <v>43954</v>
      </c>
      <c r="G976" s="280">
        <v>2.001E-2</v>
      </c>
      <c r="H976" s="291">
        <f t="shared" si="14"/>
        <v>3.0010000000000002E-2</v>
      </c>
      <c r="I976" s="280">
        <f t="shared" si="15"/>
        <v>1.001E-2</v>
      </c>
      <c r="J976" s="25"/>
      <c r="K976" s="25"/>
      <c r="O976" s="14"/>
      <c r="P976" s="24"/>
    </row>
    <row r="977" spans="1:16">
      <c r="A977" s="223">
        <v>43957</v>
      </c>
      <c r="B977" s="285">
        <v>0.02</v>
      </c>
      <c r="C977" s="2">
        <v>3636</v>
      </c>
      <c r="D977" s="2">
        <v>4336</v>
      </c>
      <c r="E977" s="43"/>
      <c r="F977" s="284">
        <v>43955</v>
      </c>
      <c r="G977" s="280">
        <v>0.02</v>
      </c>
      <c r="H977" s="291">
        <f t="shared" si="14"/>
        <v>0.03</v>
      </c>
      <c r="I977" s="280">
        <f t="shared" si="15"/>
        <v>0.01</v>
      </c>
      <c r="J977" s="25"/>
      <c r="K977" s="25"/>
      <c r="O977" s="14"/>
      <c r="P977" s="24"/>
    </row>
    <row r="978" spans="1:16">
      <c r="A978" s="223">
        <v>43958</v>
      </c>
      <c r="B978" s="285">
        <v>0.02</v>
      </c>
      <c r="C978" s="2">
        <v>3985</v>
      </c>
      <c r="D978" s="2">
        <v>4685</v>
      </c>
      <c r="E978" s="43"/>
      <c r="F978" s="284">
        <v>43956</v>
      </c>
      <c r="G978" s="280">
        <v>0.02</v>
      </c>
      <c r="H978" s="291">
        <f t="shared" si="14"/>
        <v>0.03</v>
      </c>
      <c r="I978" s="280">
        <f t="shared" si="15"/>
        <v>0.01</v>
      </c>
      <c r="J978" s="25"/>
      <c r="K978" s="25"/>
      <c r="O978" s="14"/>
      <c r="P978" s="24"/>
    </row>
    <row r="979" spans="1:16">
      <c r="A979" s="223">
        <v>43959</v>
      </c>
      <c r="B979" s="285">
        <v>0.02</v>
      </c>
      <c r="C979" s="2">
        <v>4781</v>
      </c>
      <c r="D979" s="2">
        <v>5481</v>
      </c>
      <c r="E979" s="43"/>
      <c r="F979" s="284">
        <v>43957</v>
      </c>
      <c r="G979" s="280">
        <v>0.02</v>
      </c>
      <c r="H979" s="291">
        <f t="shared" si="14"/>
        <v>0.03</v>
      </c>
      <c r="I979" s="280">
        <f t="shared" si="15"/>
        <v>0.01</v>
      </c>
      <c r="J979" s="25"/>
      <c r="K979" s="25"/>
      <c r="O979" s="14"/>
      <c r="P979" s="24"/>
    </row>
    <row r="980" spans="1:16">
      <c r="A980" s="223">
        <v>43960</v>
      </c>
      <c r="B980" s="285">
        <v>0.02</v>
      </c>
      <c r="C980" s="2" t="s">
        <v>8</v>
      </c>
      <c r="D980" s="2">
        <v>5481</v>
      </c>
      <c r="E980" s="43"/>
      <c r="F980" s="284">
        <v>43958</v>
      </c>
      <c r="G980" s="280">
        <v>0.02</v>
      </c>
      <c r="H980" s="291">
        <f t="shared" si="14"/>
        <v>0.03</v>
      </c>
      <c r="I980" s="280">
        <f t="shared" si="15"/>
        <v>0.01</v>
      </c>
      <c r="J980" s="25"/>
      <c r="K980" s="25"/>
      <c r="O980" s="14"/>
      <c r="P980" s="24"/>
    </row>
    <row r="981" spans="1:16">
      <c r="A981" s="223">
        <v>43961</v>
      </c>
      <c r="B981" s="285">
        <v>0.02</v>
      </c>
      <c r="C981" s="2" t="s">
        <v>8</v>
      </c>
      <c r="D981" s="2">
        <v>5481</v>
      </c>
      <c r="E981" s="43"/>
      <c r="F981" s="284">
        <v>43959</v>
      </c>
      <c r="G981" s="280">
        <v>0.02</v>
      </c>
      <c r="H981" s="291">
        <f t="shared" si="14"/>
        <v>0.03</v>
      </c>
      <c r="I981" s="280">
        <f t="shared" si="15"/>
        <v>0.01</v>
      </c>
      <c r="J981" s="25"/>
      <c r="K981" s="25"/>
      <c r="O981" s="14"/>
      <c r="P981" s="24"/>
    </row>
    <row r="982" spans="1:16">
      <c r="A982" s="223">
        <v>43962</v>
      </c>
      <c r="B982" s="285">
        <v>0.02</v>
      </c>
      <c r="C982" s="2">
        <v>3161</v>
      </c>
      <c r="D982" s="2">
        <v>4361</v>
      </c>
      <c r="E982" s="43"/>
      <c r="F982" s="284">
        <v>43960</v>
      </c>
      <c r="G982" s="280">
        <v>0.02</v>
      </c>
      <c r="H982" s="291">
        <f t="shared" si="14"/>
        <v>0.03</v>
      </c>
      <c r="I982" s="280">
        <f t="shared" si="15"/>
        <v>0.01</v>
      </c>
      <c r="J982" s="25"/>
      <c r="K982" s="25"/>
      <c r="O982" s="14"/>
      <c r="P982" s="24"/>
    </row>
    <row r="983" spans="1:16">
      <c r="A983" s="223">
        <v>43963</v>
      </c>
      <c r="B983" s="285">
        <v>0.02</v>
      </c>
      <c r="C983" s="2">
        <v>3512</v>
      </c>
      <c r="D983" s="2">
        <v>4712</v>
      </c>
      <c r="E983" s="43"/>
      <c r="F983" s="284">
        <v>43961</v>
      </c>
      <c r="G983" s="280">
        <v>0.02</v>
      </c>
      <c r="H983" s="291">
        <f t="shared" si="14"/>
        <v>0.03</v>
      </c>
      <c r="I983" s="280">
        <f t="shared" si="15"/>
        <v>0.01</v>
      </c>
      <c r="J983" s="25"/>
      <c r="K983" s="25"/>
      <c r="O983" s="14"/>
      <c r="P983" s="24"/>
    </row>
    <row r="984" spans="1:16">
      <c r="A984" s="223">
        <v>43964</v>
      </c>
      <c r="B984" s="285">
        <v>2.001E-2</v>
      </c>
      <c r="C984" s="2">
        <v>4693</v>
      </c>
      <c r="D984" s="2">
        <v>5893</v>
      </c>
      <c r="E984" s="43"/>
      <c r="F984" s="284">
        <v>43962</v>
      </c>
      <c r="G984" s="280">
        <v>0.02</v>
      </c>
      <c r="H984" s="291">
        <f t="shared" si="14"/>
        <v>0.03</v>
      </c>
      <c r="I984" s="280">
        <f t="shared" si="15"/>
        <v>0.01</v>
      </c>
      <c r="J984" s="25"/>
      <c r="K984" s="25"/>
      <c r="O984" s="14"/>
      <c r="P984" s="24"/>
    </row>
    <row r="985" spans="1:16">
      <c r="A985" s="223">
        <v>43965</v>
      </c>
      <c r="B985" s="285">
        <v>0.02</v>
      </c>
      <c r="C985" s="2">
        <v>4527</v>
      </c>
      <c r="D985" s="2">
        <v>5957</v>
      </c>
      <c r="E985" s="43"/>
      <c r="F985" s="284">
        <v>43963</v>
      </c>
      <c r="G985" s="280">
        <v>0.02</v>
      </c>
      <c r="H985" s="291">
        <f t="shared" si="14"/>
        <v>0.03</v>
      </c>
      <c r="I985" s="280">
        <f t="shared" si="15"/>
        <v>0.01</v>
      </c>
      <c r="J985" s="25"/>
      <c r="K985" s="25"/>
      <c r="O985" s="14"/>
      <c r="P985" s="24"/>
    </row>
    <row r="986" spans="1:16">
      <c r="A986" s="223">
        <v>43966</v>
      </c>
      <c r="B986" s="285">
        <v>2.0029999999999999E-2</v>
      </c>
      <c r="C986" s="2">
        <v>5929</v>
      </c>
      <c r="D986" s="2">
        <v>7359</v>
      </c>
      <c r="E986" s="43"/>
      <c r="F986" s="284">
        <v>43964</v>
      </c>
      <c r="G986" s="280">
        <v>2.001E-2</v>
      </c>
      <c r="H986" s="291">
        <f t="shared" si="14"/>
        <v>3.0010000000000002E-2</v>
      </c>
      <c r="I986" s="280">
        <f t="shared" si="15"/>
        <v>1.001E-2</v>
      </c>
      <c r="J986" s="25"/>
      <c r="K986" s="25"/>
      <c r="O986" s="14"/>
      <c r="P986" s="24"/>
    </row>
    <row r="987" spans="1:16">
      <c r="A987" s="223">
        <v>43967</v>
      </c>
      <c r="B987" s="285">
        <v>2.0029999999999999E-2</v>
      </c>
      <c r="C987" s="2" t="s">
        <v>8</v>
      </c>
      <c r="D987" s="2">
        <v>7359</v>
      </c>
      <c r="E987" s="43"/>
      <c r="F987" s="284">
        <v>43965</v>
      </c>
      <c r="G987" s="280">
        <v>0.02</v>
      </c>
      <c r="H987" s="291">
        <f t="shared" si="14"/>
        <v>0.03</v>
      </c>
      <c r="I987" s="280">
        <f t="shared" si="15"/>
        <v>0.01</v>
      </c>
      <c r="J987" s="25"/>
      <c r="K987" s="25"/>
      <c r="O987" s="14"/>
      <c r="P987" s="24"/>
    </row>
    <row r="988" spans="1:16">
      <c r="A988" s="223">
        <v>43968</v>
      </c>
      <c r="B988" s="285">
        <v>2.0029999999999999E-2</v>
      </c>
      <c r="C988" s="2" t="s">
        <v>8</v>
      </c>
      <c r="D988" s="2">
        <v>7359</v>
      </c>
      <c r="E988" s="43"/>
      <c r="F988" s="284">
        <v>43966</v>
      </c>
      <c r="G988" s="280">
        <v>2.0029999999999999E-2</v>
      </c>
      <c r="H988" s="291">
        <f t="shared" si="14"/>
        <v>3.0030000000000001E-2</v>
      </c>
      <c r="I988" s="280">
        <f t="shared" si="15"/>
        <v>1.0029999999999999E-2</v>
      </c>
      <c r="J988" s="25"/>
      <c r="K988" s="25"/>
      <c r="O988" s="14"/>
      <c r="P988" s="24"/>
    </row>
    <row r="989" spans="1:16">
      <c r="A989" s="223">
        <v>43969</v>
      </c>
      <c r="B989" s="285">
        <v>0.02</v>
      </c>
      <c r="C989" s="2">
        <v>7660</v>
      </c>
      <c r="D989" s="2">
        <v>9090</v>
      </c>
      <c r="E989" s="43"/>
      <c r="F989" s="284">
        <v>43967</v>
      </c>
      <c r="G989" s="280">
        <v>2.0029999999999999E-2</v>
      </c>
      <c r="H989" s="291">
        <f t="shared" si="14"/>
        <v>3.0030000000000001E-2</v>
      </c>
      <c r="I989" s="280">
        <f t="shared" si="15"/>
        <v>1.0029999999999999E-2</v>
      </c>
      <c r="J989" s="25"/>
      <c r="K989" s="25"/>
      <c r="O989" s="14"/>
      <c r="P989" s="24"/>
    </row>
    <row r="990" spans="1:16">
      <c r="A990" s="223">
        <v>43970</v>
      </c>
      <c r="B990" s="285">
        <v>0.02</v>
      </c>
      <c r="C990" s="2">
        <v>5906</v>
      </c>
      <c r="D990" s="2">
        <v>7336</v>
      </c>
      <c r="E990" s="43"/>
      <c r="F990" s="284">
        <v>43968</v>
      </c>
      <c r="G990" s="280">
        <v>2.0029999999999999E-2</v>
      </c>
      <c r="H990" s="291">
        <f t="shared" si="14"/>
        <v>3.0030000000000001E-2</v>
      </c>
      <c r="I990" s="280">
        <f t="shared" si="15"/>
        <v>1.0029999999999999E-2</v>
      </c>
      <c r="J990" s="25"/>
      <c r="K990" s="25"/>
      <c r="O990" s="14"/>
      <c r="P990" s="24"/>
    </row>
    <row r="991" spans="1:16">
      <c r="A991" s="223">
        <v>43971</v>
      </c>
      <c r="B991" s="285">
        <v>0.02</v>
      </c>
      <c r="C991" s="2">
        <v>8288</v>
      </c>
      <c r="D991" s="2">
        <v>9718</v>
      </c>
      <c r="E991" s="43"/>
      <c r="F991" s="284">
        <v>43969</v>
      </c>
      <c r="G991" s="280">
        <v>0.02</v>
      </c>
      <c r="H991" s="291">
        <f t="shared" si="14"/>
        <v>0.03</v>
      </c>
      <c r="I991" s="280">
        <f t="shared" si="15"/>
        <v>0.01</v>
      </c>
      <c r="J991" s="25"/>
      <c r="K991" s="25"/>
      <c r="O991" s="14"/>
      <c r="P991" s="24"/>
    </row>
    <row r="992" spans="1:16">
      <c r="A992" s="223">
        <v>43972</v>
      </c>
      <c r="B992" s="285">
        <v>0.02</v>
      </c>
      <c r="C992" s="2">
        <v>5481</v>
      </c>
      <c r="D992" s="2">
        <v>6711</v>
      </c>
      <c r="E992" s="43"/>
      <c r="F992" s="284">
        <v>43970</v>
      </c>
      <c r="G992" s="280">
        <v>0.02</v>
      </c>
      <c r="H992" s="291">
        <f t="shared" si="14"/>
        <v>0.03</v>
      </c>
      <c r="I992" s="280">
        <f t="shared" si="15"/>
        <v>0.01</v>
      </c>
      <c r="J992" s="25"/>
      <c r="K992" s="25"/>
      <c r="O992" s="14"/>
      <c r="P992" s="24"/>
    </row>
    <row r="993" spans="1:54">
      <c r="A993" s="223">
        <v>43973</v>
      </c>
      <c r="B993" s="285">
        <v>0.02</v>
      </c>
      <c r="C993" s="2">
        <v>2760</v>
      </c>
      <c r="D993" s="2">
        <v>5240</v>
      </c>
      <c r="E993" s="43"/>
      <c r="F993" s="284">
        <v>43971</v>
      </c>
      <c r="G993" s="280">
        <v>0.02</v>
      </c>
      <c r="H993" s="291">
        <f t="shared" si="14"/>
        <v>0.03</v>
      </c>
      <c r="I993" s="280">
        <f t="shared" si="15"/>
        <v>0.01</v>
      </c>
      <c r="J993" s="25"/>
      <c r="K993" s="25"/>
      <c r="O993" s="14"/>
      <c r="P993" s="24"/>
    </row>
    <row r="994" spans="1:54">
      <c r="A994" s="223">
        <v>43974</v>
      </c>
      <c r="B994" s="285">
        <v>0.02</v>
      </c>
      <c r="C994" s="2">
        <v>0</v>
      </c>
      <c r="D994" s="2">
        <v>5240</v>
      </c>
      <c r="E994" s="43"/>
      <c r="F994" s="284">
        <v>43972</v>
      </c>
      <c r="G994" s="280">
        <v>0.02</v>
      </c>
      <c r="H994" s="291">
        <f t="shared" si="14"/>
        <v>0.03</v>
      </c>
      <c r="I994" s="280">
        <f t="shared" si="15"/>
        <v>0.01</v>
      </c>
      <c r="J994" s="25"/>
      <c r="K994" s="25"/>
      <c r="O994" s="14"/>
      <c r="P994" s="24"/>
    </row>
    <row r="995" spans="1:54">
      <c r="A995" s="223">
        <v>43975</v>
      </c>
      <c r="B995" s="285">
        <v>0.02</v>
      </c>
      <c r="C995" s="2">
        <v>0</v>
      </c>
      <c r="D995" s="2">
        <v>5240</v>
      </c>
      <c r="E995" s="43"/>
      <c r="F995" s="284">
        <v>43973</v>
      </c>
      <c r="G995" s="280">
        <v>0.02</v>
      </c>
      <c r="H995" s="291">
        <f t="shared" si="14"/>
        <v>0.03</v>
      </c>
      <c r="I995" s="280">
        <f t="shared" si="15"/>
        <v>0.01</v>
      </c>
      <c r="J995" s="25"/>
      <c r="K995" s="25"/>
      <c r="O995" s="14"/>
      <c r="P995" s="24"/>
    </row>
    <row r="996" spans="1:54">
      <c r="A996" s="223">
        <v>43976</v>
      </c>
      <c r="B996" s="285">
        <v>0.02</v>
      </c>
      <c r="C996" s="2">
        <v>0</v>
      </c>
      <c r="D996" s="2">
        <v>5240</v>
      </c>
      <c r="E996" s="43"/>
      <c r="F996" s="284">
        <v>43974</v>
      </c>
      <c r="G996" s="280">
        <v>0.02</v>
      </c>
      <c r="H996" s="291">
        <f t="shared" si="14"/>
        <v>0.03</v>
      </c>
      <c r="I996" s="280">
        <f t="shared" si="15"/>
        <v>0.01</v>
      </c>
      <c r="J996" s="25"/>
      <c r="K996" s="25"/>
      <c r="O996" s="14"/>
      <c r="P996" s="24"/>
    </row>
    <row r="997" spans="1:54">
      <c r="A997" s="223">
        <v>43977</v>
      </c>
      <c r="B997" s="285">
        <v>0.02</v>
      </c>
      <c r="C997" s="2">
        <v>3800</v>
      </c>
      <c r="D997" s="2">
        <v>5680</v>
      </c>
      <c r="E997" s="43"/>
      <c r="F997" s="284">
        <v>43975</v>
      </c>
      <c r="G997" s="280">
        <v>0.02</v>
      </c>
      <c r="H997" s="291">
        <f t="shared" si="14"/>
        <v>0.03</v>
      </c>
      <c r="I997" s="280">
        <f t="shared" si="15"/>
        <v>0.01</v>
      </c>
      <c r="J997" s="25"/>
      <c r="K997" s="25"/>
      <c r="O997" s="14"/>
      <c r="P997" s="24"/>
    </row>
    <row r="998" spans="1:54">
      <c r="A998" s="223">
        <v>43978</v>
      </c>
      <c r="B998" s="285">
        <v>0.02</v>
      </c>
      <c r="C998" s="2">
        <v>5999</v>
      </c>
      <c r="D998" s="2">
        <v>6929</v>
      </c>
      <c r="E998" s="43"/>
      <c r="F998" s="284">
        <v>43976</v>
      </c>
      <c r="G998" s="280">
        <v>0.02</v>
      </c>
      <c r="H998" s="291">
        <f t="shared" si="14"/>
        <v>0.03</v>
      </c>
      <c r="I998" s="280">
        <f t="shared" si="15"/>
        <v>0.01</v>
      </c>
      <c r="J998" s="25"/>
      <c r="K998" s="25"/>
      <c r="O998" s="14"/>
      <c r="P998" s="24"/>
    </row>
    <row r="999" spans="1:54">
      <c r="A999" s="223">
        <v>43979</v>
      </c>
      <c r="B999" s="285">
        <v>0.02</v>
      </c>
      <c r="C999" s="2">
        <v>3081</v>
      </c>
      <c r="D999" s="2">
        <v>4011</v>
      </c>
      <c r="E999" s="43"/>
      <c r="F999" s="284">
        <v>43977</v>
      </c>
      <c r="G999" s="280">
        <v>0.02</v>
      </c>
      <c r="H999" s="291">
        <f t="shared" si="14"/>
        <v>0.03</v>
      </c>
      <c r="I999" s="280">
        <f t="shared" si="15"/>
        <v>0.01</v>
      </c>
      <c r="J999" s="25"/>
      <c r="K999" s="25"/>
      <c r="O999" s="14"/>
      <c r="P999" s="24"/>
    </row>
    <row r="1000" spans="1:54" s="17" customFormat="1">
      <c r="A1000" s="2" t="s">
        <v>10</v>
      </c>
      <c r="B1000" s="2"/>
      <c r="C1000" s="2"/>
      <c r="D1000" s="2"/>
      <c r="E1000" s="43"/>
      <c r="F1000" s="284">
        <v>43978</v>
      </c>
      <c r="G1000" s="280">
        <v>0.02</v>
      </c>
      <c r="H1000" s="291">
        <f t="shared" si="14"/>
        <v>0.03</v>
      </c>
      <c r="I1000" s="280">
        <f t="shared" si="15"/>
        <v>0.01</v>
      </c>
      <c r="J1000" s="25"/>
      <c r="K1000" s="25"/>
      <c r="L1000" s="20"/>
      <c r="M1000" s="31"/>
      <c r="N1000" s="31"/>
      <c r="O1000" s="14"/>
      <c r="P1000" s="24"/>
      <c r="Q1000" s="31"/>
      <c r="R1000" s="31"/>
      <c r="S1000" s="20"/>
      <c r="T1000" s="20"/>
      <c r="U1000" s="20"/>
      <c r="V1000" s="20"/>
      <c r="W1000" s="20"/>
      <c r="X1000" s="20"/>
      <c r="Y1000" s="20"/>
      <c r="Z1000" s="20"/>
      <c r="AA1000" s="20"/>
      <c r="AB1000" s="20"/>
      <c r="AC1000" s="20"/>
      <c r="AD1000" s="20"/>
      <c r="AE1000" s="20"/>
      <c r="AF1000" s="20"/>
      <c r="AG1000" s="20"/>
      <c r="AH1000" s="20"/>
      <c r="AI1000" s="20"/>
      <c r="AJ1000" s="20"/>
      <c r="AK1000" s="20"/>
      <c r="AL1000" s="20"/>
      <c r="AM1000" s="20"/>
      <c r="AN1000" s="20"/>
      <c r="AO1000" s="20"/>
      <c r="AP1000" s="20"/>
      <c r="AQ1000" s="20"/>
      <c r="AR1000" s="20"/>
      <c r="AS1000" s="20"/>
      <c r="AT1000" s="20"/>
      <c r="AU1000" s="20"/>
      <c r="AV1000" s="20"/>
      <c r="AW1000" s="20"/>
      <c r="AX1000" s="20"/>
      <c r="AY1000" s="20"/>
      <c r="AZ1000" s="20"/>
      <c r="BA1000" s="20"/>
      <c r="BB1000" s="20"/>
    </row>
    <row r="1001" spans="1:54" s="18" customFormat="1">
      <c r="A1001" s="2" t="s">
        <v>11</v>
      </c>
      <c r="B1001" s="2" t="s">
        <v>12</v>
      </c>
      <c r="C1001" s="2" t="s">
        <v>13</v>
      </c>
      <c r="D1001" s="2" t="s">
        <v>14</v>
      </c>
      <c r="E1001" s="43"/>
      <c r="F1001" s="284">
        <v>43979</v>
      </c>
      <c r="G1001" s="280">
        <v>0.02</v>
      </c>
      <c r="H1001" s="291">
        <f t="shared" si="14"/>
        <v>0.03</v>
      </c>
      <c r="I1001" s="280">
        <f t="shared" si="15"/>
        <v>0.01</v>
      </c>
      <c r="J1001" s="25"/>
      <c r="K1001" s="25"/>
      <c r="L1001" s="20"/>
      <c r="M1001" s="31"/>
      <c r="N1001" s="31"/>
      <c r="O1001" s="31"/>
      <c r="P1001" s="31"/>
      <c r="Q1001" s="31"/>
      <c r="R1001" s="31"/>
      <c r="S1001" s="20"/>
      <c r="T1001" s="20"/>
      <c r="U1001" s="20"/>
      <c r="V1001" s="20"/>
      <c r="W1001" s="20"/>
      <c r="X1001" s="20"/>
      <c r="Y1001" s="20"/>
      <c r="Z1001" s="20"/>
      <c r="AA1001" s="20"/>
      <c r="AB1001" s="20"/>
      <c r="AC1001" s="20"/>
      <c r="AD1001" s="20"/>
      <c r="AE1001" s="20"/>
      <c r="AF1001" s="20"/>
      <c r="AG1001" s="20"/>
      <c r="AH1001" s="20"/>
      <c r="AI1001" s="20"/>
      <c r="AJ1001" s="20"/>
      <c r="AK1001" s="20"/>
      <c r="AL1001" s="20"/>
      <c r="AM1001" s="20"/>
      <c r="AN1001" s="20"/>
      <c r="AO1001" s="20"/>
      <c r="AP1001" s="20"/>
      <c r="AQ1001" s="20"/>
      <c r="AR1001" s="20"/>
      <c r="AS1001" s="20"/>
      <c r="AT1001" s="20"/>
      <c r="AU1001" s="20"/>
      <c r="AV1001" s="20"/>
      <c r="AW1001" s="20"/>
      <c r="AX1001" s="20"/>
      <c r="AY1001" s="20"/>
      <c r="AZ1001" s="20"/>
      <c r="BA1001" s="20"/>
      <c r="BB1001" s="20"/>
    </row>
    <row r="1002" spans="1:54">
      <c r="A1002" s="223">
        <v>42981</v>
      </c>
      <c r="B1002" s="285">
        <v>2.2790000000000001E-2</v>
      </c>
      <c r="C1002" s="2" t="s">
        <v>8</v>
      </c>
      <c r="D1002" s="2">
        <v>6879</v>
      </c>
      <c r="E1002" s="31"/>
      <c r="F1002" s="292"/>
      <c r="G1002" s="31"/>
      <c r="H1002" s="37"/>
      <c r="I1002" s="38"/>
    </row>
    <row r="1003" spans="1:54" s="17" customFormat="1">
      <c r="A1003" s="281">
        <v>42980</v>
      </c>
      <c r="B1003" s="282">
        <v>2.2790000000000001E-2</v>
      </c>
      <c r="C1003" s="283" t="s">
        <v>8</v>
      </c>
      <c r="D1003" s="283">
        <v>6879</v>
      </c>
      <c r="E1003" s="31"/>
      <c r="F1003" s="292"/>
      <c r="G1003" s="31"/>
      <c r="H1003" s="37"/>
      <c r="I1003" s="38"/>
      <c r="J1003" s="31"/>
      <c r="K1003" s="31"/>
      <c r="L1003" s="31"/>
      <c r="M1003" s="31"/>
      <c r="N1003" s="31"/>
      <c r="O1003" s="31"/>
      <c r="P1003" s="31"/>
      <c r="Q1003" s="31"/>
      <c r="R1003" s="31"/>
      <c r="S1003" s="20"/>
      <c r="T1003" s="20"/>
      <c r="U1003" s="20"/>
      <c r="V1003" s="20"/>
      <c r="W1003" s="20"/>
      <c r="X1003" s="20"/>
      <c r="Y1003" s="20"/>
      <c r="Z1003" s="20"/>
      <c r="AA1003" s="20"/>
      <c r="AB1003" s="20"/>
      <c r="AC1003" s="20"/>
      <c r="AD1003" s="20"/>
      <c r="AE1003" s="20"/>
      <c r="AF1003" s="20"/>
      <c r="AG1003" s="20"/>
      <c r="AH1003" s="20"/>
      <c r="AI1003" s="20"/>
      <c r="AJ1003" s="20"/>
      <c r="AK1003" s="20"/>
      <c r="AL1003" s="20"/>
      <c r="AM1003" s="20"/>
      <c r="AN1003" s="20"/>
      <c r="AO1003" s="20"/>
      <c r="AP1003" s="20"/>
      <c r="AQ1003" s="20"/>
      <c r="AR1003" s="20"/>
      <c r="AS1003" s="20"/>
      <c r="AT1003" s="20"/>
      <c r="AU1003" s="20"/>
      <c r="AV1003" s="20"/>
      <c r="AW1003" s="20"/>
      <c r="AX1003" s="20"/>
      <c r="AY1003" s="20"/>
      <c r="AZ1003" s="20"/>
      <c r="BA1003" s="20"/>
      <c r="BB1003" s="20"/>
    </row>
    <row r="1004" spans="1:54">
      <c r="I1004" s="38"/>
    </row>
  </sheetData>
  <autoFilter ref="A1:I1" xr:uid="{290BE7E1-EB53-724B-8049-7CBC5117A1FD}">
    <sortState xmlns:xlrd2="http://schemas.microsoft.com/office/spreadsheetml/2017/richdata2" ref="A2:I1003">
      <sortCondition ref="F1:F1003"/>
    </sortState>
  </autoFilter>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6" baseType="variant">
      <vt:variant>
        <vt:lpstr>Worksheets</vt:lpstr>
      </vt:variant>
      <vt:variant>
        <vt:i4>8</vt:i4>
      </vt:variant>
      <vt:variant>
        <vt:lpstr>Charts</vt:lpstr>
      </vt:variant>
      <vt:variant>
        <vt:i4>3</vt:i4>
      </vt:variant>
      <vt:variant>
        <vt:lpstr>Named Ranges</vt:lpstr>
      </vt:variant>
      <vt:variant>
        <vt:i4>10</vt:i4>
      </vt:variant>
    </vt:vector>
  </HeadingPairs>
  <TitlesOfParts>
    <vt:vector size="21" baseType="lpstr">
      <vt:lpstr>Presentation</vt:lpstr>
      <vt:lpstr>Model MONIA forward</vt:lpstr>
      <vt:lpstr>Simulation MONIA forward</vt:lpstr>
      <vt:lpstr>MONIA-SOFR average Index model </vt:lpstr>
      <vt:lpstr>Example SOFR</vt:lpstr>
      <vt:lpstr>Données MONIA BKAM</vt:lpstr>
      <vt:lpstr>Données TMIB actualisées</vt:lpstr>
      <vt:lpstr>Données TMIB</vt:lpstr>
      <vt:lpstr>MONIA curve</vt:lpstr>
      <vt:lpstr>Forward curve</vt:lpstr>
      <vt:lpstr>IR_graph</vt:lpstr>
      <vt:lpstr>'Données MONIA BKAM'!MONIA_dataset</vt:lpstr>
      <vt:lpstr>'Données TMIB'!MONIA_dataset</vt:lpstr>
      <vt:lpstr>'Model MONIA forward'!MONIA_dataset</vt:lpstr>
      <vt:lpstr>'Simulation MONIA forward'!MONIA_dataset</vt:lpstr>
      <vt:lpstr>'Model MONIA forward'!Taux_interbancaire</vt:lpstr>
      <vt:lpstr>'MONIA-SOFR average Index model '!βeta2</vt:lpstr>
      <vt:lpstr>'MONIA-SOFR average Index model '!βeta3</vt:lpstr>
      <vt:lpstr>'MONIA-SOFR average Index model '!βeta4</vt:lpstr>
      <vt:lpstr>'MONIA-SOFR average Index model '!λ1</vt:lpstr>
      <vt:lpstr>'MONIA-SOFR average Index model '!λ2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PG-Louraoui, Youssef</cp:lastModifiedBy>
  <dcterms:created xsi:type="dcterms:W3CDTF">2020-04-13T23:40:27Z</dcterms:created>
  <dcterms:modified xsi:type="dcterms:W3CDTF">2022-01-29T15:22:20Z</dcterms:modified>
</cp:coreProperties>
</file>